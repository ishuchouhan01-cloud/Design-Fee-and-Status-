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ivotTables/pivotTable1.xml" ContentType="application/vnd.openxmlformats-officedocument.spreadsheetml.pivotTable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namedSheetViews/namedSheetView14.xml" ContentType="application/vnd.ms-excel.namedsheetview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5.xml" ContentType="application/vnd.ms-excel.namedsheetviews+xml"/>
  <Override PartName="/xl/pivotTables/pivotTable3.xml" ContentType="application/vnd.openxmlformats-officedocument.spreadsheetml.pivot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16.xml" ContentType="application/vnd.ms-excel.namedsheetviews+xml"/>
  <Override PartName="/xl/namedSheetViews/namedSheetView17.xml" ContentType="application/vnd.ms-excel.namedsheetview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namedSheetViews/namedSheetView25.xml" ContentType="application/vnd.ms-excel.namedsheetviews+xml"/>
  <Override PartName="/xl/namedSheetViews/namedSheetView2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2 Project-wise Goals/"/>
    </mc:Choice>
  </mc:AlternateContent>
  <xr:revisionPtr revIDLastSave="203" documentId="8_{4AB04B1F-13D4-4640-8263-D33B36CA5BA9}" xr6:coauthVersionLast="47" xr6:coauthVersionMax="47" xr10:uidLastSave="{0E9A6C68-5964-4FCE-A06B-B74B678AD66C}"/>
  <bookViews>
    <workbookView xWindow="-108" yWindow="-108" windowWidth="23256" windowHeight="12456" tabRatio="749" firstSheet="8" activeTab="8" xr2:uid="{5EF5F934-3F74-4DA0-B71A-DE90FB105D78}"/>
  </bookViews>
  <sheets>
    <sheet name="26Q1 Actuals Smry" sheetId="23" state="hidden" r:id="rId1"/>
    <sheet name="Goal Summary 25Q4" sheetId="1" state="hidden" r:id="rId2"/>
    <sheet name="Data sheet" sheetId="5" state="hidden" r:id="rId3"/>
    <sheet name="Sheet1" sheetId="3" state="hidden" r:id="rId4"/>
    <sheet name="Breakup-MP+MEP+LS" sheetId="2" state="hidden" r:id="rId5"/>
    <sheet name="Prj List" sheetId="4" state="hidden" r:id="rId6"/>
    <sheet name="Sheet2" sheetId="8" state="hidden" r:id="rId7"/>
    <sheet name="Prj Crtcl rqrmnt" sheetId="35" state="hidden" r:id="rId8"/>
    <sheet name="Goals FY 26-27Q2" sheetId="36" r:id="rId9"/>
    <sheet name="Pkgs Summary (Status)" sheetId="53" r:id="rId10"/>
    <sheet name="FY 26-27 Q2 Pivot" sheetId="37" state="hidden" r:id="rId11"/>
    <sheet name="Goals FY 26-27Q2 Cijey" sheetId="46" state="hidden" r:id="rId12"/>
    <sheet name="Goals FY 26-27Q2 Saji" sheetId="43" state="hidden" r:id="rId13"/>
    <sheet name="Goals FY 26-27Q2 OP" sheetId="44" state="hidden" r:id="rId14"/>
    <sheet name="Goals FY 26-27Q2 Naveen Y" sheetId="47" state="hidden" r:id="rId15"/>
    <sheet name="Goals FY 26-27Q2 Manik" sheetId="48" state="hidden" r:id="rId16"/>
    <sheet name="Goals FY 26-27Q2 Gagan" sheetId="45" state="hidden" r:id="rId17"/>
    <sheet name="Goals FY 26-27Q2 Navneet" sheetId="49" state="hidden" r:id="rId18"/>
    <sheet name="Goals FY 26-27Q2 Shweta V" sheetId="50" state="hidden" r:id="rId19"/>
    <sheet name="Goals FY 26-27Q2 Prakash C" sheetId="51" state="hidden" r:id="rId20"/>
    <sheet name="Goals FY 26-27Q2 Atul P" sheetId="52" state="hidden" r:id="rId21"/>
    <sheet name="Pivot" sheetId="31" state="hidden" r:id="rId22"/>
    <sheet name="One liner" sheetId="27" state="hidden" r:id="rId23"/>
    <sheet name="Notes" sheetId="29" state="hidden" r:id="rId24"/>
    <sheet name="Goals, Actuals 2026 Q1 (Remark)" sheetId="28" state="hidden" r:id="rId25"/>
    <sheet name="Goals FY 2026Q2 (Revised Plan)" sheetId="33" state="hidden" r:id="rId26"/>
    <sheet name="Revised Plan PIVOT" sheetId="34" state="hidden" r:id="rId27"/>
    <sheet name="Goals, Actuals 2026 Q1" sheetId="26" state="hidden" r:id="rId28"/>
    <sheet name="26Q1 Cijey M" sheetId="15" state="hidden" r:id="rId29"/>
    <sheet name="26Q1 Saji A" sheetId="16" state="hidden" r:id="rId30"/>
    <sheet name="26Q1 Naveen Y" sheetId="17" state="hidden" r:id="rId31"/>
    <sheet name="26Q1 Om Prakash" sheetId="18" state="hidden" r:id="rId32"/>
    <sheet name="26Q1 Manik G" sheetId="20" state="hidden" r:id="rId33"/>
    <sheet name="26Q1 Atul L" sheetId="21" state="hidden" r:id="rId34"/>
    <sheet name="26Q1 Prakash C" sheetId="19" state="hidden" r:id="rId35"/>
    <sheet name="26Q1 Gaganjit S" sheetId="22" state="hidden" r:id="rId36"/>
    <sheet name="26Q1 Navneet K" sheetId="24" state="hidden" r:id="rId37"/>
    <sheet name="26Q1 Leaderwise" sheetId="14" state="hidden" r:id="rId38"/>
  </sheets>
  <definedNames>
    <definedName name="_" localSheetId="9" hidden="1">#REF!</definedName>
    <definedName name="_" hidden="1">#REF!</definedName>
    <definedName name="__123Graph_A" localSheetId="9" hidden="1">#REF!</definedName>
    <definedName name="__123Graph_A" hidden="1">#REF!</definedName>
    <definedName name="__123Graph_B" localSheetId="9" hidden="1">#REF!</definedName>
    <definedName name="__123Graph_B" hidden="1">#REF!</definedName>
    <definedName name="__123Graph_C" localSheetId="9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33" hidden="1">'26Q1 Atul L'!$A$5:$AB$5</definedName>
    <definedName name="_xlnm._FilterDatabase" localSheetId="28" hidden="1">'26Q1 Cijey M'!$A$5:$AB$5</definedName>
    <definedName name="_xlnm._FilterDatabase" localSheetId="35" hidden="1">'26Q1 Gaganjit S'!$A$5:$Y$171</definedName>
    <definedName name="_xlnm._FilterDatabase" localSheetId="37" hidden="1">'26Q1 Leaderwise'!$A$5:$AB$5</definedName>
    <definedName name="_xlnm._FilterDatabase" localSheetId="32" hidden="1">'26Q1 Manik G'!$A$5:$AB$5</definedName>
    <definedName name="_xlnm._FilterDatabase" localSheetId="30" hidden="1">'26Q1 Naveen Y'!#REF!</definedName>
    <definedName name="_xlnm._FilterDatabase" localSheetId="36" hidden="1">'26Q1 Navneet K'!$A$5:$AC$5</definedName>
    <definedName name="_xlnm._FilterDatabase" localSheetId="31" hidden="1">'26Q1 Om Prakash'!#REF!</definedName>
    <definedName name="_xlnm._FilterDatabase" localSheetId="34" hidden="1">'26Q1 Prakash C'!$A$5:$AC$5</definedName>
    <definedName name="_xlnm._FilterDatabase" localSheetId="29" hidden="1">'26Q1 Saji A'!$A$5:$AC$5</definedName>
    <definedName name="_xlnm._FilterDatabase" localSheetId="4" hidden="1">'Breakup-MP+MEP+LS'!$A$5:$AD$79</definedName>
    <definedName name="_xlnm._FilterDatabase" localSheetId="1" hidden="1">'Goal Summary 25Q4'!$A$4:$T$1103</definedName>
    <definedName name="_xlnm._FilterDatabase" localSheetId="25" hidden="1">'Goals FY 2026Q2 (Revised Plan)'!$A$2:$AK$654</definedName>
    <definedName name="_xlnm._FilterDatabase" localSheetId="8" hidden="1">'Goals FY 26-27Q2'!$B$4:$Z$25</definedName>
    <definedName name="_xlnm._FilterDatabase" localSheetId="20" hidden="1">'Goals FY 26-27Q2 Atul P'!$B$4:$W$45</definedName>
    <definedName name="_xlnm._FilterDatabase" localSheetId="11" hidden="1">'Goals FY 26-27Q2 Cijey'!$B$4:$W$70</definedName>
    <definedName name="_xlnm._FilterDatabase" localSheetId="16" hidden="1">'Goals FY 26-27Q2 Gagan'!$B$4:$W$262</definedName>
    <definedName name="_xlnm._FilterDatabase" localSheetId="15" hidden="1">'Goals FY 26-27Q2 Manik'!$B$4:$W$39</definedName>
    <definedName name="_xlnm._FilterDatabase" localSheetId="14" hidden="1">'Goals FY 26-27Q2 Naveen Y'!$B$4:$W$57</definedName>
    <definedName name="_xlnm._FilterDatabase" localSheetId="17" hidden="1">'Goals FY 26-27Q2 Navneet'!$B$4:$W$5</definedName>
    <definedName name="_xlnm._FilterDatabase" localSheetId="13" hidden="1">'Goals FY 26-27Q2 OP'!$B$4:$W$90</definedName>
    <definedName name="_xlnm._FilterDatabase" localSheetId="19" hidden="1">'Goals FY 26-27Q2 Prakash C'!$B$4:$W$205</definedName>
    <definedName name="_xlnm._FilterDatabase" localSheetId="12" hidden="1">'Goals FY 26-27Q2 Saji'!$B$4:$W$66</definedName>
    <definedName name="_xlnm._FilterDatabase" localSheetId="18" hidden="1">'Goals FY 26-27Q2 Shweta V'!$B$4:$W$5</definedName>
    <definedName name="_xlnm._FilterDatabase" localSheetId="27" hidden="1">'Goals, Actuals 2026 Q1'!$A$5:$AG$611</definedName>
    <definedName name="_xlnm._FilterDatabase" localSheetId="24" hidden="1">'Goals, Actuals 2026 Q1 (Remark)'!$A$5:$AG$688</definedName>
    <definedName name="_xlnm._FilterDatabase" localSheetId="9" hidden="1">'Pkgs Summary (Status)'!#REF!</definedName>
    <definedName name="_xlnm._FilterDatabase" localSheetId="5" hidden="1">'Prj List'!$A$2:$D$68</definedName>
    <definedName name="_xlnm._FilterDatabase" localSheetId="3" hidden="1">Sheet1!$B$3:$D$35</definedName>
    <definedName name="_xlnm._FilterDatabase" hidden="1">#REF!</definedName>
    <definedName name="_Goal_New" hidden="1">#REF!</definedName>
    <definedName name="_Key1" localSheetId="9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localSheetId="9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33" hidden="1">{"BSSCHA4",#N/A,FALSE,"sch bs"}</definedName>
    <definedName name="ALupro" localSheetId="28" hidden="1">{"BSSCHA4",#N/A,FALSE,"sch bs"}</definedName>
    <definedName name="ALupro" localSheetId="35" hidden="1">{"BSSCHA4",#N/A,FALSE,"sch bs"}</definedName>
    <definedName name="ALupro" localSheetId="37" hidden="1">{"BSSCHA4",#N/A,FALSE,"sch bs"}</definedName>
    <definedName name="ALupro" localSheetId="32" hidden="1">{"BSSCHA4",#N/A,FALSE,"sch bs"}</definedName>
    <definedName name="ALupro" localSheetId="30" hidden="1">{"BSSCHA4",#N/A,FALSE,"sch bs"}</definedName>
    <definedName name="ALupro" localSheetId="36" hidden="1">{"BSSCHA4",#N/A,FALSE,"sch bs"}</definedName>
    <definedName name="ALupro" localSheetId="31" hidden="1">{"BSSCHA4",#N/A,FALSE,"sch bs"}</definedName>
    <definedName name="ALupro" localSheetId="34" hidden="1">{"BSSCHA4",#N/A,FALSE,"sch bs"}</definedName>
    <definedName name="ALupro" localSheetId="29" hidden="1">{"BSSCHA4",#N/A,FALSE,"sch bs"}</definedName>
    <definedName name="ALupro" localSheetId="27" hidden="1">{"BSSCHA4",#N/A,FALSE,"sch bs"}</definedName>
    <definedName name="ALupro" localSheetId="24" hidden="1">{"BSSCHA4",#N/A,FALSE,"sch bs"}</definedName>
    <definedName name="ALupro" localSheetId="9" hidden="1">{"BSSCHA4",#N/A,FALSE,"sch bs"}</definedName>
    <definedName name="ALupro" hidden="1">{"BSSCHA4",#N/A,FALSE,"sch bs"}</definedName>
    <definedName name="ALupro0" localSheetId="33" hidden="1">{"BSSCHA4",#N/A,FALSE,"sch bs"}</definedName>
    <definedName name="ALupro0" localSheetId="28" hidden="1">{"BSSCHA4",#N/A,FALSE,"sch bs"}</definedName>
    <definedName name="ALupro0" localSheetId="35" hidden="1">{"BSSCHA4",#N/A,FALSE,"sch bs"}</definedName>
    <definedName name="ALupro0" localSheetId="37" hidden="1">{"BSSCHA4",#N/A,FALSE,"sch bs"}</definedName>
    <definedName name="ALupro0" localSheetId="32" hidden="1">{"BSSCHA4",#N/A,FALSE,"sch bs"}</definedName>
    <definedName name="ALupro0" localSheetId="30" hidden="1">{"BSSCHA4",#N/A,FALSE,"sch bs"}</definedName>
    <definedName name="ALupro0" localSheetId="36" hidden="1">{"BSSCHA4",#N/A,FALSE,"sch bs"}</definedName>
    <definedName name="ALupro0" localSheetId="31" hidden="1">{"BSSCHA4",#N/A,FALSE,"sch bs"}</definedName>
    <definedName name="ALupro0" localSheetId="34" hidden="1">{"BSSCHA4",#N/A,FALSE,"sch bs"}</definedName>
    <definedName name="ALupro0" localSheetId="29" hidden="1">{"BSSCHA4",#N/A,FALSE,"sch bs"}</definedName>
    <definedName name="ALupro0" localSheetId="27" hidden="1">{"BSSCHA4",#N/A,FALSE,"sch bs"}</definedName>
    <definedName name="ALupro0" localSheetId="24" hidden="1">{"BSSCHA4",#N/A,FALSE,"sch bs"}</definedName>
    <definedName name="ALupro0" localSheetId="9" hidden="1">{"BSSCHA4",#N/A,FALSE,"sch bs"}</definedName>
    <definedName name="ALupro0" hidden="1">{"BSSCHA4",#N/A,FALSE,"sch bs"}</definedName>
    <definedName name="annexure" localSheetId="33" hidden="1">{"BSSCHA4",#N/A,FALSE,"sch bs"}</definedName>
    <definedName name="annexure" localSheetId="28" hidden="1">{"BSSCHA4",#N/A,FALSE,"sch bs"}</definedName>
    <definedName name="annexure" localSheetId="35" hidden="1">{"BSSCHA4",#N/A,FALSE,"sch bs"}</definedName>
    <definedName name="annexure" localSheetId="37" hidden="1">{"BSSCHA4",#N/A,FALSE,"sch bs"}</definedName>
    <definedName name="annexure" localSheetId="32" hidden="1">{"BSSCHA4",#N/A,FALSE,"sch bs"}</definedName>
    <definedName name="annexure" localSheetId="30" hidden="1">{"BSSCHA4",#N/A,FALSE,"sch bs"}</definedName>
    <definedName name="annexure" localSheetId="36" hidden="1">{"BSSCHA4",#N/A,FALSE,"sch bs"}</definedName>
    <definedName name="annexure" localSheetId="31" hidden="1">{"BSSCHA4",#N/A,FALSE,"sch bs"}</definedName>
    <definedName name="annexure" localSheetId="34" hidden="1">{"BSSCHA4",#N/A,FALSE,"sch bs"}</definedName>
    <definedName name="annexure" localSheetId="29" hidden="1">{"BSSCHA4",#N/A,FALSE,"sch bs"}</definedName>
    <definedName name="annexure" localSheetId="27" hidden="1">{"BSSCHA4",#N/A,FALSE,"sch bs"}</definedName>
    <definedName name="annexure" localSheetId="24" hidden="1">{"BSSCHA4",#N/A,FALSE,"sch bs"}</definedName>
    <definedName name="annexure" localSheetId="9" hidden="1">{"BSSCHA4",#N/A,FALSE,"sch bs"}</definedName>
    <definedName name="annexure" hidden="1">{"BSSCHA4",#N/A,FALSE,"sch bs"}</definedName>
    <definedName name="annexure_1" localSheetId="33" hidden="1">{"BSSCHA4",#N/A,FALSE,"sch bs"}</definedName>
    <definedName name="annexure_1" localSheetId="28" hidden="1">{"BSSCHA4",#N/A,FALSE,"sch bs"}</definedName>
    <definedName name="annexure_1" localSheetId="35" hidden="1">{"BSSCHA4",#N/A,FALSE,"sch bs"}</definedName>
    <definedName name="annexure_1" localSheetId="37" hidden="1">{"BSSCHA4",#N/A,FALSE,"sch bs"}</definedName>
    <definedName name="annexure_1" localSheetId="32" hidden="1">{"BSSCHA4",#N/A,FALSE,"sch bs"}</definedName>
    <definedName name="annexure_1" localSheetId="30" hidden="1">{"BSSCHA4",#N/A,FALSE,"sch bs"}</definedName>
    <definedName name="annexure_1" localSheetId="36" hidden="1">{"BSSCHA4",#N/A,FALSE,"sch bs"}</definedName>
    <definedName name="annexure_1" localSheetId="31" hidden="1">{"BSSCHA4",#N/A,FALSE,"sch bs"}</definedName>
    <definedName name="annexure_1" localSheetId="34" hidden="1">{"BSSCHA4",#N/A,FALSE,"sch bs"}</definedName>
    <definedName name="annexure_1" localSheetId="29" hidden="1">{"BSSCHA4",#N/A,FALSE,"sch bs"}</definedName>
    <definedName name="annexure_1" localSheetId="27" hidden="1">{"BSSCHA4",#N/A,FALSE,"sch bs"}</definedName>
    <definedName name="annexure_1" localSheetId="24" hidden="1">{"BSSCHA4",#N/A,FALSE,"sch bs"}</definedName>
    <definedName name="annexure_1" localSheetId="9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33" hidden="1">{"A4BS",#N/A,FALSE,"bs"}</definedName>
    <definedName name="avneeep" localSheetId="28" hidden="1">{"A4BS",#N/A,FALSE,"bs"}</definedName>
    <definedName name="avneeep" localSheetId="35" hidden="1">{"A4BS",#N/A,FALSE,"bs"}</definedName>
    <definedName name="avneeep" localSheetId="37" hidden="1">{"A4BS",#N/A,FALSE,"bs"}</definedName>
    <definedName name="avneeep" localSheetId="32" hidden="1">{"A4BS",#N/A,FALSE,"bs"}</definedName>
    <definedName name="avneeep" localSheetId="30" hidden="1">{"A4BS",#N/A,FALSE,"bs"}</definedName>
    <definedName name="avneeep" localSheetId="36" hidden="1">{"A4BS",#N/A,FALSE,"bs"}</definedName>
    <definedName name="avneeep" localSheetId="31" hidden="1">{"A4BS",#N/A,FALSE,"bs"}</definedName>
    <definedName name="avneeep" localSheetId="34" hidden="1">{"A4BS",#N/A,FALSE,"bs"}</definedName>
    <definedName name="avneeep" localSheetId="29" hidden="1">{"A4BS",#N/A,FALSE,"bs"}</definedName>
    <definedName name="avneeep" localSheetId="27" hidden="1">{"A4BS",#N/A,FALSE,"bs"}</definedName>
    <definedName name="avneeep" localSheetId="24" hidden="1">{"A4BS",#N/A,FALSE,"bs"}</definedName>
    <definedName name="avneeep" localSheetId="9" hidden="1">{"A4BS",#N/A,FALSE,"bs"}</definedName>
    <definedName name="avneeep" hidden="1">{"A4BS",#N/A,FALSE,"bs"}</definedName>
    <definedName name="avneeep_1" localSheetId="33" hidden="1">{"A4BS",#N/A,FALSE,"bs"}</definedName>
    <definedName name="avneeep_1" localSheetId="28" hidden="1">{"A4BS",#N/A,FALSE,"bs"}</definedName>
    <definedName name="avneeep_1" localSheetId="35" hidden="1">{"A4BS",#N/A,FALSE,"bs"}</definedName>
    <definedName name="avneeep_1" localSheetId="37" hidden="1">{"A4BS",#N/A,FALSE,"bs"}</definedName>
    <definedName name="avneeep_1" localSheetId="32" hidden="1">{"A4BS",#N/A,FALSE,"bs"}</definedName>
    <definedName name="avneeep_1" localSheetId="30" hidden="1">{"A4BS",#N/A,FALSE,"bs"}</definedName>
    <definedName name="avneeep_1" localSheetId="36" hidden="1">{"A4BS",#N/A,FALSE,"bs"}</definedName>
    <definedName name="avneeep_1" localSheetId="31" hidden="1">{"A4BS",#N/A,FALSE,"bs"}</definedName>
    <definedName name="avneeep_1" localSheetId="34" hidden="1">{"A4BS",#N/A,FALSE,"bs"}</definedName>
    <definedName name="avneeep_1" localSheetId="29" hidden="1">{"A4BS",#N/A,FALSE,"bs"}</definedName>
    <definedName name="avneeep_1" localSheetId="27" hidden="1">{"A4BS",#N/A,FALSE,"bs"}</definedName>
    <definedName name="avneeep_1" localSheetId="24" hidden="1">{"A4BS",#N/A,FALSE,"bs"}</definedName>
    <definedName name="avneeep_1" localSheetId="9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33" hidden="1">{"A4depsch",#N/A,FALSE,"fa&amp;dep"}</definedName>
    <definedName name="egdywmk" localSheetId="28" hidden="1">{"A4depsch",#N/A,FALSE,"fa&amp;dep"}</definedName>
    <definedName name="egdywmk" localSheetId="35" hidden="1">{"A4depsch",#N/A,FALSE,"fa&amp;dep"}</definedName>
    <definedName name="egdywmk" localSheetId="37" hidden="1">{"A4depsch",#N/A,FALSE,"fa&amp;dep"}</definedName>
    <definedName name="egdywmk" localSheetId="32" hidden="1">{"A4depsch",#N/A,FALSE,"fa&amp;dep"}</definedName>
    <definedName name="egdywmk" localSheetId="30" hidden="1">{"A4depsch",#N/A,FALSE,"fa&amp;dep"}</definedName>
    <definedName name="egdywmk" localSheetId="36" hidden="1">{"A4depsch",#N/A,FALSE,"fa&amp;dep"}</definedName>
    <definedName name="egdywmk" localSheetId="31" hidden="1">{"A4depsch",#N/A,FALSE,"fa&amp;dep"}</definedName>
    <definedName name="egdywmk" localSheetId="34" hidden="1">{"A4depsch",#N/A,FALSE,"fa&amp;dep"}</definedName>
    <definedName name="egdywmk" localSheetId="29" hidden="1">{"A4depsch",#N/A,FALSE,"fa&amp;dep"}</definedName>
    <definedName name="egdywmk" localSheetId="27" hidden="1">{"A4depsch",#N/A,FALSE,"fa&amp;dep"}</definedName>
    <definedName name="egdywmk" localSheetId="24" hidden="1">{"A4depsch",#N/A,FALSE,"fa&amp;dep"}</definedName>
    <definedName name="egdywmk" localSheetId="9" hidden="1">{"A4depsch",#N/A,FALSE,"fa&amp;dep"}</definedName>
    <definedName name="egdywmk" hidden="1">{"A4depsch",#N/A,FALSE,"fa&amp;dep"}</definedName>
    <definedName name="egdywmk_1" localSheetId="33" hidden="1">{"A4depsch",#N/A,FALSE,"fa&amp;dep"}</definedName>
    <definedName name="egdywmk_1" localSheetId="28" hidden="1">{"A4depsch",#N/A,FALSE,"fa&amp;dep"}</definedName>
    <definedName name="egdywmk_1" localSheetId="35" hidden="1">{"A4depsch",#N/A,FALSE,"fa&amp;dep"}</definedName>
    <definedName name="egdywmk_1" localSheetId="37" hidden="1">{"A4depsch",#N/A,FALSE,"fa&amp;dep"}</definedName>
    <definedName name="egdywmk_1" localSheetId="32" hidden="1">{"A4depsch",#N/A,FALSE,"fa&amp;dep"}</definedName>
    <definedName name="egdywmk_1" localSheetId="30" hidden="1">{"A4depsch",#N/A,FALSE,"fa&amp;dep"}</definedName>
    <definedName name="egdywmk_1" localSheetId="36" hidden="1">{"A4depsch",#N/A,FALSE,"fa&amp;dep"}</definedName>
    <definedName name="egdywmk_1" localSheetId="31" hidden="1">{"A4depsch",#N/A,FALSE,"fa&amp;dep"}</definedName>
    <definedName name="egdywmk_1" localSheetId="34" hidden="1">{"A4depsch",#N/A,FALSE,"fa&amp;dep"}</definedName>
    <definedName name="egdywmk_1" localSheetId="29" hidden="1">{"A4depsch",#N/A,FALSE,"fa&amp;dep"}</definedName>
    <definedName name="egdywmk_1" localSheetId="27" hidden="1">{"A4depsch",#N/A,FALSE,"fa&amp;dep"}</definedName>
    <definedName name="egdywmk_1" localSheetId="24" hidden="1">{"A4depsch",#N/A,FALSE,"fa&amp;dep"}</definedName>
    <definedName name="egdywmk_1" localSheetId="9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localSheetId="9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33" hidden="1">{"a4p&amp;L",#N/A,FALSE,"tr &amp; pl"}</definedName>
    <definedName name="gallup" localSheetId="28" hidden="1">{"a4p&amp;L",#N/A,FALSE,"tr &amp; pl"}</definedName>
    <definedName name="gallup" localSheetId="35" hidden="1">{"a4p&amp;L",#N/A,FALSE,"tr &amp; pl"}</definedName>
    <definedName name="gallup" localSheetId="37" hidden="1">{"a4p&amp;L",#N/A,FALSE,"tr &amp; pl"}</definedName>
    <definedName name="gallup" localSheetId="32" hidden="1">{"a4p&amp;L",#N/A,FALSE,"tr &amp; pl"}</definedName>
    <definedName name="gallup" localSheetId="30" hidden="1">{"a4p&amp;L",#N/A,FALSE,"tr &amp; pl"}</definedName>
    <definedName name="gallup" localSheetId="36" hidden="1">{"a4p&amp;L",#N/A,FALSE,"tr &amp; pl"}</definedName>
    <definedName name="gallup" localSheetId="31" hidden="1">{"a4p&amp;L",#N/A,FALSE,"tr &amp; pl"}</definedName>
    <definedName name="gallup" localSheetId="34" hidden="1">{"a4p&amp;L",#N/A,FALSE,"tr &amp; pl"}</definedName>
    <definedName name="gallup" localSheetId="29" hidden="1">{"a4p&amp;L",#N/A,FALSE,"tr &amp; pl"}</definedName>
    <definedName name="gallup" localSheetId="27" hidden="1">{"a4p&amp;L",#N/A,FALSE,"tr &amp; pl"}</definedName>
    <definedName name="gallup" localSheetId="24" hidden="1">{"a4p&amp;L",#N/A,FALSE,"tr &amp; pl"}</definedName>
    <definedName name="gallup" localSheetId="9" hidden="1">{"a4p&amp;L",#N/A,FALSE,"tr &amp; pl"}</definedName>
    <definedName name="gallup" hidden="1">{"a4p&amp;L",#N/A,FALSE,"tr &amp; pl"}</definedName>
    <definedName name="gallup_1" localSheetId="33" hidden="1">{"a4p&amp;L",#N/A,FALSE,"tr &amp; pl"}</definedName>
    <definedName name="gallup_1" localSheetId="28" hidden="1">{"a4p&amp;L",#N/A,FALSE,"tr &amp; pl"}</definedName>
    <definedName name="gallup_1" localSheetId="35" hidden="1">{"a4p&amp;L",#N/A,FALSE,"tr &amp; pl"}</definedName>
    <definedName name="gallup_1" localSheetId="37" hidden="1">{"a4p&amp;L",#N/A,FALSE,"tr &amp; pl"}</definedName>
    <definedName name="gallup_1" localSheetId="32" hidden="1">{"a4p&amp;L",#N/A,FALSE,"tr &amp; pl"}</definedName>
    <definedName name="gallup_1" localSheetId="30" hidden="1">{"a4p&amp;L",#N/A,FALSE,"tr &amp; pl"}</definedName>
    <definedName name="gallup_1" localSheetId="36" hidden="1">{"a4p&amp;L",#N/A,FALSE,"tr &amp; pl"}</definedName>
    <definedName name="gallup_1" localSheetId="31" hidden="1">{"a4p&amp;L",#N/A,FALSE,"tr &amp; pl"}</definedName>
    <definedName name="gallup_1" localSheetId="34" hidden="1">{"a4p&amp;L",#N/A,FALSE,"tr &amp; pl"}</definedName>
    <definedName name="gallup_1" localSheetId="29" hidden="1">{"a4p&amp;L",#N/A,FALSE,"tr &amp; pl"}</definedName>
    <definedName name="gallup_1" localSheetId="27" hidden="1">{"a4p&amp;L",#N/A,FALSE,"tr &amp; pl"}</definedName>
    <definedName name="gallup_1" localSheetId="24" hidden="1">{"a4p&amp;L",#N/A,FALSE,"tr &amp; pl"}</definedName>
    <definedName name="gallup_1" localSheetId="9" hidden="1">{"a4p&amp;L",#N/A,FALSE,"tr &amp; pl"}</definedName>
    <definedName name="gallup_1" hidden="1">{"a4p&amp;L",#N/A,FALSE,"tr &amp; pl"}</definedName>
    <definedName name="GDF" localSheetId="33" hidden="1">{#N/A,#N/A,FALSE,"COMP"}</definedName>
    <definedName name="GDF" localSheetId="28" hidden="1">{#N/A,#N/A,FALSE,"COMP"}</definedName>
    <definedName name="GDF" localSheetId="35" hidden="1">{#N/A,#N/A,FALSE,"COMP"}</definedName>
    <definedName name="GDF" localSheetId="37" hidden="1">{#N/A,#N/A,FALSE,"COMP"}</definedName>
    <definedName name="GDF" localSheetId="32" hidden="1">{#N/A,#N/A,FALSE,"COMP"}</definedName>
    <definedName name="GDF" localSheetId="30" hidden="1">{#N/A,#N/A,FALSE,"COMP"}</definedName>
    <definedName name="GDF" localSheetId="36" hidden="1">{#N/A,#N/A,FALSE,"COMP"}</definedName>
    <definedName name="GDF" localSheetId="31" hidden="1">{#N/A,#N/A,FALSE,"COMP"}</definedName>
    <definedName name="GDF" localSheetId="34" hidden="1">{#N/A,#N/A,FALSE,"COMP"}</definedName>
    <definedName name="GDF" localSheetId="29" hidden="1">{#N/A,#N/A,FALSE,"COMP"}</definedName>
    <definedName name="GDF" localSheetId="27" hidden="1">{#N/A,#N/A,FALSE,"COMP"}</definedName>
    <definedName name="GDF" localSheetId="24" hidden="1">{#N/A,#N/A,FALSE,"COMP"}</definedName>
    <definedName name="GDF" localSheetId="9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33" hidden="1">{#N/A,#N/A,FALSE,"COMP"}</definedName>
    <definedName name="hgfhtr" localSheetId="28" hidden="1">{#N/A,#N/A,FALSE,"COMP"}</definedName>
    <definedName name="hgfhtr" localSheetId="35" hidden="1">{#N/A,#N/A,FALSE,"COMP"}</definedName>
    <definedName name="hgfhtr" localSheetId="37" hidden="1">{#N/A,#N/A,FALSE,"COMP"}</definedName>
    <definedName name="hgfhtr" localSheetId="32" hidden="1">{#N/A,#N/A,FALSE,"COMP"}</definedName>
    <definedName name="hgfhtr" localSheetId="30" hidden="1">{#N/A,#N/A,FALSE,"COMP"}</definedName>
    <definedName name="hgfhtr" localSheetId="36" hidden="1">{#N/A,#N/A,FALSE,"COMP"}</definedName>
    <definedName name="hgfhtr" localSheetId="31" hidden="1">{#N/A,#N/A,FALSE,"COMP"}</definedName>
    <definedName name="hgfhtr" localSheetId="34" hidden="1">{#N/A,#N/A,FALSE,"COMP"}</definedName>
    <definedName name="hgfhtr" localSheetId="29" hidden="1">{#N/A,#N/A,FALSE,"COMP"}</definedName>
    <definedName name="hgfhtr" localSheetId="27" hidden="1">{#N/A,#N/A,FALSE,"COMP"}</definedName>
    <definedName name="hgfhtr" localSheetId="24" hidden="1">{#N/A,#N/A,FALSE,"COMP"}</definedName>
    <definedName name="hgfhtr" localSheetId="9" hidden="1">{#N/A,#N/A,FALSE,"COMP"}</definedName>
    <definedName name="hgfhtr" hidden="1">{#N/A,#N/A,FALSE,"COMP"}</definedName>
    <definedName name="hgkh" localSheetId="33" hidden="1">{#N/A,#N/A,FALSE,"Aging Summary";#N/A,#N/A,FALSE,"Ratio Analysis";#N/A,#N/A,FALSE,"Test 120 Day Accts";#N/A,#N/A,FALSE,"Tickmarks"}</definedName>
    <definedName name="hgkh" localSheetId="28" hidden="1">{#N/A,#N/A,FALSE,"Aging Summary";#N/A,#N/A,FALSE,"Ratio Analysis";#N/A,#N/A,FALSE,"Test 120 Day Accts";#N/A,#N/A,FALSE,"Tickmarks"}</definedName>
    <definedName name="hgkh" localSheetId="35" hidden="1">{#N/A,#N/A,FALSE,"Aging Summary";#N/A,#N/A,FALSE,"Ratio Analysis";#N/A,#N/A,FALSE,"Test 120 Day Accts";#N/A,#N/A,FALSE,"Tickmarks"}</definedName>
    <definedName name="hgkh" localSheetId="37" hidden="1">{#N/A,#N/A,FALSE,"Aging Summary";#N/A,#N/A,FALSE,"Ratio Analysis";#N/A,#N/A,FALSE,"Test 120 Day Accts";#N/A,#N/A,FALSE,"Tickmarks"}</definedName>
    <definedName name="hgkh" localSheetId="32" hidden="1">{#N/A,#N/A,FALSE,"Aging Summary";#N/A,#N/A,FALSE,"Ratio Analysis";#N/A,#N/A,FALSE,"Test 120 Day Accts";#N/A,#N/A,FALSE,"Tickmarks"}</definedName>
    <definedName name="hgkh" localSheetId="30" hidden="1">{#N/A,#N/A,FALSE,"Aging Summary";#N/A,#N/A,FALSE,"Ratio Analysis";#N/A,#N/A,FALSE,"Test 120 Day Accts";#N/A,#N/A,FALSE,"Tickmarks"}</definedName>
    <definedName name="hgkh" localSheetId="36" hidden="1">{#N/A,#N/A,FALSE,"Aging Summary";#N/A,#N/A,FALSE,"Ratio Analysis";#N/A,#N/A,FALSE,"Test 120 Day Accts";#N/A,#N/A,FALSE,"Tickmarks"}</definedName>
    <definedName name="hgkh" localSheetId="31" hidden="1">{#N/A,#N/A,FALSE,"Aging Summary";#N/A,#N/A,FALSE,"Ratio Analysis";#N/A,#N/A,FALSE,"Test 120 Day Accts";#N/A,#N/A,FALSE,"Tickmarks"}</definedName>
    <definedName name="hgkh" localSheetId="34" hidden="1">{#N/A,#N/A,FALSE,"Aging Summary";#N/A,#N/A,FALSE,"Ratio Analysis";#N/A,#N/A,FALSE,"Test 120 Day Accts";#N/A,#N/A,FALSE,"Tickmarks"}</definedName>
    <definedName name="hgkh" localSheetId="29" hidden="1">{#N/A,#N/A,FALSE,"Aging Summary";#N/A,#N/A,FALSE,"Ratio Analysis";#N/A,#N/A,FALSE,"Test 120 Day Accts";#N/A,#N/A,FALSE,"Tickmarks"}</definedName>
    <definedName name="hgkh" localSheetId="27" hidden="1">{#N/A,#N/A,FALSE,"Aging Summary";#N/A,#N/A,FALSE,"Ratio Analysis";#N/A,#N/A,FALSE,"Test 120 Day Accts";#N/A,#N/A,FALSE,"Tickmarks"}</definedName>
    <definedName name="hgkh" localSheetId="24" hidden="1">{#N/A,#N/A,FALSE,"Aging Summary";#N/A,#N/A,FALSE,"Ratio Analysis";#N/A,#N/A,FALSE,"Test 120 Day Accts";#N/A,#N/A,FALSE,"Tickmarks"}</definedName>
    <definedName name="hgkh" localSheetId="9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3" hidden="1">{"'August 2000'!$A$1:$J$101"}</definedName>
    <definedName name="HTML_Control" localSheetId="28" hidden="1">{"'August 2000'!$A$1:$J$101"}</definedName>
    <definedName name="HTML_Control" localSheetId="35" hidden="1">{"'August 2000'!$A$1:$J$101"}</definedName>
    <definedName name="HTML_Control" localSheetId="37" hidden="1">{"'August 2000'!$A$1:$J$101"}</definedName>
    <definedName name="HTML_Control" localSheetId="32" hidden="1">{"'August 2000'!$A$1:$J$101"}</definedName>
    <definedName name="HTML_Control" localSheetId="30" hidden="1">{"'August 2000'!$A$1:$J$101"}</definedName>
    <definedName name="HTML_Control" localSheetId="36" hidden="1">{"'August 2000'!$A$1:$J$101"}</definedName>
    <definedName name="HTML_Control" localSheetId="31" hidden="1">{"'August 2000'!$A$1:$J$101"}</definedName>
    <definedName name="HTML_Control" localSheetId="34" hidden="1">{"'August 2000'!$A$1:$J$101"}</definedName>
    <definedName name="HTML_Control" localSheetId="29" hidden="1">{"'August 2000'!$A$1:$J$101"}</definedName>
    <definedName name="HTML_Control" localSheetId="27" hidden="1">{"'August 2000'!$A$1:$J$101"}</definedName>
    <definedName name="HTML_Control" localSheetId="24" hidden="1">{"'August 2000'!$A$1:$J$101"}</definedName>
    <definedName name="HTML_Control" localSheetId="9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M" hidden="1">#REF!</definedName>
    <definedName name="PEDESTAL2" hidden="1">#REF!</definedName>
    <definedName name="_xlnm.Print_Area" localSheetId="32">'26Q1 Manik G'!$A$1:$I$62</definedName>
    <definedName name="_xlnm.Print_Area" localSheetId="9">'Pkgs Summary (Status)'!#REF!</definedName>
    <definedName name="_xlnm.Print_Titles" localSheetId="33">'26Q1 Atul L'!$2:$4</definedName>
    <definedName name="_xlnm.Print_Titles" localSheetId="28">'26Q1 Cijey M'!$2:$4</definedName>
    <definedName name="_xlnm.Print_Titles" localSheetId="35">'26Q1 Gaganjit S'!$2:$4</definedName>
    <definedName name="_xlnm.Print_Titles" localSheetId="37">'26Q1 Leaderwise'!$2:$4</definedName>
    <definedName name="_xlnm.Print_Titles" localSheetId="32">'26Q1 Manik G'!$2:$4</definedName>
    <definedName name="_xlnm.Print_Titles" localSheetId="30">'26Q1 Naveen Y'!$1:$3</definedName>
    <definedName name="_xlnm.Print_Titles" localSheetId="36">'26Q1 Navneet K'!$2:$4</definedName>
    <definedName name="_xlnm.Print_Titles" localSheetId="31">'26Q1 Om Prakash'!$2:$4</definedName>
    <definedName name="_xlnm.Print_Titles" localSheetId="34">'26Q1 Prakash C'!$2:$4</definedName>
    <definedName name="_xlnm.Print_Titles" localSheetId="29">'26Q1 Saji A'!$2:$4</definedName>
    <definedName name="_xlnm.Print_Titles" localSheetId="25">'Goals FY 2026Q2 (Revised Plan)'!$2:$4</definedName>
    <definedName name="_xlnm.Print_Titles" localSheetId="8">'Goals FY 26-27Q2'!$2:$4</definedName>
    <definedName name="_xlnm.Print_Titles" localSheetId="20">'Goals FY 26-27Q2 Atul P'!$2:$4</definedName>
    <definedName name="_xlnm.Print_Titles" localSheetId="11">'Goals FY 26-27Q2 Cijey'!$2:$4</definedName>
    <definedName name="_xlnm.Print_Titles" localSheetId="16">'Goals FY 26-27Q2 Gagan'!$2:$4</definedName>
    <definedName name="_xlnm.Print_Titles" localSheetId="15">'Goals FY 26-27Q2 Manik'!$2:$4</definedName>
    <definedName name="_xlnm.Print_Titles" localSheetId="14">'Goals FY 26-27Q2 Naveen Y'!$2:$4</definedName>
    <definedName name="_xlnm.Print_Titles" localSheetId="17">'Goals FY 26-27Q2 Navneet'!$2:$4</definedName>
    <definedName name="_xlnm.Print_Titles" localSheetId="13">'Goals FY 26-27Q2 OP'!$2:$4</definedName>
    <definedName name="_xlnm.Print_Titles" localSheetId="19">'Goals FY 26-27Q2 Prakash C'!$2:$4</definedName>
    <definedName name="_xlnm.Print_Titles" localSheetId="12">'Goals FY 26-27Q2 Saji'!$2:$4</definedName>
    <definedName name="_xlnm.Print_Titles" localSheetId="18">'Goals FY 26-27Q2 Shweta V'!$2:$4</definedName>
    <definedName name="_xlnm.Print_Titles" localSheetId="27">'Goals, Actuals 2026 Q1'!$2:$4</definedName>
    <definedName name="_xlnm.Print_Titles" localSheetId="24">'Goals, Actuals 2026 Q1 (Remark)'!$2:$4</definedName>
    <definedName name="_xlnm.Print_Titles" localSheetId="9">'Pkgs Summary (Status)'!$1:$7</definedName>
    <definedName name="Prof" localSheetId="9" hidden="1">#REF!</definedName>
    <definedName name="Prof" hidden="1">#REF!</definedName>
    <definedName name="q" localSheetId="9" hidden="1">#REF!</definedName>
    <definedName name="q" hidden="1">#REF!</definedName>
    <definedName name="sales1" localSheetId="33" hidden="1">{#N/A,#N/A,FALSE,"OPSTATE";#N/A,#N/A,FALSE,"BSLIABILITY";#N/A,#N/A,FALSE,"BSASSETS";#N/A,#N/A,FALSE,"Sheet1"}</definedName>
    <definedName name="sales1" localSheetId="28" hidden="1">{#N/A,#N/A,FALSE,"OPSTATE";#N/A,#N/A,FALSE,"BSLIABILITY";#N/A,#N/A,FALSE,"BSASSETS";#N/A,#N/A,FALSE,"Sheet1"}</definedName>
    <definedName name="sales1" localSheetId="35" hidden="1">{#N/A,#N/A,FALSE,"OPSTATE";#N/A,#N/A,FALSE,"BSLIABILITY";#N/A,#N/A,FALSE,"BSASSETS";#N/A,#N/A,FALSE,"Sheet1"}</definedName>
    <definedName name="sales1" localSheetId="37" hidden="1">{#N/A,#N/A,FALSE,"OPSTATE";#N/A,#N/A,FALSE,"BSLIABILITY";#N/A,#N/A,FALSE,"BSASSETS";#N/A,#N/A,FALSE,"Sheet1"}</definedName>
    <definedName name="sales1" localSheetId="32" hidden="1">{#N/A,#N/A,FALSE,"OPSTATE";#N/A,#N/A,FALSE,"BSLIABILITY";#N/A,#N/A,FALSE,"BSASSETS";#N/A,#N/A,FALSE,"Sheet1"}</definedName>
    <definedName name="sales1" localSheetId="30" hidden="1">{#N/A,#N/A,FALSE,"OPSTATE";#N/A,#N/A,FALSE,"BSLIABILITY";#N/A,#N/A,FALSE,"BSASSETS";#N/A,#N/A,FALSE,"Sheet1"}</definedName>
    <definedName name="sales1" localSheetId="36" hidden="1">{#N/A,#N/A,FALSE,"OPSTATE";#N/A,#N/A,FALSE,"BSLIABILITY";#N/A,#N/A,FALSE,"BSASSETS";#N/A,#N/A,FALSE,"Sheet1"}</definedName>
    <definedName name="sales1" localSheetId="31" hidden="1">{#N/A,#N/A,FALSE,"OPSTATE";#N/A,#N/A,FALSE,"BSLIABILITY";#N/A,#N/A,FALSE,"BSASSETS";#N/A,#N/A,FALSE,"Sheet1"}</definedName>
    <definedName name="sales1" localSheetId="34" hidden="1">{#N/A,#N/A,FALSE,"OPSTATE";#N/A,#N/A,FALSE,"BSLIABILITY";#N/A,#N/A,FALSE,"BSASSETS";#N/A,#N/A,FALSE,"Sheet1"}</definedName>
    <definedName name="sales1" localSheetId="29" hidden="1">{#N/A,#N/A,FALSE,"OPSTATE";#N/A,#N/A,FALSE,"BSLIABILITY";#N/A,#N/A,FALSE,"BSASSETS";#N/A,#N/A,FALSE,"Sheet1"}</definedName>
    <definedName name="sales1" localSheetId="27" hidden="1">{#N/A,#N/A,FALSE,"OPSTATE";#N/A,#N/A,FALSE,"BSLIABILITY";#N/A,#N/A,FALSE,"BSASSETS";#N/A,#N/A,FALSE,"Sheet1"}</definedName>
    <definedName name="sales1" localSheetId="24" hidden="1">{#N/A,#N/A,FALSE,"OPSTATE";#N/A,#N/A,FALSE,"BSLIABILITY";#N/A,#N/A,FALSE,"BSASSETS";#N/A,#N/A,FALSE,"Sheet1"}</definedName>
    <definedName name="sales1" localSheetId="9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3" hidden="1">{"A4depsch",#N/A,FALSE,"fa&amp;dep"}</definedName>
    <definedName name="salws2" localSheetId="28" hidden="1">{"A4depsch",#N/A,FALSE,"fa&amp;dep"}</definedName>
    <definedName name="salws2" localSheetId="35" hidden="1">{"A4depsch",#N/A,FALSE,"fa&amp;dep"}</definedName>
    <definedName name="salws2" localSheetId="37" hidden="1">{"A4depsch",#N/A,FALSE,"fa&amp;dep"}</definedName>
    <definedName name="salws2" localSheetId="32" hidden="1">{"A4depsch",#N/A,FALSE,"fa&amp;dep"}</definedName>
    <definedName name="salws2" localSheetId="30" hidden="1">{"A4depsch",#N/A,FALSE,"fa&amp;dep"}</definedName>
    <definedName name="salws2" localSheetId="36" hidden="1">{"A4depsch",#N/A,FALSE,"fa&amp;dep"}</definedName>
    <definedName name="salws2" localSheetId="31" hidden="1">{"A4depsch",#N/A,FALSE,"fa&amp;dep"}</definedName>
    <definedName name="salws2" localSheetId="34" hidden="1">{"A4depsch",#N/A,FALSE,"fa&amp;dep"}</definedName>
    <definedName name="salws2" localSheetId="29" hidden="1">{"A4depsch",#N/A,FALSE,"fa&amp;dep"}</definedName>
    <definedName name="salws2" localSheetId="27" hidden="1">{"A4depsch",#N/A,FALSE,"fa&amp;dep"}</definedName>
    <definedName name="salws2" localSheetId="24" hidden="1">{"A4depsch",#N/A,FALSE,"fa&amp;dep"}</definedName>
    <definedName name="salws2" localSheetId="9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33" hidden="1">{#N/A,#N/A,FALSE,"COMP"}</definedName>
    <definedName name="sss" localSheetId="28" hidden="1">{#N/A,#N/A,FALSE,"COMP"}</definedName>
    <definedName name="sss" localSheetId="35" hidden="1">{#N/A,#N/A,FALSE,"COMP"}</definedName>
    <definedName name="sss" localSheetId="37" hidden="1">{#N/A,#N/A,FALSE,"COMP"}</definedName>
    <definedName name="sss" localSheetId="32" hidden="1">{#N/A,#N/A,FALSE,"COMP"}</definedName>
    <definedName name="sss" localSheetId="30" hidden="1">{#N/A,#N/A,FALSE,"COMP"}</definedName>
    <definedName name="sss" localSheetId="36" hidden="1">{#N/A,#N/A,FALSE,"COMP"}</definedName>
    <definedName name="sss" localSheetId="31" hidden="1">{#N/A,#N/A,FALSE,"COMP"}</definedName>
    <definedName name="sss" localSheetId="34" hidden="1">{#N/A,#N/A,FALSE,"COMP"}</definedName>
    <definedName name="sss" localSheetId="29" hidden="1">{#N/A,#N/A,FALSE,"COMP"}</definedName>
    <definedName name="sss" localSheetId="27" hidden="1">{#N/A,#N/A,FALSE,"COMP"}</definedName>
    <definedName name="sss" localSheetId="24" hidden="1">{#N/A,#N/A,FALSE,"COMP"}</definedName>
    <definedName name="sss" localSheetId="9" hidden="1">{#N/A,#N/A,FALSE,"COMP"}</definedName>
    <definedName name="sss" hidden="1">{#N/A,#N/A,FALSE,"COMP"}</definedName>
    <definedName name="the" localSheetId="33" hidden="1">{#N/A,#N/A,FALSE,"COMP"}</definedName>
    <definedName name="the" localSheetId="28" hidden="1">{#N/A,#N/A,FALSE,"COMP"}</definedName>
    <definedName name="the" localSheetId="35" hidden="1">{#N/A,#N/A,FALSE,"COMP"}</definedName>
    <definedName name="the" localSheetId="37" hidden="1">{#N/A,#N/A,FALSE,"COMP"}</definedName>
    <definedName name="the" localSheetId="32" hidden="1">{#N/A,#N/A,FALSE,"COMP"}</definedName>
    <definedName name="the" localSheetId="30" hidden="1">{#N/A,#N/A,FALSE,"COMP"}</definedName>
    <definedName name="the" localSheetId="36" hidden="1">{#N/A,#N/A,FALSE,"COMP"}</definedName>
    <definedName name="the" localSheetId="31" hidden="1">{#N/A,#N/A,FALSE,"COMP"}</definedName>
    <definedName name="the" localSheetId="34" hidden="1">{#N/A,#N/A,FALSE,"COMP"}</definedName>
    <definedName name="the" localSheetId="29" hidden="1">{#N/A,#N/A,FALSE,"COMP"}</definedName>
    <definedName name="the" localSheetId="27" hidden="1">{#N/A,#N/A,FALSE,"COMP"}</definedName>
    <definedName name="the" localSheetId="24" hidden="1">{#N/A,#N/A,FALSE,"COMP"}</definedName>
    <definedName name="the" localSheetId="9" hidden="1">{#N/A,#N/A,FALSE,"COMP"}</definedName>
    <definedName name="the" hidden="1">{#N/A,#N/A,FALSE,"COMP"}</definedName>
    <definedName name="v" hidden="1">#REF!,#REF!</definedName>
    <definedName name="vivek1" localSheetId="9" hidden="1">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33" hidden="1">{#N/A,#N/A,FALSE,"COMP"}</definedName>
    <definedName name="wr" localSheetId="28" hidden="1">{#N/A,#N/A,FALSE,"COMP"}</definedName>
    <definedName name="wr" localSheetId="35" hidden="1">{#N/A,#N/A,FALSE,"COMP"}</definedName>
    <definedName name="wr" localSheetId="37" hidden="1">{#N/A,#N/A,FALSE,"COMP"}</definedName>
    <definedName name="wr" localSheetId="32" hidden="1">{#N/A,#N/A,FALSE,"COMP"}</definedName>
    <definedName name="wr" localSheetId="30" hidden="1">{#N/A,#N/A,FALSE,"COMP"}</definedName>
    <definedName name="wr" localSheetId="36" hidden="1">{#N/A,#N/A,FALSE,"COMP"}</definedName>
    <definedName name="wr" localSheetId="31" hidden="1">{#N/A,#N/A,FALSE,"COMP"}</definedName>
    <definedName name="wr" localSheetId="34" hidden="1">{#N/A,#N/A,FALSE,"COMP"}</definedName>
    <definedName name="wr" localSheetId="29" hidden="1">{#N/A,#N/A,FALSE,"COMP"}</definedName>
    <definedName name="wr" localSheetId="27" hidden="1">{#N/A,#N/A,FALSE,"COMP"}</definedName>
    <definedName name="wr" localSheetId="24" hidden="1">{#N/A,#N/A,FALSE,"COMP"}</definedName>
    <definedName name="wr" localSheetId="9" hidden="1">{#N/A,#N/A,FALSE,"COMP"}</definedName>
    <definedName name="wr" hidden="1">{#N/A,#N/A,FALSE,"COMP"}</definedName>
    <definedName name="WRI" localSheetId="33" hidden="1">{#N/A,#N/A,FALSE,"COMP"}</definedName>
    <definedName name="WRI" localSheetId="28" hidden="1">{#N/A,#N/A,FALSE,"COMP"}</definedName>
    <definedName name="WRI" localSheetId="35" hidden="1">{#N/A,#N/A,FALSE,"COMP"}</definedName>
    <definedName name="WRI" localSheetId="37" hidden="1">{#N/A,#N/A,FALSE,"COMP"}</definedName>
    <definedName name="WRI" localSheetId="32" hidden="1">{#N/A,#N/A,FALSE,"COMP"}</definedName>
    <definedName name="WRI" localSheetId="30" hidden="1">{#N/A,#N/A,FALSE,"COMP"}</definedName>
    <definedName name="WRI" localSheetId="36" hidden="1">{#N/A,#N/A,FALSE,"COMP"}</definedName>
    <definedName name="WRI" localSheetId="31" hidden="1">{#N/A,#N/A,FALSE,"COMP"}</definedName>
    <definedName name="WRI" localSheetId="34" hidden="1">{#N/A,#N/A,FALSE,"COMP"}</definedName>
    <definedName name="WRI" localSheetId="29" hidden="1">{#N/A,#N/A,FALSE,"COMP"}</definedName>
    <definedName name="WRI" localSheetId="27" hidden="1">{#N/A,#N/A,FALSE,"COMP"}</definedName>
    <definedName name="WRI" localSheetId="24" hidden="1">{#N/A,#N/A,FALSE,"COMP"}</definedName>
    <definedName name="WRI" localSheetId="9" hidden="1">{#N/A,#N/A,FALSE,"COMP"}</definedName>
    <definedName name="WRI" hidden="1">{#N/A,#N/A,FALSE,"COMP"}</definedName>
    <definedName name="wrn.A4BSSCH." localSheetId="33" hidden="1">{"BSSCHA4",#N/A,FALSE,"sch bs"}</definedName>
    <definedName name="wrn.A4BSSCH." localSheetId="28" hidden="1">{"BSSCHA4",#N/A,FALSE,"sch bs"}</definedName>
    <definedName name="wrn.A4BSSCH." localSheetId="35" hidden="1">{"BSSCHA4",#N/A,FALSE,"sch bs"}</definedName>
    <definedName name="wrn.A4BSSCH." localSheetId="37" hidden="1">{"BSSCHA4",#N/A,FALSE,"sch bs"}</definedName>
    <definedName name="wrn.A4BSSCH." localSheetId="32" hidden="1">{"BSSCHA4",#N/A,FALSE,"sch bs"}</definedName>
    <definedName name="wrn.A4BSSCH." localSheetId="30" hidden="1">{"BSSCHA4",#N/A,FALSE,"sch bs"}</definedName>
    <definedName name="wrn.A4BSSCH." localSheetId="36" hidden="1">{"BSSCHA4",#N/A,FALSE,"sch bs"}</definedName>
    <definedName name="wrn.A4BSSCH." localSheetId="31" hidden="1">{"BSSCHA4",#N/A,FALSE,"sch bs"}</definedName>
    <definedName name="wrn.A4BSSCH." localSheetId="34" hidden="1">{"BSSCHA4",#N/A,FALSE,"sch bs"}</definedName>
    <definedName name="wrn.A4BSSCH." localSheetId="29" hidden="1">{"BSSCHA4",#N/A,FALSE,"sch bs"}</definedName>
    <definedName name="wrn.A4BSSCH." localSheetId="27" hidden="1">{"BSSCHA4",#N/A,FALSE,"sch bs"}</definedName>
    <definedName name="wrn.A4BSSCH." localSheetId="24" hidden="1">{"BSSCHA4",#N/A,FALSE,"sch bs"}</definedName>
    <definedName name="wrn.A4BSSCH." localSheetId="9" hidden="1">{"BSSCHA4",#N/A,FALSE,"sch bs"}</definedName>
    <definedName name="wrn.A4BSSCH." hidden="1">{"BSSCHA4",#N/A,FALSE,"sch bs"}</definedName>
    <definedName name="wrn.A4BSSCH._1" localSheetId="33" hidden="1">{"BSSCHA4",#N/A,FALSE,"sch bs"}</definedName>
    <definedName name="wrn.A4BSSCH._1" localSheetId="28" hidden="1">{"BSSCHA4",#N/A,FALSE,"sch bs"}</definedName>
    <definedName name="wrn.A4BSSCH._1" localSheetId="35" hidden="1">{"BSSCHA4",#N/A,FALSE,"sch bs"}</definedName>
    <definedName name="wrn.A4BSSCH._1" localSheetId="37" hidden="1">{"BSSCHA4",#N/A,FALSE,"sch bs"}</definedName>
    <definedName name="wrn.A4BSSCH._1" localSheetId="32" hidden="1">{"BSSCHA4",#N/A,FALSE,"sch bs"}</definedName>
    <definedName name="wrn.A4BSSCH._1" localSheetId="30" hidden="1">{"BSSCHA4",#N/A,FALSE,"sch bs"}</definedName>
    <definedName name="wrn.A4BSSCH._1" localSheetId="36" hidden="1">{"BSSCHA4",#N/A,FALSE,"sch bs"}</definedName>
    <definedName name="wrn.A4BSSCH._1" localSheetId="31" hidden="1">{"BSSCHA4",#N/A,FALSE,"sch bs"}</definedName>
    <definedName name="wrn.A4BSSCH._1" localSheetId="34" hidden="1">{"BSSCHA4",#N/A,FALSE,"sch bs"}</definedName>
    <definedName name="wrn.A4BSSCH._1" localSheetId="29" hidden="1">{"BSSCHA4",#N/A,FALSE,"sch bs"}</definedName>
    <definedName name="wrn.A4BSSCH._1" localSheetId="27" hidden="1">{"BSSCHA4",#N/A,FALSE,"sch bs"}</definedName>
    <definedName name="wrn.A4BSSCH._1" localSheetId="24" hidden="1">{"BSSCHA4",#N/A,FALSE,"sch bs"}</definedName>
    <definedName name="wrn.A4BSSCH._1" localSheetId="9" hidden="1">{"BSSCHA4",#N/A,FALSE,"sch bs"}</definedName>
    <definedName name="wrn.A4BSSCH._1" hidden="1">{"BSSCHA4",#N/A,FALSE,"sch bs"}</definedName>
    <definedName name="wrn.A4PL." localSheetId="33" hidden="1">{"a4p&amp;L",#N/A,FALSE,"tr &amp; pl"}</definedName>
    <definedName name="wrn.A4PL." localSheetId="28" hidden="1">{"a4p&amp;L",#N/A,FALSE,"tr &amp; pl"}</definedName>
    <definedName name="wrn.A4PL." localSheetId="35" hidden="1">{"a4p&amp;L",#N/A,FALSE,"tr &amp; pl"}</definedName>
    <definedName name="wrn.A4PL." localSheetId="37" hidden="1">{"a4p&amp;L",#N/A,FALSE,"tr &amp; pl"}</definedName>
    <definedName name="wrn.A4PL." localSheetId="32" hidden="1">{"a4p&amp;L",#N/A,FALSE,"tr &amp; pl"}</definedName>
    <definedName name="wrn.A4PL." localSheetId="30" hidden="1">{"a4p&amp;L",#N/A,FALSE,"tr &amp; pl"}</definedName>
    <definedName name="wrn.A4PL." localSheetId="36" hidden="1">{"a4p&amp;L",#N/A,FALSE,"tr &amp; pl"}</definedName>
    <definedName name="wrn.A4PL." localSheetId="31" hidden="1">{"a4p&amp;L",#N/A,FALSE,"tr &amp; pl"}</definedName>
    <definedName name="wrn.A4PL." localSheetId="34" hidden="1">{"a4p&amp;L",#N/A,FALSE,"tr &amp; pl"}</definedName>
    <definedName name="wrn.A4PL." localSheetId="29" hidden="1">{"a4p&amp;L",#N/A,FALSE,"tr &amp; pl"}</definedName>
    <definedName name="wrn.A4PL." localSheetId="27" hidden="1">{"a4p&amp;L",#N/A,FALSE,"tr &amp; pl"}</definedName>
    <definedName name="wrn.A4PL." localSheetId="24" hidden="1">{"a4p&amp;L",#N/A,FALSE,"tr &amp; pl"}</definedName>
    <definedName name="wrn.A4PL." localSheetId="9" hidden="1">{"a4p&amp;L",#N/A,FALSE,"tr &amp; pl"}</definedName>
    <definedName name="wrn.A4PL." hidden="1">{"a4p&amp;L",#N/A,FALSE,"tr &amp; pl"}</definedName>
    <definedName name="wrn.A4PL._1" localSheetId="33" hidden="1">{"a4p&amp;L",#N/A,FALSE,"tr &amp; pl"}</definedName>
    <definedName name="wrn.A4PL._1" localSheetId="28" hidden="1">{"a4p&amp;L",#N/A,FALSE,"tr &amp; pl"}</definedName>
    <definedName name="wrn.A4PL._1" localSheetId="35" hidden="1">{"a4p&amp;L",#N/A,FALSE,"tr &amp; pl"}</definedName>
    <definedName name="wrn.A4PL._1" localSheetId="37" hidden="1">{"a4p&amp;L",#N/A,FALSE,"tr &amp; pl"}</definedName>
    <definedName name="wrn.A4PL._1" localSheetId="32" hidden="1">{"a4p&amp;L",#N/A,FALSE,"tr &amp; pl"}</definedName>
    <definedName name="wrn.A4PL._1" localSheetId="30" hidden="1">{"a4p&amp;L",#N/A,FALSE,"tr &amp; pl"}</definedName>
    <definedName name="wrn.A4PL._1" localSheetId="36" hidden="1">{"a4p&amp;L",#N/A,FALSE,"tr &amp; pl"}</definedName>
    <definedName name="wrn.A4PL._1" localSheetId="31" hidden="1">{"a4p&amp;L",#N/A,FALSE,"tr &amp; pl"}</definedName>
    <definedName name="wrn.A4PL._1" localSheetId="34" hidden="1">{"a4p&amp;L",#N/A,FALSE,"tr &amp; pl"}</definedName>
    <definedName name="wrn.A4PL._1" localSheetId="29" hidden="1">{"a4p&amp;L",#N/A,FALSE,"tr &amp; pl"}</definedName>
    <definedName name="wrn.A4PL._1" localSheetId="27" hidden="1">{"a4p&amp;L",#N/A,FALSE,"tr &amp; pl"}</definedName>
    <definedName name="wrn.A4PL._1" localSheetId="24" hidden="1">{"a4p&amp;L",#N/A,FALSE,"tr &amp; pl"}</definedName>
    <definedName name="wrn.A4PL._1" localSheetId="9" hidden="1">{"a4p&amp;L",#N/A,FALSE,"tr &amp; pl"}</definedName>
    <definedName name="wrn.A4PL._1" hidden="1">{"a4p&amp;L",#N/A,FALSE,"tr &amp; pl"}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28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2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27" hidden="1">{#N/A,#N/A,FALSE,"Aging Summary";#N/A,#N/A,FALSE,"Ratio Analysis";#N/A,#N/A,FALSE,"Test 120 Day Accts";#N/A,#N/A,FALSE,"Tickmarks"}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3" hidden="1">{#N/A,#N/A,FALSE,"OPSTATE";#N/A,#N/A,FALSE,"BSLIABILITY";#N/A,#N/A,FALSE,"BSASSETS";#N/A,#N/A,FALSE,"Sheet1"}</definedName>
    <definedName name="wrn.AkrutiCMA." localSheetId="28" hidden="1">{#N/A,#N/A,FALSE,"OPSTATE";#N/A,#N/A,FALSE,"BSLIABILITY";#N/A,#N/A,FALSE,"BSASSETS";#N/A,#N/A,FALSE,"Sheet1"}</definedName>
    <definedName name="wrn.AkrutiCMA." localSheetId="35" hidden="1">{#N/A,#N/A,FALSE,"OPSTATE";#N/A,#N/A,FALSE,"BSLIABILITY";#N/A,#N/A,FALSE,"BSASSETS";#N/A,#N/A,FALSE,"Sheet1"}</definedName>
    <definedName name="wrn.AkrutiCMA." localSheetId="37" hidden="1">{#N/A,#N/A,FALSE,"OPSTATE";#N/A,#N/A,FALSE,"BSLIABILITY";#N/A,#N/A,FALSE,"BSASSETS";#N/A,#N/A,FALSE,"Sheet1"}</definedName>
    <definedName name="wrn.AkrutiCMA." localSheetId="32" hidden="1">{#N/A,#N/A,FALSE,"OPSTATE";#N/A,#N/A,FALSE,"BSLIABILITY";#N/A,#N/A,FALSE,"BSASSETS";#N/A,#N/A,FALSE,"Sheet1"}</definedName>
    <definedName name="wrn.AkrutiCMA." localSheetId="30" hidden="1">{#N/A,#N/A,FALSE,"OPSTATE";#N/A,#N/A,FALSE,"BSLIABILITY";#N/A,#N/A,FALSE,"BSASSETS";#N/A,#N/A,FALSE,"Sheet1"}</definedName>
    <definedName name="wrn.AkrutiCMA." localSheetId="36" hidden="1">{#N/A,#N/A,FALSE,"OPSTATE";#N/A,#N/A,FALSE,"BSLIABILITY";#N/A,#N/A,FALSE,"BSASSETS";#N/A,#N/A,FALSE,"Sheet1"}</definedName>
    <definedName name="wrn.AkrutiCMA." localSheetId="31" hidden="1">{#N/A,#N/A,FALSE,"OPSTATE";#N/A,#N/A,FALSE,"BSLIABILITY";#N/A,#N/A,FALSE,"BSASSETS";#N/A,#N/A,FALSE,"Sheet1"}</definedName>
    <definedName name="wrn.AkrutiCMA." localSheetId="34" hidden="1">{#N/A,#N/A,FALSE,"OPSTATE";#N/A,#N/A,FALSE,"BSLIABILITY";#N/A,#N/A,FALSE,"BSASSETS";#N/A,#N/A,FALSE,"Sheet1"}</definedName>
    <definedName name="wrn.AkrutiCMA." localSheetId="29" hidden="1">{#N/A,#N/A,FALSE,"OPSTATE";#N/A,#N/A,FALSE,"BSLIABILITY";#N/A,#N/A,FALSE,"BSASSETS";#N/A,#N/A,FALSE,"Sheet1"}</definedName>
    <definedName name="wrn.AkrutiCMA." localSheetId="27" hidden="1">{#N/A,#N/A,FALSE,"OPSTATE";#N/A,#N/A,FALSE,"BSLIABILITY";#N/A,#N/A,FALSE,"BSASSETS";#N/A,#N/A,FALSE,"Sheet1"}</definedName>
    <definedName name="wrn.AkrutiCMA." localSheetId="24" hidden="1">{#N/A,#N/A,FALSE,"OPSTATE";#N/A,#N/A,FALSE,"BSLIABILITY";#N/A,#N/A,FALSE,"BSASSETS";#N/A,#N/A,FALSE,"Sheet1"}</definedName>
    <definedName name="wrn.AkrutiCMA." localSheetId="9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3" hidden="1">{"A4BS",#N/A,FALSE,"bs"}</definedName>
    <definedName name="wrn.BSA4." localSheetId="28" hidden="1">{"A4BS",#N/A,FALSE,"bs"}</definedName>
    <definedName name="wrn.BSA4." localSheetId="35" hidden="1">{"A4BS",#N/A,FALSE,"bs"}</definedName>
    <definedName name="wrn.BSA4." localSheetId="37" hidden="1">{"A4BS",#N/A,FALSE,"bs"}</definedName>
    <definedName name="wrn.BSA4." localSheetId="32" hidden="1">{"A4BS",#N/A,FALSE,"bs"}</definedName>
    <definedName name="wrn.BSA4." localSheetId="30" hidden="1">{"A4BS",#N/A,FALSE,"bs"}</definedName>
    <definedName name="wrn.BSA4." localSheetId="36" hidden="1">{"A4BS",#N/A,FALSE,"bs"}</definedName>
    <definedName name="wrn.BSA4." localSheetId="31" hidden="1">{"A4BS",#N/A,FALSE,"bs"}</definedName>
    <definedName name="wrn.BSA4." localSheetId="34" hidden="1">{"A4BS",#N/A,FALSE,"bs"}</definedName>
    <definedName name="wrn.BSA4." localSheetId="29" hidden="1">{"A4BS",#N/A,FALSE,"bs"}</definedName>
    <definedName name="wrn.BSA4." localSheetId="27" hidden="1">{"A4BS",#N/A,FALSE,"bs"}</definedName>
    <definedName name="wrn.BSA4." localSheetId="24" hidden="1">{"A4BS",#N/A,FALSE,"bs"}</definedName>
    <definedName name="wrn.BSA4." localSheetId="9" hidden="1">{"A4BS",#N/A,FALSE,"bs"}</definedName>
    <definedName name="wrn.BSA4." hidden="1">{"A4BS",#N/A,FALSE,"bs"}</definedName>
    <definedName name="wrn.BSA4._1" localSheetId="33" hidden="1">{"A4BS",#N/A,FALSE,"bs"}</definedName>
    <definedName name="wrn.BSA4._1" localSheetId="28" hidden="1">{"A4BS",#N/A,FALSE,"bs"}</definedName>
    <definedName name="wrn.BSA4._1" localSheetId="35" hidden="1">{"A4BS",#N/A,FALSE,"bs"}</definedName>
    <definedName name="wrn.BSA4._1" localSheetId="37" hidden="1">{"A4BS",#N/A,FALSE,"bs"}</definedName>
    <definedName name="wrn.BSA4._1" localSheetId="32" hidden="1">{"A4BS",#N/A,FALSE,"bs"}</definedName>
    <definedName name="wrn.BSA4._1" localSheetId="30" hidden="1">{"A4BS",#N/A,FALSE,"bs"}</definedName>
    <definedName name="wrn.BSA4._1" localSheetId="36" hidden="1">{"A4BS",#N/A,FALSE,"bs"}</definedName>
    <definedName name="wrn.BSA4._1" localSheetId="31" hidden="1">{"A4BS",#N/A,FALSE,"bs"}</definedName>
    <definedName name="wrn.BSA4._1" localSheetId="34" hidden="1">{"A4BS",#N/A,FALSE,"bs"}</definedName>
    <definedName name="wrn.BSA4._1" localSheetId="29" hidden="1">{"A4BS",#N/A,FALSE,"bs"}</definedName>
    <definedName name="wrn.BSA4._1" localSheetId="27" hidden="1">{"A4BS",#N/A,FALSE,"bs"}</definedName>
    <definedName name="wrn.BSA4._1" localSheetId="24" hidden="1">{"A4BS",#N/A,FALSE,"bs"}</definedName>
    <definedName name="wrn.BSA4._1" localSheetId="9" hidden="1">{"A4BS",#N/A,FALSE,"bs"}</definedName>
    <definedName name="wrn.BSA4._1" hidden="1">{"A4BS",#N/A,FALSE,"bs"}</definedName>
    <definedName name="wrn.capA4." localSheetId="33" hidden="1">{"capA4",#N/A,FALSE,"capt"}</definedName>
    <definedName name="wrn.capA4." localSheetId="28" hidden="1">{"capA4",#N/A,FALSE,"capt"}</definedName>
    <definedName name="wrn.capA4." localSheetId="35" hidden="1">{"capA4",#N/A,FALSE,"capt"}</definedName>
    <definedName name="wrn.capA4." localSheetId="37" hidden="1">{"capA4",#N/A,FALSE,"capt"}</definedName>
    <definedName name="wrn.capA4." localSheetId="32" hidden="1">{"capA4",#N/A,FALSE,"capt"}</definedName>
    <definedName name="wrn.capA4." localSheetId="30" hidden="1">{"capA4",#N/A,FALSE,"capt"}</definedName>
    <definedName name="wrn.capA4." localSheetId="36" hidden="1">{"capA4",#N/A,FALSE,"capt"}</definedName>
    <definedName name="wrn.capA4." localSheetId="31" hidden="1">{"capA4",#N/A,FALSE,"capt"}</definedName>
    <definedName name="wrn.capA4." localSheetId="34" hidden="1">{"capA4",#N/A,FALSE,"capt"}</definedName>
    <definedName name="wrn.capA4." localSheetId="29" hidden="1">{"capA4",#N/A,FALSE,"capt"}</definedName>
    <definedName name="wrn.capA4." localSheetId="27" hidden="1">{"capA4",#N/A,FALSE,"capt"}</definedName>
    <definedName name="wrn.capA4." localSheetId="24" hidden="1">{"capA4",#N/A,FALSE,"capt"}</definedName>
    <definedName name="wrn.capA4." localSheetId="9" hidden="1">{"capA4",#N/A,FALSE,"capt"}</definedName>
    <definedName name="wrn.capA4." hidden="1">{"capA4",#N/A,FALSE,"capt"}</definedName>
    <definedName name="wrn.capA4._1" localSheetId="33" hidden="1">{"capA4",#N/A,FALSE,"capt"}</definedName>
    <definedName name="wrn.capA4._1" localSheetId="28" hidden="1">{"capA4",#N/A,FALSE,"capt"}</definedName>
    <definedName name="wrn.capA4._1" localSheetId="35" hidden="1">{"capA4",#N/A,FALSE,"capt"}</definedName>
    <definedName name="wrn.capA4._1" localSheetId="37" hidden="1">{"capA4",#N/A,FALSE,"capt"}</definedName>
    <definedName name="wrn.capA4._1" localSheetId="32" hidden="1">{"capA4",#N/A,FALSE,"capt"}</definedName>
    <definedName name="wrn.capA4._1" localSheetId="30" hidden="1">{"capA4",#N/A,FALSE,"capt"}</definedName>
    <definedName name="wrn.capA4._1" localSheetId="36" hidden="1">{"capA4",#N/A,FALSE,"capt"}</definedName>
    <definedName name="wrn.capA4._1" localSheetId="31" hidden="1">{"capA4",#N/A,FALSE,"capt"}</definedName>
    <definedName name="wrn.capA4._1" localSheetId="34" hidden="1">{"capA4",#N/A,FALSE,"capt"}</definedName>
    <definedName name="wrn.capA4._1" localSheetId="29" hidden="1">{"capA4",#N/A,FALSE,"capt"}</definedName>
    <definedName name="wrn.capA4._1" localSheetId="27" hidden="1">{"capA4",#N/A,FALSE,"capt"}</definedName>
    <definedName name="wrn.capA4._1" localSheetId="24" hidden="1">{"capA4",#N/A,FALSE,"capt"}</definedName>
    <definedName name="wrn.capA4._1" localSheetId="9" hidden="1">{"capA4",#N/A,FALSE,"capt"}</definedName>
    <definedName name="wrn.capA4._1" hidden="1">{"capA4",#N/A,FALSE,"capt"}</definedName>
    <definedName name="wrn.depschA4." localSheetId="33" hidden="1">{"A4depsch",#N/A,FALSE,"fa&amp;dep"}</definedName>
    <definedName name="wrn.depschA4." localSheetId="28" hidden="1">{"A4depsch",#N/A,FALSE,"fa&amp;dep"}</definedName>
    <definedName name="wrn.depschA4." localSheetId="35" hidden="1">{"A4depsch",#N/A,FALSE,"fa&amp;dep"}</definedName>
    <definedName name="wrn.depschA4." localSheetId="37" hidden="1">{"A4depsch",#N/A,FALSE,"fa&amp;dep"}</definedName>
    <definedName name="wrn.depschA4." localSheetId="32" hidden="1">{"A4depsch",#N/A,FALSE,"fa&amp;dep"}</definedName>
    <definedName name="wrn.depschA4." localSheetId="30" hidden="1">{"A4depsch",#N/A,FALSE,"fa&amp;dep"}</definedName>
    <definedName name="wrn.depschA4." localSheetId="36" hidden="1">{"A4depsch",#N/A,FALSE,"fa&amp;dep"}</definedName>
    <definedName name="wrn.depschA4." localSheetId="31" hidden="1">{"A4depsch",#N/A,FALSE,"fa&amp;dep"}</definedName>
    <definedName name="wrn.depschA4." localSheetId="34" hidden="1">{"A4depsch",#N/A,FALSE,"fa&amp;dep"}</definedName>
    <definedName name="wrn.depschA4." localSheetId="29" hidden="1">{"A4depsch",#N/A,FALSE,"fa&amp;dep"}</definedName>
    <definedName name="wrn.depschA4." localSheetId="27" hidden="1">{"A4depsch",#N/A,FALSE,"fa&amp;dep"}</definedName>
    <definedName name="wrn.depschA4." localSheetId="24" hidden="1">{"A4depsch",#N/A,FALSE,"fa&amp;dep"}</definedName>
    <definedName name="wrn.depschA4." localSheetId="9" hidden="1">{"A4depsch",#N/A,FALSE,"fa&amp;dep"}</definedName>
    <definedName name="wrn.depschA4." hidden="1">{"A4depsch",#N/A,FALSE,"fa&amp;dep"}</definedName>
    <definedName name="wrn.depschA4._1" localSheetId="33" hidden="1">{"A4depsch",#N/A,FALSE,"fa&amp;dep"}</definedName>
    <definedName name="wrn.depschA4._1" localSheetId="28" hidden="1">{"A4depsch",#N/A,FALSE,"fa&amp;dep"}</definedName>
    <definedName name="wrn.depschA4._1" localSheetId="35" hidden="1">{"A4depsch",#N/A,FALSE,"fa&amp;dep"}</definedName>
    <definedName name="wrn.depschA4._1" localSheetId="37" hidden="1">{"A4depsch",#N/A,FALSE,"fa&amp;dep"}</definedName>
    <definedName name="wrn.depschA4._1" localSheetId="32" hidden="1">{"A4depsch",#N/A,FALSE,"fa&amp;dep"}</definedName>
    <definedName name="wrn.depschA4._1" localSheetId="30" hidden="1">{"A4depsch",#N/A,FALSE,"fa&amp;dep"}</definedName>
    <definedName name="wrn.depschA4._1" localSheetId="36" hidden="1">{"A4depsch",#N/A,FALSE,"fa&amp;dep"}</definedName>
    <definedName name="wrn.depschA4._1" localSheetId="31" hidden="1">{"A4depsch",#N/A,FALSE,"fa&amp;dep"}</definedName>
    <definedName name="wrn.depschA4._1" localSheetId="34" hidden="1">{"A4depsch",#N/A,FALSE,"fa&amp;dep"}</definedName>
    <definedName name="wrn.depschA4._1" localSheetId="29" hidden="1">{"A4depsch",#N/A,FALSE,"fa&amp;dep"}</definedName>
    <definedName name="wrn.depschA4._1" localSheetId="27" hidden="1">{"A4depsch",#N/A,FALSE,"fa&amp;dep"}</definedName>
    <definedName name="wrn.depschA4._1" localSheetId="24" hidden="1">{"A4depsch",#N/A,FALSE,"fa&amp;dep"}</definedName>
    <definedName name="wrn.depschA4._1" localSheetId="9" hidden="1">{"A4depsch",#N/A,FALSE,"fa&amp;dep"}</definedName>
    <definedName name="wrn.depschA4._1" hidden="1">{"A4depsch",#N/A,FALSE,"fa&amp;dep"}</definedName>
    <definedName name="wrn.EVEREST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3" hidden="1">{#N/A,#N/A,FALSE,"COMP"}</definedName>
    <definedName name="wrn.FORM1." localSheetId="28" hidden="1">{#N/A,#N/A,FALSE,"COMP"}</definedName>
    <definedName name="wrn.FORM1." localSheetId="35" hidden="1">{#N/A,#N/A,FALSE,"COMP"}</definedName>
    <definedName name="wrn.FORM1." localSheetId="37" hidden="1">{#N/A,#N/A,FALSE,"COMP"}</definedName>
    <definedName name="wrn.FORM1." localSheetId="32" hidden="1">{#N/A,#N/A,FALSE,"COMP"}</definedName>
    <definedName name="wrn.FORM1." localSheetId="30" hidden="1">{#N/A,#N/A,FALSE,"COMP"}</definedName>
    <definedName name="wrn.FORM1." localSheetId="36" hidden="1">{#N/A,#N/A,FALSE,"COMP"}</definedName>
    <definedName name="wrn.FORM1." localSheetId="31" hidden="1">{#N/A,#N/A,FALSE,"COMP"}</definedName>
    <definedName name="wrn.FORM1." localSheetId="34" hidden="1">{#N/A,#N/A,FALSE,"COMP"}</definedName>
    <definedName name="wrn.FORM1." localSheetId="29" hidden="1">{#N/A,#N/A,FALSE,"COMP"}</definedName>
    <definedName name="wrn.FORM1." localSheetId="27" hidden="1">{#N/A,#N/A,FALSE,"COMP"}</definedName>
    <definedName name="wrn.FORM1." localSheetId="24" hidden="1">{#N/A,#N/A,FALSE,"COMP"}</definedName>
    <definedName name="wrn.FORM1." localSheetId="9" hidden="1">{#N/A,#N/A,FALSE,"COMP"}</definedName>
    <definedName name="wrn.FORM1." hidden="1">{#N/A,#N/A,FALSE,"COMP"}</definedName>
    <definedName name="wrn.Full._.Financials." localSheetId="33" hidden="1">{#N/A,#N/A,TRUE,"Financials";#N/A,#N/A,TRUE,"Operating Statistics";#N/A,#N/A,TRUE,"Capex &amp; Depreciation";#N/A,#N/A,TRUE,"Debt"}</definedName>
    <definedName name="wrn.Full._.Financials." localSheetId="28" hidden="1">{#N/A,#N/A,TRUE,"Financials";#N/A,#N/A,TRUE,"Operating Statistics";#N/A,#N/A,TRUE,"Capex &amp; Depreciation";#N/A,#N/A,TRUE,"Debt"}</definedName>
    <definedName name="wrn.Full._.Financials." localSheetId="35" hidden="1">{#N/A,#N/A,TRUE,"Financials";#N/A,#N/A,TRUE,"Operating Statistics";#N/A,#N/A,TRUE,"Capex &amp; Depreciation";#N/A,#N/A,TRUE,"Debt"}</definedName>
    <definedName name="wrn.Full._.Financials." localSheetId="37" hidden="1">{#N/A,#N/A,TRUE,"Financials";#N/A,#N/A,TRUE,"Operating Statistics";#N/A,#N/A,TRUE,"Capex &amp; Depreciation";#N/A,#N/A,TRUE,"Debt"}</definedName>
    <definedName name="wrn.Full._.Financials." localSheetId="32" hidden="1">{#N/A,#N/A,TRUE,"Financials";#N/A,#N/A,TRUE,"Operating Statistics";#N/A,#N/A,TRUE,"Capex &amp; Depreciation";#N/A,#N/A,TRUE,"Debt"}</definedName>
    <definedName name="wrn.Full._.Financials." localSheetId="30" hidden="1">{#N/A,#N/A,TRUE,"Financials";#N/A,#N/A,TRUE,"Operating Statistics";#N/A,#N/A,TRUE,"Capex &amp; Depreciation";#N/A,#N/A,TRUE,"Debt"}</definedName>
    <definedName name="wrn.Full._.Financials." localSheetId="36" hidden="1">{#N/A,#N/A,TRUE,"Financials";#N/A,#N/A,TRUE,"Operating Statistics";#N/A,#N/A,TRUE,"Capex &amp; Depreciation";#N/A,#N/A,TRUE,"Debt"}</definedName>
    <definedName name="wrn.Full._.Financials." localSheetId="31" hidden="1">{#N/A,#N/A,TRUE,"Financials";#N/A,#N/A,TRUE,"Operating Statistics";#N/A,#N/A,TRUE,"Capex &amp; Depreciation";#N/A,#N/A,TRUE,"Debt"}</definedName>
    <definedName name="wrn.Full._.Financials." localSheetId="34" hidden="1">{#N/A,#N/A,TRUE,"Financials";#N/A,#N/A,TRUE,"Operating Statistics";#N/A,#N/A,TRUE,"Capex &amp; Depreciation";#N/A,#N/A,TRUE,"Debt"}</definedName>
    <definedName name="wrn.Full._.Financials." localSheetId="29" hidden="1">{#N/A,#N/A,TRUE,"Financials";#N/A,#N/A,TRUE,"Operating Statistics";#N/A,#N/A,TRUE,"Capex &amp; Depreciation";#N/A,#N/A,TRUE,"Debt"}</definedName>
    <definedName name="wrn.Full._.Financials." localSheetId="27" hidden="1">{#N/A,#N/A,TRUE,"Financials";#N/A,#N/A,TRUE,"Operating Statistics";#N/A,#N/A,TRUE,"Capex &amp; Depreciation";#N/A,#N/A,TRUE,"Debt"}</definedName>
    <definedName name="wrn.Full._.Financials." localSheetId="24" hidden="1">{#N/A,#N/A,TRUE,"Financials";#N/A,#N/A,TRUE,"Operating Statistics";#N/A,#N/A,TRUE,"Capex &amp; Depreciation";#N/A,#N/A,TRUE,"Debt"}</definedName>
    <definedName name="wrn.Full._.Financials." localSheetId="9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3" hidden="1">{#N/A,#N/A,FALSE,"One Pager";#N/A,#N/A,FALSE,"Technical"}</definedName>
    <definedName name="wrn.One._.Pager._.plus._.Technicals." localSheetId="28" hidden="1">{#N/A,#N/A,FALSE,"One Pager";#N/A,#N/A,FALSE,"Technical"}</definedName>
    <definedName name="wrn.One._.Pager._.plus._.Technicals." localSheetId="35" hidden="1">{#N/A,#N/A,FALSE,"One Pager";#N/A,#N/A,FALSE,"Technical"}</definedName>
    <definedName name="wrn.One._.Pager._.plus._.Technicals." localSheetId="37" hidden="1">{#N/A,#N/A,FALSE,"One Pager";#N/A,#N/A,FALSE,"Technical"}</definedName>
    <definedName name="wrn.One._.Pager._.plus._.Technicals." localSheetId="32" hidden="1">{#N/A,#N/A,FALSE,"One Pager";#N/A,#N/A,FALSE,"Technical"}</definedName>
    <definedName name="wrn.One._.Pager._.plus._.Technicals." localSheetId="30" hidden="1">{#N/A,#N/A,FALSE,"One Pager";#N/A,#N/A,FALSE,"Technical"}</definedName>
    <definedName name="wrn.One._.Pager._.plus._.Technicals." localSheetId="36" hidden="1">{#N/A,#N/A,FALSE,"One Pager";#N/A,#N/A,FALSE,"Technical"}</definedName>
    <definedName name="wrn.One._.Pager._.plus._.Technicals." localSheetId="31" hidden="1">{#N/A,#N/A,FALSE,"One Pager";#N/A,#N/A,FALSE,"Technical"}</definedName>
    <definedName name="wrn.One._.Pager._.plus._.Technicals." localSheetId="34" hidden="1">{#N/A,#N/A,FALSE,"One Pager";#N/A,#N/A,FALSE,"Technical"}</definedName>
    <definedName name="wrn.One._.Pager._.plus._.Technicals." localSheetId="29" hidden="1">{#N/A,#N/A,FALSE,"One Pager";#N/A,#N/A,FALSE,"Technical"}</definedName>
    <definedName name="wrn.One._.Pager._.plus._.Technicals." localSheetId="27" hidden="1">{#N/A,#N/A,FALSE,"One Pager";#N/A,#N/A,FALSE,"Technical"}</definedName>
    <definedName name="wrn.One._.Pager._.plus._.Technicals." localSheetId="24" hidden="1">{#N/A,#N/A,FALSE,"One Pager";#N/A,#N/A,FALSE,"Technical"}</definedName>
    <definedName name="wrn.One._.Pager._.plus._.Technicals." localSheetId="9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3" hidden="1">{"A4PLSCH",#N/A,FALSE,"sch pl"}</definedName>
    <definedName name="wrn.PLSCHA4." localSheetId="28" hidden="1">{"A4PLSCH",#N/A,FALSE,"sch pl"}</definedName>
    <definedName name="wrn.PLSCHA4." localSheetId="35" hidden="1">{"A4PLSCH",#N/A,FALSE,"sch pl"}</definedName>
    <definedName name="wrn.PLSCHA4." localSheetId="37" hidden="1">{"A4PLSCH",#N/A,FALSE,"sch pl"}</definedName>
    <definedName name="wrn.PLSCHA4." localSheetId="32" hidden="1">{"A4PLSCH",#N/A,FALSE,"sch pl"}</definedName>
    <definedName name="wrn.PLSCHA4." localSheetId="30" hidden="1">{"A4PLSCH",#N/A,FALSE,"sch pl"}</definedName>
    <definedName name="wrn.PLSCHA4." localSheetId="36" hidden="1">{"A4PLSCH",#N/A,FALSE,"sch pl"}</definedName>
    <definedName name="wrn.PLSCHA4." localSheetId="31" hidden="1">{"A4PLSCH",#N/A,FALSE,"sch pl"}</definedName>
    <definedName name="wrn.PLSCHA4." localSheetId="34" hidden="1">{"A4PLSCH",#N/A,FALSE,"sch pl"}</definedName>
    <definedName name="wrn.PLSCHA4." localSheetId="29" hidden="1">{"A4PLSCH",#N/A,FALSE,"sch pl"}</definedName>
    <definedName name="wrn.PLSCHA4." localSheetId="27" hidden="1">{"A4PLSCH",#N/A,FALSE,"sch pl"}</definedName>
    <definedName name="wrn.PLSCHA4." localSheetId="24" hidden="1">{"A4PLSCH",#N/A,FALSE,"sch pl"}</definedName>
    <definedName name="wrn.PLSCHA4." localSheetId="9" hidden="1">{"A4PLSCH",#N/A,FALSE,"sch pl"}</definedName>
    <definedName name="wrn.PLSCHA4." hidden="1">{"A4PLSCH",#N/A,FALSE,"sch pl"}</definedName>
    <definedName name="wrn.PLSCHA4._1" localSheetId="33" hidden="1">{"A4PLSCH",#N/A,FALSE,"sch pl"}</definedName>
    <definedName name="wrn.PLSCHA4._1" localSheetId="28" hidden="1">{"A4PLSCH",#N/A,FALSE,"sch pl"}</definedName>
    <definedName name="wrn.PLSCHA4._1" localSheetId="35" hidden="1">{"A4PLSCH",#N/A,FALSE,"sch pl"}</definedName>
    <definedName name="wrn.PLSCHA4._1" localSheetId="37" hidden="1">{"A4PLSCH",#N/A,FALSE,"sch pl"}</definedName>
    <definedName name="wrn.PLSCHA4._1" localSheetId="32" hidden="1">{"A4PLSCH",#N/A,FALSE,"sch pl"}</definedName>
    <definedName name="wrn.PLSCHA4._1" localSheetId="30" hidden="1">{"A4PLSCH",#N/A,FALSE,"sch pl"}</definedName>
    <definedName name="wrn.PLSCHA4._1" localSheetId="36" hidden="1">{"A4PLSCH",#N/A,FALSE,"sch pl"}</definedName>
    <definedName name="wrn.PLSCHA4._1" localSheetId="31" hidden="1">{"A4PLSCH",#N/A,FALSE,"sch pl"}</definedName>
    <definedName name="wrn.PLSCHA4._1" localSheetId="34" hidden="1">{"A4PLSCH",#N/A,FALSE,"sch pl"}</definedName>
    <definedName name="wrn.PLSCHA4._1" localSheetId="29" hidden="1">{"A4PLSCH",#N/A,FALSE,"sch pl"}</definedName>
    <definedName name="wrn.PLSCHA4._1" localSheetId="27" hidden="1">{"A4PLSCH",#N/A,FALSE,"sch pl"}</definedName>
    <definedName name="wrn.PLSCHA4._1" localSheetId="24" hidden="1">{"A4PLSCH",#N/A,FALSE,"sch pl"}</definedName>
    <definedName name="wrn.PLSCHA4._1" localSheetId="9" hidden="1">{"A4PLSCH",#N/A,FALSE,"sch pl"}</definedName>
    <definedName name="wrn.PLSCHA4._1" hidden="1">{"A4PLSCH",#N/A,FALSE,"sch pl"}</definedName>
    <definedName name="wrn.Print." localSheetId="3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localSheetId="9" hidden="1">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pivotCaches>
    <pivotCache cacheId="0" r:id="rId39"/>
    <pivotCache cacheId="1" r:id="rId40"/>
    <pivotCache cacheId="2" r:id="rId4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36" l="1"/>
  <c r="L28" i="36"/>
  <c r="K28" i="36"/>
  <c r="J28" i="36"/>
  <c r="K7" i="36"/>
  <c r="K24" i="36"/>
  <c r="L29" i="36"/>
  <c r="K20" i="36"/>
  <c r="K4" i="53"/>
  <c r="I4" i="53"/>
  <c r="G4" i="53"/>
  <c r="E4" i="53"/>
  <c r="K3" i="53"/>
  <c r="I3" i="53"/>
  <c r="G3" i="53"/>
  <c r="E3" i="53"/>
  <c r="M24" i="36"/>
  <c r="J24" i="36"/>
  <c r="M7" i="36"/>
  <c r="J7" i="36"/>
  <c r="G48" i="52" l="1"/>
  <c r="G46" i="52"/>
  <c r="G6" i="52"/>
  <c r="V50" i="52"/>
  <c r="W49" i="52"/>
  <c r="W48" i="52" s="1"/>
  <c r="H49" i="52"/>
  <c r="G49" i="52"/>
  <c r="W42" i="52"/>
  <c r="H42" i="52"/>
  <c r="W39" i="52"/>
  <c r="H39" i="52"/>
  <c r="W37" i="52"/>
  <c r="H37" i="52"/>
  <c r="W33" i="52"/>
  <c r="H33" i="52"/>
  <c r="W29" i="52"/>
  <c r="H29" i="52"/>
  <c r="W26" i="52"/>
  <c r="H26" i="52"/>
  <c r="W23" i="52"/>
  <c r="H23" i="52"/>
  <c r="W20" i="52"/>
  <c r="V20" i="52"/>
  <c r="H20" i="52"/>
  <c r="G20" i="52"/>
  <c r="W16" i="52"/>
  <c r="H16" i="52"/>
  <c r="W12" i="52"/>
  <c r="H12" i="52"/>
  <c r="W9" i="52"/>
  <c r="V9" i="52"/>
  <c r="H9" i="52"/>
  <c r="G9" i="52"/>
  <c r="G132" i="51"/>
  <c r="H132" i="51"/>
  <c r="W132" i="51"/>
  <c r="W2" i="50"/>
  <c r="V2" i="50"/>
  <c r="G2" i="50"/>
  <c r="W2" i="49"/>
  <c r="V2" i="49"/>
  <c r="G2" i="49"/>
  <c r="W6" i="49"/>
  <c r="V6" i="49"/>
  <c r="G6" i="49"/>
  <c r="G2" i="43"/>
  <c r="G67" i="43"/>
  <c r="G139" i="51"/>
  <c r="H139" i="51"/>
  <c r="W139" i="51"/>
  <c r="V140" i="51"/>
  <c r="V139" i="51" s="1"/>
  <c r="G143" i="51"/>
  <c r="H143" i="51"/>
  <c r="W143" i="51"/>
  <c r="V144" i="51"/>
  <c r="V143" i="51" s="1"/>
  <c r="G146" i="51"/>
  <c r="H146" i="51"/>
  <c r="W146" i="51"/>
  <c r="V147" i="51"/>
  <c r="V146" i="51" s="1"/>
  <c r="G149" i="51"/>
  <c r="H149" i="51"/>
  <c r="W149" i="51"/>
  <c r="V150" i="51"/>
  <c r="V151" i="51"/>
  <c r="G153" i="51"/>
  <c r="H153" i="51"/>
  <c r="W153" i="51"/>
  <c r="V154" i="51"/>
  <c r="V155" i="51"/>
  <c r="V156" i="51"/>
  <c r="G158" i="51"/>
  <c r="H158" i="51"/>
  <c r="W158" i="51"/>
  <c r="V159" i="51"/>
  <c r="V160" i="51"/>
  <c r="V158" i="51" s="1"/>
  <c r="G162" i="51"/>
  <c r="H162" i="51"/>
  <c r="W162" i="51"/>
  <c r="V163" i="51"/>
  <c r="V164" i="51"/>
  <c r="V162" i="51" s="1"/>
  <c r="G166" i="51"/>
  <c r="H166" i="51"/>
  <c r="W166" i="51"/>
  <c r="V167" i="51"/>
  <c r="V168" i="51"/>
  <c r="V169" i="51"/>
  <c r="V170" i="51"/>
  <c r="G172" i="51"/>
  <c r="H172" i="51"/>
  <c r="W172" i="51"/>
  <c r="V173" i="51"/>
  <c r="V172" i="51" s="1"/>
  <c r="G175" i="51"/>
  <c r="H175" i="51"/>
  <c r="W175" i="51"/>
  <c r="V176" i="51"/>
  <c r="V177" i="51"/>
  <c r="V178" i="51"/>
  <c r="G180" i="51"/>
  <c r="H180" i="51"/>
  <c r="W180" i="51"/>
  <c r="V181" i="51"/>
  <c r="V182" i="51"/>
  <c r="V183" i="51"/>
  <c r="V184" i="51"/>
  <c r="V185" i="51"/>
  <c r="V186" i="51"/>
  <c r="G188" i="51"/>
  <c r="H188" i="51"/>
  <c r="W188" i="51"/>
  <c r="V189" i="51"/>
  <c r="V188" i="51" s="1"/>
  <c r="G191" i="51"/>
  <c r="H191" i="51"/>
  <c r="V191" i="51"/>
  <c r="W191" i="51"/>
  <c r="G194" i="51"/>
  <c r="H194" i="51"/>
  <c r="W194" i="51"/>
  <c r="V195" i="51"/>
  <c r="V194" i="51" s="1"/>
  <c r="G197" i="51"/>
  <c r="H197" i="51"/>
  <c r="W197" i="51"/>
  <c r="V198" i="51"/>
  <c r="V197" i="51" s="1"/>
  <c r="G200" i="51"/>
  <c r="H200" i="51"/>
  <c r="W200" i="51"/>
  <c r="V201" i="51"/>
  <c r="V202" i="51"/>
  <c r="G204" i="51"/>
  <c r="H204" i="51"/>
  <c r="W204" i="51"/>
  <c r="V205" i="51"/>
  <c r="V204" i="51" s="1"/>
  <c r="G9" i="51"/>
  <c r="G8" i="51" s="1"/>
  <c r="H9" i="51"/>
  <c r="H8" i="51" s="1"/>
  <c r="W9" i="51"/>
  <c r="W8" i="51" s="1"/>
  <c r="V10" i="51"/>
  <c r="V11" i="51"/>
  <c r="V12" i="51"/>
  <c r="G14" i="51"/>
  <c r="G13" i="51" s="1"/>
  <c r="H14" i="51"/>
  <c r="H13" i="51" s="1"/>
  <c r="W14" i="51"/>
  <c r="W13" i="51" s="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G32" i="51"/>
  <c r="G31" i="51" s="1"/>
  <c r="H32" i="51"/>
  <c r="H31" i="51" s="1"/>
  <c r="W32" i="51"/>
  <c r="W31" i="51" s="1"/>
  <c r="V33" i="51"/>
  <c r="V34" i="51"/>
  <c r="V35" i="51"/>
  <c r="V36" i="51"/>
  <c r="V37" i="51"/>
  <c r="G39" i="51"/>
  <c r="G38" i="51" s="1"/>
  <c r="H39" i="51"/>
  <c r="H38" i="51" s="1"/>
  <c r="W39" i="51"/>
  <c r="W38" i="51" s="1"/>
  <c r="V40" i="51"/>
  <c r="V41" i="51"/>
  <c r="V42" i="51"/>
  <c r="G44" i="51"/>
  <c r="G43" i="51" s="1"/>
  <c r="H44" i="51"/>
  <c r="H43" i="51" s="1"/>
  <c r="W44" i="51"/>
  <c r="W43" i="51" s="1"/>
  <c r="V45" i="51"/>
  <c r="V46" i="51"/>
  <c r="V47" i="51"/>
  <c r="V48" i="51"/>
  <c r="V49" i="51"/>
  <c r="V50" i="51"/>
  <c r="V51" i="51"/>
  <c r="G53" i="51"/>
  <c r="G52" i="51" s="1"/>
  <c r="H53" i="51"/>
  <c r="H52" i="51" s="1"/>
  <c r="W53" i="51"/>
  <c r="W52" i="51" s="1"/>
  <c r="V54" i="51"/>
  <c r="V55" i="51"/>
  <c r="G57" i="51"/>
  <c r="G56" i="51" s="1"/>
  <c r="H57" i="51"/>
  <c r="H56" i="51" s="1"/>
  <c r="W57" i="51"/>
  <c r="W56" i="51" s="1"/>
  <c r="V58" i="51"/>
  <c r="V59" i="51"/>
  <c r="V60" i="51"/>
  <c r="V61" i="51"/>
  <c r="V62" i="51"/>
  <c r="V63" i="51"/>
  <c r="V64" i="51"/>
  <c r="V65" i="51"/>
  <c r="G67" i="51"/>
  <c r="G66" i="51" s="1"/>
  <c r="H67" i="51"/>
  <c r="H66" i="51" s="1"/>
  <c r="W67" i="51"/>
  <c r="W66" i="51" s="1"/>
  <c r="V68" i="51"/>
  <c r="V69" i="51"/>
  <c r="V70" i="51"/>
  <c r="V71" i="51"/>
  <c r="G73" i="51"/>
  <c r="G72" i="51" s="1"/>
  <c r="H73" i="51"/>
  <c r="H72" i="51" s="1"/>
  <c r="W73" i="51"/>
  <c r="W72" i="51" s="1"/>
  <c r="V74" i="51"/>
  <c r="V75" i="51"/>
  <c r="V76" i="51"/>
  <c r="V77" i="51"/>
  <c r="G79" i="51"/>
  <c r="G78" i="51" s="1"/>
  <c r="H79" i="51"/>
  <c r="H78" i="51" s="1"/>
  <c r="W79" i="51"/>
  <c r="W78" i="51" s="1"/>
  <c r="V80" i="51"/>
  <c r="V81" i="51"/>
  <c r="V82" i="51"/>
  <c r="V83" i="51"/>
  <c r="G85" i="51"/>
  <c r="G84" i="51" s="1"/>
  <c r="H85" i="51"/>
  <c r="H84" i="51" s="1"/>
  <c r="W85" i="51"/>
  <c r="W84" i="51" s="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G106" i="51"/>
  <c r="G105" i="51" s="1"/>
  <c r="H106" i="51"/>
  <c r="H105" i="51" s="1"/>
  <c r="W106" i="51"/>
  <c r="W105" i="51" s="1"/>
  <c r="V107" i="51"/>
  <c r="V108" i="51"/>
  <c r="V109" i="51"/>
  <c r="V110" i="51"/>
  <c r="V111" i="51"/>
  <c r="V112" i="51"/>
  <c r="G114" i="51"/>
  <c r="H114" i="51"/>
  <c r="W114" i="51"/>
  <c r="V115" i="51"/>
  <c r="V114" i="51" s="1"/>
  <c r="G117" i="51"/>
  <c r="H117" i="51"/>
  <c r="W117" i="51"/>
  <c r="V118" i="51"/>
  <c r="V119" i="51"/>
  <c r="V120" i="51"/>
  <c r="G122" i="51"/>
  <c r="H122" i="51"/>
  <c r="W122" i="51"/>
  <c r="V123" i="51"/>
  <c r="V124" i="51"/>
  <c r="V125" i="51"/>
  <c r="G127" i="51"/>
  <c r="H127" i="51"/>
  <c r="W127" i="51"/>
  <c r="V128" i="51"/>
  <c r="V127" i="51" s="1"/>
  <c r="G130" i="51"/>
  <c r="H130" i="51"/>
  <c r="W130" i="51"/>
  <c r="V131" i="51"/>
  <c r="V130" i="51" s="1"/>
  <c r="V133" i="51"/>
  <c r="V134" i="51"/>
  <c r="V24" i="50"/>
  <c r="V23" i="50" s="1"/>
  <c r="W23" i="50"/>
  <c r="W21" i="50" s="1"/>
  <c r="H23" i="50"/>
  <c r="G23" i="50"/>
  <c r="G21" i="50" s="1"/>
  <c r="V22" i="50"/>
  <c r="H21" i="50"/>
  <c r="V20" i="50"/>
  <c r="V19" i="50"/>
  <c r="V18" i="50"/>
  <c r="W17" i="50"/>
  <c r="H17" i="50"/>
  <c r="G17" i="50"/>
  <c r="V16" i="50"/>
  <c r="V15" i="50"/>
  <c r="V14" i="50"/>
  <c r="V13" i="50"/>
  <c r="V12" i="50"/>
  <c r="V11" i="50"/>
  <c r="V10" i="50"/>
  <c r="V9" i="50" s="1"/>
  <c r="W9" i="50"/>
  <c r="H9" i="50"/>
  <c r="G9" i="50"/>
  <c r="G9" i="49"/>
  <c r="H9" i="49"/>
  <c r="W9" i="49"/>
  <c r="V10" i="49"/>
  <c r="V11" i="49"/>
  <c r="V12" i="49"/>
  <c r="V13" i="49"/>
  <c r="G14" i="49"/>
  <c r="H14" i="49"/>
  <c r="W14" i="49"/>
  <c r="W8" i="49" s="1"/>
  <c r="V15" i="49"/>
  <c r="G16" i="49"/>
  <c r="H16" i="49"/>
  <c r="W16" i="49"/>
  <c r="V17" i="49"/>
  <c r="V16" i="49" s="1"/>
  <c r="G18" i="49"/>
  <c r="H18" i="49"/>
  <c r="W18" i="49"/>
  <c r="V19" i="49"/>
  <c r="V18" i="49" s="1"/>
  <c r="G36" i="48"/>
  <c r="H36" i="48"/>
  <c r="W36" i="48"/>
  <c r="V37" i="48"/>
  <c r="V38" i="48"/>
  <c r="V39" i="48"/>
  <c r="G9" i="48"/>
  <c r="H9" i="48"/>
  <c r="W9" i="48"/>
  <c r="V10" i="48"/>
  <c r="V11" i="48"/>
  <c r="V12" i="48"/>
  <c r="V13" i="48"/>
  <c r="V14" i="48"/>
  <c r="G15" i="48"/>
  <c r="H15" i="48"/>
  <c r="W15" i="48"/>
  <c r="V16" i="48"/>
  <c r="V17" i="48"/>
  <c r="G18" i="48"/>
  <c r="H18" i="48"/>
  <c r="W18" i="48"/>
  <c r="V19" i="48"/>
  <c r="V20" i="48"/>
  <c r="V21" i="48"/>
  <c r="G22" i="48"/>
  <c r="H22" i="48"/>
  <c r="W22" i="48"/>
  <c r="V23" i="48"/>
  <c r="V24" i="48"/>
  <c r="V25" i="48"/>
  <c r="G27" i="48"/>
  <c r="H27" i="48"/>
  <c r="W27" i="48"/>
  <c r="V28" i="48"/>
  <c r="V29" i="48"/>
  <c r="V30" i="48"/>
  <c r="V31" i="48"/>
  <c r="W49" i="47"/>
  <c r="H49" i="47"/>
  <c r="G49" i="47"/>
  <c r="G17" i="47"/>
  <c r="H17" i="47"/>
  <c r="W17" i="47"/>
  <c r="V18" i="47"/>
  <c r="V19" i="47"/>
  <c r="V20" i="47"/>
  <c r="V21" i="47"/>
  <c r="V22" i="47"/>
  <c r="G24" i="47"/>
  <c r="H24" i="47"/>
  <c r="W24" i="47"/>
  <c r="V25" i="47"/>
  <c r="V26" i="47"/>
  <c r="V27" i="47"/>
  <c r="V28" i="47"/>
  <c r="V29" i="47"/>
  <c r="G31" i="47"/>
  <c r="H31" i="47"/>
  <c r="W31" i="47"/>
  <c r="V32" i="47"/>
  <c r="V33" i="47"/>
  <c r="V34" i="47"/>
  <c r="V35" i="47"/>
  <c r="V36" i="47"/>
  <c r="V37" i="47"/>
  <c r="V38" i="47"/>
  <c r="G40" i="47"/>
  <c r="H40" i="47"/>
  <c r="V40" i="47"/>
  <c r="W40" i="47"/>
  <c r="G45" i="47"/>
  <c r="H45" i="47"/>
  <c r="W45" i="47"/>
  <c r="V46" i="47"/>
  <c r="V47" i="47"/>
  <c r="V50" i="47"/>
  <c r="V51" i="47"/>
  <c r="V52" i="47"/>
  <c r="G54" i="47"/>
  <c r="H54" i="47"/>
  <c r="W54" i="47"/>
  <c r="V55" i="47"/>
  <c r="V56" i="47"/>
  <c r="V57" i="47"/>
  <c r="G9" i="47"/>
  <c r="H9" i="47"/>
  <c r="W9" i="47"/>
  <c r="V10" i="47"/>
  <c r="V11" i="47"/>
  <c r="V12" i="47"/>
  <c r="V70" i="46"/>
  <c r="V69" i="46"/>
  <c r="V68" i="46"/>
  <c r="W67" i="46"/>
  <c r="H67" i="46"/>
  <c r="G67" i="46"/>
  <c r="V65" i="46"/>
  <c r="V64" i="46"/>
  <c r="V63" i="46"/>
  <c r="V62" i="46"/>
  <c r="V61" i="46"/>
  <c r="V60" i="46"/>
  <c r="W59" i="46"/>
  <c r="H59" i="46"/>
  <c r="G59" i="46"/>
  <c r="V57" i="46"/>
  <c r="V56" i="46"/>
  <c r="V55" i="46"/>
  <c r="W54" i="46"/>
  <c r="H54" i="46"/>
  <c r="G54" i="46"/>
  <c r="V52" i="46"/>
  <c r="V51" i="46"/>
  <c r="V50" i="46"/>
  <c r="W49" i="46"/>
  <c r="H49" i="46"/>
  <c r="G49" i="46"/>
  <c r="V44" i="46"/>
  <c r="V43" i="46"/>
  <c r="W42" i="46"/>
  <c r="H42" i="46"/>
  <c r="G42" i="46"/>
  <c r="V40" i="46"/>
  <c r="V39" i="46"/>
  <c r="V38" i="46"/>
  <c r="V37" i="46"/>
  <c r="W36" i="46"/>
  <c r="H36" i="46"/>
  <c r="G36" i="46"/>
  <c r="V34" i="46"/>
  <c r="V33" i="46"/>
  <c r="V32" i="46"/>
  <c r="W31" i="46"/>
  <c r="H31" i="46"/>
  <c r="G31" i="46"/>
  <c r="V29" i="46"/>
  <c r="V28" i="46"/>
  <c r="W27" i="46"/>
  <c r="H27" i="46"/>
  <c r="G27" i="46"/>
  <c r="V25" i="46"/>
  <c r="V24" i="46"/>
  <c r="V23" i="46"/>
  <c r="W22" i="46"/>
  <c r="H22" i="46"/>
  <c r="G22" i="46"/>
  <c r="V20" i="46"/>
  <c r="V19" i="46"/>
  <c r="V18" i="46"/>
  <c r="V17" i="46"/>
  <c r="V16" i="46"/>
  <c r="V15" i="46"/>
  <c r="V14" i="46"/>
  <c r="V13" i="46"/>
  <c r="V12" i="46"/>
  <c r="V11" i="46"/>
  <c r="V10" i="46"/>
  <c r="W9" i="46"/>
  <c r="W8" i="46" s="1"/>
  <c r="H9" i="46"/>
  <c r="H8" i="46" s="1"/>
  <c r="G9" i="46"/>
  <c r="G8" i="46" s="1"/>
  <c r="G106" i="45"/>
  <c r="H106" i="45"/>
  <c r="W106" i="45"/>
  <c r="V107" i="45"/>
  <c r="V106" i="45" s="1"/>
  <c r="V109" i="45"/>
  <c r="G110" i="45"/>
  <c r="H110" i="45"/>
  <c r="W110" i="45"/>
  <c r="V111" i="45"/>
  <c r="V110" i="45" s="1"/>
  <c r="V113" i="45"/>
  <c r="G115" i="45"/>
  <c r="H115" i="45"/>
  <c r="W115" i="45"/>
  <c r="V116" i="45"/>
  <c r="V117" i="45"/>
  <c r="G118" i="45"/>
  <c r="H118" i="45"/>
  <c r="W118" i="45"/>
  <c r="V119" i="45"/>
  <c r="V120" i="45"/>
  <c r="G122" i="45"/>
  <c r="H122" i="45"/>
  <c r="W122" i="45"/>
  <c r="V123" i="45"/>
  <c r="V124" i="45"/>
  <c r="G125" i="45"/>
  <c r="H125" i="45"/>
  <c r="W125" i="45"/>
  <c r="V126" i="45"/>
  <c r="V127" i="45"/>
  <c r="V125" i="45" s="1"/>
  <c r="G129" i="45"/>
  <c r="H129" i="45"/>
  <c r="W129" i="45"/>
  <c r="V130" i="45"/>
  <c r="V131" i="45"/>
  <c r="V132" i="45"/>
  <c r="G134" i="45"/>
  <c r="H134" i="45"/>
  <c r="W134" i="45"/>
  <c r="V135" i="45"/>
  <c r="V136" i="45"/>
  <c r="V137" i="45"/>
  <c r="V138" i="45"/>
  <c r="G139" i="45"/>
  <c r="H139" i="45"/>
  <c r="W139" i="45"/>
  <c r="V140" i="45"/>
  <c r="V141" i="45"/>
  <c r="V142" i="45"/>
  <c r="G144" i="45"/>
  <c r="H144" i="45"/>
  <c r="W144" i="45"/>
  <c r="V145" i="45"/>
  <c r="V146" i="45"/>
  <c r="V147" i="45"/>
  <c r="G148" i="45"/>
  <c r="H148" i="45"/>
  <c r="W148" i="45"/>
  <c r="V149" i="45"/>
  <c r="V150" i="45"/>
  <c r="V148" i="45" s="1"/>
  <c r="G152" i="45"/>
  <c r="H152" i="45"/>
  <c r="W152" i="45"/>
  <c r="V153" i="45"/>
  <c r="V154" i="45"/>
  <c r="V155" i="45"/>
  <c r="G156" i="45"/>
  <c r="H156" i="45"/>
  <c r="W156" i="45"/>
  <c r="V157" i="45"/>
  <c r="V158" i="45"/>
  <c r="V156" i="45" s="1"/>
  <c r="G160" i="45"/>
  <c r="H160" i="45"/>
  <c r="W160" i="45"/>
  <c r="V161" i="45"/>
  <c r="V162" i="45"/>
  <c r="V163" i="45"/>
  <c r="G164" i="45"/>
  <c r="H164" i="45"/>
  <c r="W164" i="45"/>
  <c r="V165" i="45"/>
  <c r="V166" i="45"/>
  <c r="V167" i="45"/>
  <c r="G169" i="45"/>
  <c r="H169" i="45"/>
  <c r="W169" i="45"/>
  <c r="V170" i="45"/>
  <c r="V171" i="45"/>
  <c r="V172" i="45"/>
  <c r="G173" i="45"/>
  <c r="H173" i="45"/>
  <c r="W173" i="45"/>
  <c r="V174" i="45"/>
  <c r="V175" i="45"/>
  <c r="G176" i="45"/>
  <c r="H176" i="45"/>
  <c r="W176" i="45"/>
  <c r="V177" i="45"/>
  <c r="V178" i="45"/>
  <c r="G180" i="45"/>
  <c r="H180" i="45"/>
  <c r="W180" i="45"/>
  <c r="V181" i="45"/>
  <c r="V182" i="45"/>
  <c r="V183" i="45"/>
  <c r="G184" i="45"/>
  <c r="H184" i="45"/>
  <c r="W184" i="45"/>
  <c r="V185" i="45"/>
  <c r="V186" i="45"/>
  <c r="V187" i="45"/>
  <c r="V188" i="45"/>
  <c r="G189" i="45"/>
  <c r="H189" i="45"/>
  <c r="W189" i="45"/>
  <c r="V190" i="45"/>
  <c r="V191" i="45"/>
  <c r="V192" i="45"/>
  <c r="V193" i="45"/>
  <c r="V194" i="45"/>
  <c r="G196" i="45"/>
  <c r="H196" i="45"/>
  <c r="W196" i="45"/>
  <c r="V197" i="45"/>
  <c r="V198" i="45"/>
  <c r="V199" i="45"/>
  <c r="V200" i="45"/>
  <c r="G201" i="45"/>
  <c r="H201" i="45"/>
  <c r="W201" i="45"/>
  <c r="V202" i="45"/>
  <c r="V203" i="45"/>
  <c r="V204" i="45"/>
  <c r="V205" i="45"/>
  <c r="V206" i="45"/>
  <c r="G207" i="45"/>
  <c r="H207" i="45"/>
  <c r="W207" i="45"/>
  <c r="V208" i="45"/>
  <c r="V209" i="45"/>
  <c r="V210" i="45"/>
  <c r="V211" i="45"/>
  <c r="V212" i="45"/>
  <c r="V213" i="45"/>
  <c r="V214" i="45"/>
  <c r="G216" i="45"/>
  <c r="H216" i="45"/>
  <c r="W216" i="45"/>
  <c r="V217" i="45"/>
  <c r="V218" i="45"/>
  <c r="G219" i="45"/>
  <c r="H219" i="45"/>
  <c r="W219" i="45"/>
  <c r="V220" i="45"/>
  <c r="V219" i="45" s="1"/>
  <c r="G221" i="45"/>
  <c r="H221" i="45"/>
  <c r="W221" i="45"/>
  <c r="V222" i="45"/>
  <c r="V221" i="45" s="1"/>
  <c r="G224" i="45"/>
  <c r="H224" i="45"/>
  <c r="V224" i="45"/>
  <c r="W224" i="45"/>
  <c r="G228" i="45"/>
  <c r="H228" i="45"/>
  <c r="V228" i="45"/>
  <c r="W228" i="45"/>
  <c r="G231" i="45"/>
  <c r="H231" i="45"/>
  <c r="V231" i="45"/>
  <c r="W231" i="45"/>
  <c r="G235" i="45"/>
  <c r="H235" i="45"/>
  <c r="W235" i="45"/>
  <c r="V236" i="45"/>
  <c r="V237" i="45"/>
  <c r="G238" i="45"/>
  <c r="H238" i="45"/>
  <c r="W238" i="45"/>
  <c r="V239" i="45"/>
  <c r="V238" i="45" s="1"/>
  <c r="G241" i="45"/>
  <c r="H241" i="45"/>
  <c r="W241" i="45"/>
  <c r="V242" i="45"/>
  <c r="V243" i="45"/>
  <c r="G244" i="45"/>
  <c r="H244" i="45"/>
  <c r="W244" i="45"/>
  <c r="V245" i="45"/>
  <c r="V246" i="45"/>
  <c r="G248" i="45"/>
  <c r="H248" i="45"/>
  <c r="W248" i="45"/>
  <c r="V249" i="45"/>
  <c r="V250" i="45"/>
  <c r="V251" i="45"/>
  <c r="G252" i="45"/>
  <c r="H252" i="45"/>
  <c r="W252" i="45"/>
  <c r="V253" i="45"/>
  <c r="V254" i="45"/>
  <c r="V255" i="45"/>
  <c r="G257" i="45"/>
  <c r="H257" i="45"/>
  <c r="W257" i="45"/>
  <c r="V258" i="45"/>
  <c r="V259" i="45"/>
  <c r="G260" i="45"/>
  <c r="H260" i="45"/>
  <c r="W260" i="45"/>
  <c r="V261" i="45"/>
  <c r="V262" i="45"/>
  <c r="G9" i="45"/>
  <c r="G8" i="45" s="1"/>
  <c r="H9" i="45"/>
  <c r="H8" i="45" s="1"/>
  <c r="W9" i="45"/>
  <c r="W8" i="45" s="1"/>
  <c r="V10" i="45"/>
  <c r="V9" i="45" s="1"/>
  <c r="V8" i="45" s="1"/>
  <c r="G12" i="45"/>
  <c r="H12" i="45"/>
  <c r="W12" i="45"/>
  <c r="V13" i="45"/>
  <c r="V14" i="45"/>
  <c r="V15" i="45"/>
  <c r="V16" i="45"/>
  <c r="V17" i="45"/>
  <c r="V18" i="45"/>
  <c r="G19" i="45"/>
  <c r="H19" i="45"/>
  <c r="W19" i="45"/>
  <c r="V20" i="45"/>
  <c r="V21" i="45"/>
  <c r="V22" i="45"/>
  <c r="G24" i="45"/>
  <c r="H24" i="45"/>
  <c r="W24" i="45"/>
  <c r="V25" i="45"/>
  <c r="V26" i="45"/>
  <c r="G28" i="45"/>
  <c r="G27" i="45" s="1"/>
  <c r="H28" i="45"/>
  <c r="H27" i="45" s="1"/>
  <c r="V28" i="45"/>
  <c r="V27" i="45" s="1"/>
  <c r="W28" i="45"/>
  <c r="W27" i="45" s="1"/>
  <c r="G31" i="45"/>
  <c r="H31" i="45"/>
  <c r="W31" i="45"/>
  <c r="V32" i="45"/>
  <c r="V33" i="45"/>
  <c r="G34" i="45"/>
  <c r="H34" i="45"/>
  <c r="W34" i="45"/>
  <c r="V35" i="45"/>
  <c r="V34" i="45" s="1"/>
  <c r="G37" i="45"/>
  <c r="H37" i="45"/>
  <c r="W37" i="45"/>
  <c r="V38" i="45"/>
  <c r="V39" i="45"/>
  <c r="V40" i="45"/>
  <c r="V41" i="45"/>
  <c r="V42" i="45"/>
  <c r="V43" i="45"/>
  <c r="V44" i="45"/>
  <c r="V45" i="45"/>
  <c r="V46" i="45"/>
  <c r="G47" i="45"/>
  <c r="H47" i="45"/>
  <c r="W47" i="45"/>
  <c r="V48" i="45"/>
  <c r="V49" i="45"/>
  <c r="V50" i="45"/>
  <c r="V51" i="45"/>
  <c r="G53" i="45"/>
  <c r="G52" i="45" s="1"/>
  <c r="H53" i="45"/>
  <c r="H52" i="45" s="1"/>
  <c r="V53" i="45"/>
  <c r="V52" i="45" s="1"/>
  <c r="W53" i="45"/>
  <c r="W52" i="45" s="1"/>
  <c r="G56" i="45"/>
  <c r="G55" i="45" s="1"/>
  <c r="H56" i="45"/>
  <c r="H55" i="45" s="1"/>
  <c r="W56" i="45"/>
  <c r="W55" i="45" s="1"/>
  <c r="V57" i="45"/>
  <c r="V56" i="45" s="1"/>
  <c r="V55" i="45" s="1"/>
  <c r="G59" i="45"/>
  <c r="H59" i="45"/>
  <c r="W59" i="45"/>
  <c r="V60" i="45"/>
  <c r="V61" i="45"/>
  <c r="V62" i="45"/>
  <c r="G64" i="45"/>
  <c r="H64" i="45"/>
  <c r="W64" i="45"/>
  <c r="V65" i="45"/>
  <c r="V64" i="45" s="1"/>
  <c r="G66" i="45"/>
  <c r="H66" i="45"/>
  <c r="W66" i="45"/>
  <c r="V67" i="45"/>
  <c r="V66" i="45" s="1"/>
  <c r="G69" i="45"/>
  <c r="H69" i="45"/>
  <c r="W69" i="45"/>
  <c r="V70" i="45"/>
  <c r="V71" i="45"/>
  <c r="G73" i="45"/>
  <c r="H73" i="45"/>
  <c r="W73" i="45"/>
  <c r="V74" i="45"/>
  <c r="V73" i="45" s="1"/>
  <c r="G75" i="45"/>
  <c r="H75" i="45"/>
  <c r="W75" i="45"/>
  <c r="V76" i="45"/>
  <c r="V75" i="45" s="1"/>
  <c r="G78" i="45"/>
  <c r="H78" i="45"/>
  <c r="W78" i="45"/>
  <c r="V79" i="45"/>
  <c r="V80" i="45"/>
  <c r="V81" i="45"/>
  <c r="G82" i="45"/>
  <c r="H82" i="45"/>
  <c r="W82" i="45"/>
  <c r="V83" i="45"/>
  <c r="V84" i="45"/>
  <c r="G86" i="45"/>
  <c r="H86" i="45"/>
  <c r="W86" i="45"/>
  <c r="V87" i="45"/>
  <c r="V88" i="45"/>
  <c r="V89" i="45"/>
  <c r="V90" i="45"/>
  <c r="G91" i="45"/>
  <c r="H91" i="45"/>
  <c r="W91" i="45"/>
  <c r="V92" i="45"/>
  <c r="V93" i="45"/>
  <c r="G95" i="45"/>
  <c r="H95" i="45"/>
  <c r="W95" i="45"/>
  <c r="V96" i="45"/>
  <c r="V95" i="45" s="1"/>
  <c r="G98" i="45"/>
  <c r="H98" i="45"/>
  <c r="W98" i="45"/>
  <c r="V99" i="45"/>
  <c r="V98" i="45" s="1"/>
  <c r="G100" i="45"/>
  <c r="H100" i="45"/>
  <c r="W100" i="45"/>
  <c r="V101" i="45"/>
  <c r="V100" i="45" s="1"/>
  <c r="G46" i="44"/>
  <c r="H46" i="44"/>
  <c r="W46" i="44"/>
  <c r="V47" i="44"/>
  <c r="V48" i="44"/>
  <c r="V50" i="44"/>
  <c r="G52" i="44"/>
  <c r="H52" i="44"/>
  <c r="W52" i="44"/>
  <c r="V53" i="44"/>
  <c r="V54" i="44"/>
  <c r="G56" i="44"/>
  <c r="H56" i="44"/>
  <c r="W56" i="44"/>
  <c r="V57" i="44"/>
  <c r="V58" i="44"/>
  <c r="V59" i="44"/>
  <c r="G61" i="44"/>
  <c r="H61" i="44"/>
  <c r="W61" i="44"/>
  <c r="V62" i="44"/>
  <c r="V63" i="44"/>
  <c r="V64" i="44"/>
  <c r="G66" i="44"/>
  <c r="H66" i="44"/>
  <c r="W66" i="44"/>
  <c r="V67" i="44"/>
  <c r="V68" i="44"/>
  <c r="V69" i="44"/>
  <c r="G71" i="44"/>
  <c r="H71" i="44"/>
  <c r="W71" i="44"/>
  <c r="V72" i="44"/>
  <c r="V71" i="44" s="1"/>
  <c r="G74" i="44"/>
  <c r="H74" i="44"/>
  <c r="W74" i="44"/>
  <c r="V75" i="44"/>
  <c r="V74" i="44" s="1"/>
  <c r="V76" i="44"/>
  <c r="V77" i="44"/>
  <c r="V78" i="44"/>
  <c r="G80" i="44"/>
  <c r="H80" i="44"/>
  <c r="W80" i="44"/>
  <c r="V81" i="44"/>
  <c r="V82" i="44"/>
  <c r="G84" i="44"/>
  <c r="G83" i="44" s="1"/>
  <c r="H84" i="44"/>
  <c r="H83" i="44" s="1"/>
  <c r="W84" i="44"/>
  <c r="W83" i="44" s="1"/>
  <c r="V85" i="44"/>
  <c r="V84" i="44" s="1"/>
  <c r="V83" i="44" s="1"/>
  <c r="G87" i="44"/>
  <c r="H87" i="44"/>
  <c r="W87" i="44"/>
  <c r="V88" i="44"/>
  <c r="V89" i="44"/>
  <c r="V90" i="44"/>
  <c r="G9" i="44"/>
  <c r="H9" i="44"/>
  <c r="W9" i="44"/>
  <c r="V10" i="44"/>
  <c r="V11" i="44"/>
  <c r="V12" i="44"/>
  <c r="V13" i="44"/>
  <c r="G15" i="44"/>
  <c r="H15" i="44"/>
  <c r="W15" i="44"/>
  <c r="V16" i="44"/>
  <c r="V17" i="44"/>
  <c r="V18" i="44"/>
  <c r="V19" i="44"/>
  <c r="V20" i="44"/>
  <c r="V21" i="44"/>
  <c r="V22" i="44"/>
  <c r="V23" i="44"/>
  <c r="V24" i="44"/>
  <c r="V25" i="44"/>
  <c r="V26" i="44"/>
  <c r="G28" i="44"/>
  <c r="H28" i="44"/>
  <c r="W28" i="44"/>
  <c r="V29" i="44"/>
  <c r="V30" i="44"/>
  <c r="V31" i="44"/>
  <c r="V32" i="44"/>
  <c r="V33" i="44"/>
  <c r="V34" i="44"/>
  <c r="V36" i="44"/>
  <c r="G39" i="44"/>
  <c r="H39" i="44"/>
  <c r="W39" i="44"/>
  <c r="V40" i="44"/>
  <c r="V41" i="44"/>
  <c r="W67" i="43"/>
  <c r="V71" i="43"/>
  <c r="W70" i="43"/>
  <c r="H70" i="43"/>
  <c r="H69" i="43" s="1"/>
  <c r="G70" i="43"/>
  <c r="G69" i="43" s="1"/>
  <c r="V66" i="43"/>
  <c r="V65" i="43" s="1"/>
  <c r="V64" i="43" s="1"/>
  <c r="W65" i="43"/>
  <c r="W64" i="43" s="1"/>
  <c r="H65" i="43"/>
  <c r="H64" i="43" s="1"/>
  <c r="G65" i="43"/>
  <c r="G64" i="43" s="1"/>
  <c r="V63" i="43"/>
  <c r="V62" i="43" s="1"/>
  <c r="W62" i="43"/>
  <c r="H62" i="43"/>
  <c r="G62" i="43"/>
  <c r="V58" i="43"/>
  <c r="V57" i="43"/>
  <c r="V56" i="43"/>
  <c r="V55" i="43"/>
  <c r="V54" i="43"/>
  <c r="V53" i="43"/>
  <c r="V52" i="43"/>
  <c r="V51" i="43"/>
  <c r="V50" i="43"/>
  <c r="V48" i="43"/>
  <c r="V47" i="43"/>
  <c r="V46" i="43"/>
  <c r="V45" i="43"/>
  <c r="V44" i="43"/>
  <c r="V43" i="43"/>
  <c r="V42" i="43"/>
  <c r="W41" i="43"/>
  <c r="H41" i="43"/>
  <c r="G41" i="43"/>
  <c r="V39" i="43"/>
  <c r="V38" i="43"/>
  <c r="V37" i="43"/>
  <c r="V36" i="43"/>
  <c r="V35" i="43"/>
  <c r="G35" i="43"/>
  <c r="G31" i="43" s="1"/>
  <c r="V34" i="43"/>
  <c r="V33" i="43"/>
  <c r="V32" i="43"/>
  <c r="W31" i="43"/>
  <c r="H31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W14" i="43"/>
  <c r="H14" i="43"/>
  <c r="G14" i="43"/>
  <c r="V12" i="43"/>
  <c r="V11" i="43"/>
  <c r="V10" i="43"/>
  <c r="W9" i="43"/>
  <c r="H9" i="43"/>
  <c r="G9" i="43"/>
  <c r="W46" i="52" l="1"/>
  <c r="V8" i="52"/>
  <c r="G8" i="52"/>
  <c r="H8" i="52"/>
  <c r="H6" i="52" s="1"/>
  <c r="W8" i="52"/>
  <c r="V49" i="52"/>
  <c r="V48" i="52" s="1"/>
  <c r="H48" i="52"/>
  <c r="V138" i="51"/>
  <c r="H138" i="51"/>
  <c r="W121" i="51"/>
  <c r="V132" i="51"/>
  <c r="V187" i="51"/>
  <c r="H152" i="51"/>
  <c r="G174" i="51"/>
  <c r="G187" i="51"/>
  <c r="V190" i="51"/>
  <c r="G165" i="51"/>
  <c r="W199" i="51"/>
  <c r="W129" i="51"/>
  <c r="G138" i="51"/>
  <c r="G145" i="51"/>
  <c r="H203" i="51"/>
  <c r="G161" i="51"/>
  <c r="W116" i="51"/>
  <c r="W196" i="51"/>
  <c r="G203" i="51"/>
  <c r="H116" i="51"/>
  <c r="W148" i="51"/>
  <c r="H196" i="51"/>
  <c r="G171" i="51"/>
  <c r="G196" i="51"/>
  <c r="W165" i="51"/>
  <c r="H165" i="51"/>
  <c r="G152" i="51"/>
  <c r="W203" i="51"/>
  <c r="W145" i="51"/>
  <c r="W187" i="51"/>
  <c r="H129" i="51"/>
  <c r="W138" i="51"/>
  <c r="G129" i="51"/>
  <c r="H145" i="51"/>
  <c r="H171" i="51"/>
  <c r="H187" i="51"/>
  <c r="W161" i="51"/>
  <c r="W171" i="51"/>
  <c r="G179" i="51"/>
  <c r="G193" i="51"/>
  <c r="W190" i="51"/>
  <c r="V113" i="51"/>
  <c r="W152" i="51"/>
  <c r="W113" i="51"/>
  <c r="H148" i="51"/>
  <c r="H190" i="51"/>
  <c r="H113" i="51"/>
  <c r="G113" i="51"/>
  <c r="W126" i="51"/>
  <c r="G148" i="51"/>
  <c r="H161" i="51"/>
  <c r="G190" i="51"/>
  <c r="H199" i="51"/>
  <c r="H179" i="51"/>
  <c r="H126" i="51"/>
  <c r="W142" i="51"/>
  <c r="W157" i="51"/>
  <c r="W179" i="51"/>
  <c r="H174" i="51"/>
  <c r="V126" i="51"/>
  <c r="H121" i="51"/>
  <c r="G126" i="51"/>
  <c r="H142" i="51"/>
  <c r="H157" i="51"/>
  <c r="W193" i="51"/>
  <c r="G121" i="51"/>
  <c r="G116" i="51"/>
  <c r="V129" i="51"/>
  <c r="G142" i="51"/>
  <c r="G157" i="51"/>
  <c r="W174" i="51"/>
  <c r="H193" i="51"/>
  <c r="G199" i="51"/>
  <c r="V166" i="51"/>
  <c r="V39" i="51"/>
  <c r="V38" i="51" s="1"/>
  <c r="V53" i="51"/>
  <c r="V52" i="51" s="1"/>
  <c r="V200" i="51"/>
  <c r="V122" i="51"/>
  <c r="V57" i="51"/>
  <c r="V56" i="51" s="1"/>
  <c r="V175" i="51"/>
  <c r="V153" i="51"/>
  <c r="V14" i="51"/>
  <c r="V13" i="51" s="1"/>
  <c r="V106" i="51"/>
  <c r="V79" i="51"/>
  <c r="V78" i="51" s="1"/>
  <c r="V149" i="51"/>
  <c r="V85" i="51"/>
  <c r="V84" i="51" s="1"/>
  <c r="V67" i="51"/>
  <c r="V66" i="51" s="1"/>
  <c r="V9" i="51"/>
  <c r="V8" i="51" s="1"/>
  <c r="V180" i="51"/>
  <c r="V44" i="51"/>
  <c r="V43" i="51" s="1"/>
  <c r="V32" i="51"/>
  <c r="V31" i="51" s="1"/>
  <c r="V117" i="51"/>
  <c r="V73" i="51"/>
  <c r="V72" i="51" s="1"/>
  <c r="V21" i="50"/>
  <c r="H8" i="50"/>
  <c r="H6" i="50" s="1"/>
  <c r="V17" i="50"/>
  <c r="W8" i="50"/>
  <c r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r="V18" i="48"/>
  <c r="V22" i="48"/>
  <c r="H26" i="48"/>
  <c r="H35" i="48"/>
  <c r="W35" i="48"/>
  <c r="G35" i="48"/>
  <c r="W26" i="48"/>
  <c r="G8" i="48"/>
  <c r="V15" i="48"/>
  <c r="G26" i="48"/>
  <c r="H8" i="48"/>
  <c r="W8" i="48"/>
  <c r="V9" i="48"/>
  <c r="V27" i="48"/>
  <c r="V26" i="48" s="1"/>
  <c r="V36" i="48"/>
  <c r="V49" i="47"/>
  <c r="V45" i="47"/>
  <c r="V44" i="47" s="1"/>
  <c r="G48" i="47"/>
  <c r="W53" i="47"/>
  <c r="H53" i="47"/>
  <c r="H8" i="47"/>
  <c r="V24" i="47"/>
  <c r="W39" i="47"/>
  <c r="W23" i="47"/>
  <c r="H30" i="47"/>
  <c r="G16" i="47"/>
  <c r="G30" i="47"/>
  <c r="H48" i="47"/>
  <c r="G23" i="47"/>
  <c r="G8" i="47"/>
  <c r="V54" i="47"/>
  <c r="H16" i="47"/>
  <c r="G53" i="47"/>
  <c r="G39" i="47"/>
  <c r="W8" i="47"/>
  <c r="W16" i="47"/>
  <c r="W44" i="47"/>
  <c r="H44" i="47"/>
  <c r="G44" i="47"/>
  <c r="V9" i="47"/>
  <c r="V17" i="47"/>
  <c r="G58" i="46"/>
  <c r="G26" i="46"/>
  <c r="H26" i="46"/>
  <c r="V36" i="46"/>
  <c r="V22" i="46"/>
  <c r="V21" i="46" s="1"/>
  <c r="V54" i="46"/>
  <c r="V31" i="46"/>
  <c r="V27" i="46"/>
  <c r="V26" i="46" s="1"/>
  <c r="G48" i="46"/>
  <c r="H48" i="46"/>
  <c r="W48" i="46"/>
  <c r="G21" i="46"/>
  <c r="G35" i="46"/>
  <c r="H58" i="46"/>
  <c r="W26" i="46"/>
  <c r="W53" i="46"/>
  <c r="V39" i="47"/>
  <c r="H23" i="47"/>
  <c r="H39" i="47"/>
  <c r="V31" i="47"/>
  <c r="W30" i="47"/>
  <c r="W48" i="47"/>
  <c r="H41" i="46"/>
  <c r="H66" i="46"/>
  <c r="G30" i="46"/>
  <c r="G53" i="46"/>
  <c r="V49" i="46"/>
  <c r="H35" i="46"/>
  <c r="W21" i="46"/>
  <c r="W41" i="46"/>
  <c r="G41" i="46"/>
  <c r="G66" i="46"/>
  <c r="H21" i="46"/>
  <c r="H30" i="46"/>
  <c r="W66" i="46"/>
  <c r="W30" i="46"/>
  <c r="W35" i="46"/>
  <c r="H53" i="46"/>
  <c r="V9" i="46"/>
  <c r="V59" i="46"/>
  <c r="V78" i="45"/>
  <c r="V139" i="45"/>
  <c r="G36" i="45"/>
  <c r="V72" i="45"/>
  <c r="H215" i="45"/>
  <c r="W179" i="45"/>
  <c r="W168" i="45"/>
  <c r="V31" i="45"/>
  <c r="W36" i="45"/>
  <c r="V129" i="45"/>
  <c r="V152" i="45"/>
  <c r="W23" i="45"/>
  <c r="V216" i="45"/>
  <c r="V215" i="45" s="1"/>
  <c r="V169" i="45"/>
  <c r="H247" i="45"/>
  <c r="V97" i="45"/>
  <c r="H256" i="45"/>
  <c r="V164" i="45"/>
  <c r="V173" i="45"/>
  <c r="V235" i="45"/>
  <c r="H23" i="45"/>
  <c r="W94" i="45"/>
  <c r="V241" i="45"/>
  <c r="H68" i="45"/>
  <c r="G256" i="45"/>
  <c r="G72" i="45"/>
  <c r="W240" i="45"/>
  <c r="G215" i="45"/>
  <c r="H159" i="45"/>
  <c r="G94" i="45"/>
  <c r="V69" i="45"/>
  <c r="V59" i="45"/>
  <c r="V223" i="45"/>
  <c r="V184" i="45"/>
  <c r="V176" i="45"/>
  <c r="V105" i="45"/>
  <c r="H223" i="45"/>
  <c r="G121" i="45"/>
  <c r="V91" i="45"/>
  <c r="W11" i="45"/>
  <c r="W223" i="45"/>
  <c r="V115" i="45"/>
  <c r="G247" i="45"/>
  <c r="G30" i="45"/>
  <c r="H11" i="45"/>
  <c r="H240" i="45"/>
  <c r="H133" i="45"/>
  <c r="V94" i="45"/>
  <c r="H36" i="45"/>
  <c r="W151" i="45"/>
  <c r="G133" i="45"/>
  <c r="W85" i="45"/>
  <c r="V244" i="45"/>
  <c r="V160" i="45"/>
  <c r="H77" i="45"/>
  <c r="G63" i="45"/>
  <c r="G223" i="45"/>
  <c r="W195" i="45"/>
  <c r="G179" i="45"/>
  <c r="H168" i="45"/>
  <c r="W159" i="45"/>
  <c r="G77" i="45"/>
  <c r="V19" i="45"/>
  <c r="G168" i="45"/>
  <c r="V144" i="45"/>
  <c r="W133" i="45"/>
  <c r="H63" i="45"/>
  <c r="V12" i="45"/>
  <c r="H179" i="45"/>
  <c r="W256" i="45"/>
  <c r="V248" i="45"/>
  <c r="G68" i="45"/>
  <c r="G234" i="45"/>
  <c r="H85" i="45"/>
  <c r="V47" i="45"/>
  <c r="V37" i="45"/>
  <c r="H30" i="45"/>
  <c r="V260" i="45"/>
  <c r="H143" i="45"/>
  <c r="V134" i="45"/>
  <c r="V122" i="45"/>
  <c r="H121" i="45"/>
  <c r="G105" i="45"/>
  <c r="W77" i="45"/>
  <c r="V196" i="45"/>
  <c r="W121" i="45"/>
  <c r="W97" i="45"/>
  <c r="H97" i="45"/>
  <c r="G85" i="45"/>
  <c r="W58" i="45"/>
  <c r="W247" i="45"/>
  <c r="G240" i="45"/>
  <c r="H195" i="45"/>
  <c r="G143" i="45"/>
  <c r="H114" i="45"/>
  <c r="H94" i="45"/>
  <c r="G11" i="45"/>
  <c r="H234" i="45"/>
  <c r="H151" i="45"/>
  <c r="V207" i="45"/>
  <c r="G97" i="45"/>
  <c r="H58" i="45"/>
  <c r="W215" i="45"/>
  <c r="G195" i="45"/>
  <c r="V189" i="45"/>
  <c r="W143" i="45"/>
  <c r="W128" i="45"/>
  <c r="G114" i="45"/>
  <c r="V82" i="45"/>
  <c r="W234" i="45"/>
  <c r="V24" i="45"/>
  <c r="G151" i="45"/>
  <c r="G58" i="45"/>
  <c r="G159" i="45"/>
  <c r="H128" i="45"/>
  <c r="W114" i="45"/>
  <c r="V201" i="45"/>
  <c r="W105" i="45"/>
  <c r="H105" i="45"/>
  <c r="V86" i="45"/>
  <c r="W72" i="45"/>
  <c r="H72" i="45"/>
  <c r="W68" i="45"/>
  <c r="W63" i="45"/>
  <c r="W30" i="45"/>
  <c r="G23" i="45"/>
  <c r="V257" i="45"/>
  <c r="V252" i="45"/>
  <c r="V180" i="45"/>
  <c r="G128" i="45"/>
  <c r="V118" i="45"/>
  <c r="V39" i="44"/>
  <c r="V38" i="44" s="1"/>
  <c r="H51" i="44"/>
  <c r="W70" i="44"/>
  <c r="G65" i="44"/>
  <c r="W27" i="44"/>
  <c r="V52" i="44"/>
  <c r="W45" i="44"/>
  <c r="G45" i="44"/>
  <c r="V80" i="44"/>
  <c r="G8" i="44"/>
  <c r="G14" i="44"/>
  <c r="G86" i="44"/>
  <c r="V28" i="44"/>
  <c r="G55" i="44"/>
  <c r="H38" i="44"/>
  <c r="H27" i="44"/>
  <c r="H65" i="44"/>
  <c r="W38" i="44"/>
  <c r="H8" i="44"/>
  <c r="H86" i="44"/>
  <c r="H73" i="44"/>
  <c r="V46" i="44"/>
  <c r="V45" i="44" s="1"/>
  <c r="W73" i="44"/>
  <c r="G73" i="44"/>
  <c r="W79" i="44"/>
  <c r="G51" i="44"/>
  <c r="H70" i="44"/>
  <c r="V66" i="44"/>
  <c r="V61" i="44"/>
  <c r="W65" i="44"/>
  <c r="G70" i="44"/>
  <c r="W60" i="44"/>
  <c r="W14" i="44"/>
  <c r="H60" i="44"/>
  <c r="G27" i="44"/>
  <c r="H14" i="44"/>
  <c r="H79" i="44"/>
  <c r="G60" i="44"/>
  <c r="G38" i="44"/>
  <c r="V9" i="44"/>
  <c r="G79" i="44"/>
  <c r="V56" i="44"/>
  <c r="V15" i="44"/>
  <c r="W8" i="44"/>
  <c r="V87" i="44"/>
  <c r="W55" i="44"/>
  <c r="W51" i="44"/>
  <c r="W86" i="44"/>
  <c r="H55" i="44"/>
  <c r="H45" i="44"/>
  <c r="H8" i="43"/>
  <c r="H30" i="43"/>
  <c r="G13" i="43"/>
  <c r="H13" i="43"/>
  <c r="V9" i="43"/>
  <c r="G40" i="43"/>
  <c r="H40" i="43"/>
  <c r="W40" i="43"/>
  <c r="W69" i="43"/>
  <c r="V14" i="43"/>
  <c r="V70" i="43"/>
  <c r="V69" i="43" s="1"/>
  <c r="W30" i="43"/>
  <c r="W8" i="43"/>
  <c r="V31" i="43"/>
  <c r="G30" i="43"/>
  <c r="G8" i="43"/>
  <c r="V41" i="43"/>
  <c r="W13" i="43"/>
  <c r="H67" i="43"/>
  <c r="H46" i="52" l="1"/>
  <c r="W6" i="52"/>
  <c r="G2" i="52"/>
  <c r="V6" i="52"/>
  <c r="V46" i="52"/>
  <c r="V157" i="51"/>
  <c r="V196" i="51"/>
  <c r="V203" i="51"/>
  <c r="V174" i="51"/>
  <c r="V179" i="51"/>
  <c r="V116" i="51"/>
  <c r="V121" i="51"/>
  <c r="V165" i="51"/>
  <c r="G136" i="51"/>
  <c r="V199" i="51"/>
  <c r="H136" i="51"/>
  <c r="V161" i="51"/>
  <c r="V145" i="51"/>
  <c r="V148" i="51"/>
  <c r="V142" i="51"/>
  <c r="W136" i="51"/>
  <c r="V152" i="51"/>
  <c r="V193" i="51"/>
  <c r="V171" i="51"/>
  <c r="V105" i="51"/>
  <c r="G6" i="51"/>
  <c r="H6" i="51"/>
  <c r="W6" i="51"/>
  <c r="V8" i="50"/>
  <c r="V6" i="50" s="1"/>
  <c r="H6" i="49"/>
  <c r="H2" i="49" s="1"/>
  <c r="V35" i="46"/>
  <c r="V58" i="46"/>
  <c r="V66" i="46"/>
  <c r="G6" i="48"/>
  <c r="W6" i="48"/>
  <c r="H33" i="48"/>
  <c r="W33" i="48"/>
  <c r="V8" i="48"/>
  <c r="V6" i="48" s="1"/>
  <c r="V35" i="48"/>
  <c r="G33" i="48"/>
  <c r="G2" i="48" s="1"/>
  <c r="H6" i="48"/>
  <c r="V23" i="47"/>
  <c r="V16" i="47"/>
  <c r="H14" i="47"/>
  <c r="V53" i="47"/>
  <c r="V8" i="47"/>
  <c r="W6" i="47"/>
  <c r="H6" i="47"/>
  <c r="G14" i="47"/>
  <c r="V30" i="47"/>
  <c r="V48" i="47"/>
  <c r="G6" i="47"/>
  <c r="W14" i="47"/>
  <c r="V53" i="46"/>
  <c r="H6" i="46"/>
  <c r="V30" i="46"/>
  <c r="V48" i="46"/>
  <c r="W46" i="46"/>
  <c r="H46" i="46"/>
  <c r="G46" i="46"/>
  <c r="G6" i="46"/>
  <c r="W6" i="46"/>
  <c r="V8" i="46"/>
  <c r="V234" i="45"/>
  <c r="V36" i="45"/>
  <c r="V195" i="45"/>
  <c r="V30" i="45"/>
  <c r="V240" i="45"/>
  <c r="V168" i="45"/>
  <c r="V121" i="45"/>
  <c r="V151" i="45"/>
  <c r="V114" i="45"/>
  <c r="H6" i="45"/>
  <c r="V179" i="45"/>
  <c r="V143" i="45"/>
  <c r="V77" i="45"/>
  <c r="V63" i="45"/>
  <c r="V68" i="45"/>
  <c r="V11" i="45"/>
  <c r="V23" i="45"/>
  <c r="V256" i="45"/>
  <c r="W103" i="45"/>
  <c r="V85" i="45"/>
  <c r="V133" i="45"/>
  <c r="V58" i="45"/>
  <c r="W6" i="45"/>
  <c r="H103" i="45"/>
  <c r="G103" i="45"/>
  <c r="V247" i="45"/>
  <c r="V159" i="45"/>
  <c r="G6" i="45"/>
  <c r="V128" i="45"/>
  <c r="V70" i="44"/>
  <c r="H6" i="44"/>
  <c r="V55" i="44"/>
  <c r="V51" i="44"/>
  <c r="V27" i="44"/>
  <c r="V73" i="44"/>
  <c r="V8" i="44"/>
  <c r="W6" i="44"/>
  <c r="H43" i="44"/>
  <c r="W43" i="44"/>
  <c r="G6" i="44"/>
  <c r="V14" i="44"/>
  <c r="G43" i="44"/>
  <c r="V86" i="44"/>
  <c r="V65" i="44"/>
  <c r="V79" i="44"/>
  <c r="V60" i="44"/>
  <c r="V8" i="43"/>
  <c r="V30" i="43"/>
  <c r="V13" i="43"/>
  <c r="G60" i="43"/>
  <c r="G6" i="43"/>
  <c r="W6" i="43"/>
  <c r="H60" i="43"/>
  <c r="W60" i="43"/>
  <c r="H6" i="43"/>
  <c r="V67" i="43"/>
  <c r="V40" i="43"/>
  <c r="H2" i="52" l="1"/>
  <c r="W2" i="52"/>
  <c r="V2" i="52"/>
  <c r="X4" i="52" s="1"/>
  <c r="V136" i="51"/>
  <c r="W2" i="51"/>
  <c r="V6" i="51"/>
  <c r="H2" i="51"/>
  <c r="G2" i="51"/>
  <c r="Y2" i="49"/>
  <c r="X4" i="50"/>
  <c r="H2" i="50"/>
  <c r="X2" i="50"/>
  <c r="H2" i="46"/>
  <c r="G2" i="46"/>
  <c r="W2" i="48"/>
  <c r="H2" i="48"/>
  <c r="Y2" i="48" s="1"/>
  <c r="V33" i="48"/>
  <c r="V2" i="48" s="1"/>
  <c r="H2" i="47"/>
  <c r="G2" i="47"/>
  <c r="V6" i="47"/>
  <c r="V14" i="47"/>
  <c r="W2" i="47"/>
  <c r="V46" i="46"/>
  <c r="V6" i="46"/>
  <c r="W2" i="46"/>
  <c r="W2" i="45"/>
  <c r="H2" i="45"/>
  <c r="V6" i="45"/>
  <c r="G2" i="45"/>
  <c r="V103" i="45"/>
  <c r="H2" i="44"/>
  <c r="V6" i="44"/>
  <c r="G2" i="44"/>
  <c r="W2" i="44"/>
  <c r="V43" i="44"/>
  <c r="H2" i="43"/>
  <c r="V6" i="43"/>
  <c r="W2" i="43"/>
  <c r="V60" i="43"/>
  <c r="Y4" i="52" l="1"/>
  <c r="Y2" i="52"/>
  <c r="X2" i="52"/>
  <c r="Y2" i="51"/>
  <c r="V2" i="51"/>
  <c r="X2" i="51" s="1"/>
  <c r="Y4" i="51"/>
  <c r="Y4" i="49"/>
  <c r="Y4" i="50"/>
  <c r="X4" i="49"/>
  <c r="Y2" i="50"/>
  <c r="Y4" i="46"/>
  <c r="V2" i="46"/>
  <c r="X4" i="46" s="1"/>
  <c r="X4" i="48"/>
  <c r="X2" i="48"/>
  <c r="Y4" i="48"/>
  <c r="Y4" i="47"/>
  <c r="V2" i="47"/>
  <c r="X4" i="47" s="1"/>
  <c r="Y2" i="47"/>
  <c r="Y2" i="46"/>
  <c r="V2" i="45"/>
  <c r="X4" i="45" s="1"/>
  <c r="Y4" i="45"/>
  <c r="Y2" i="45"/>
  <c r="Y2" i="44"/>
  <c r="V2" i="44"/>
  <c r="X4" i="44" s="1"/>
  <c r="Y4" i="44"/>
  <c r="Y2" i="43"/>
  <c r="V2" i="43"/>
  <c r="X2" i="43" s="1"/>
  <c r="Y4" i="43"/>
  <c r="X4" i="51" l="1"/>
  <c r="X2" i="49"/>
  <c r="X2" i="46"/>
  <c r="X2" i="47"/>
  <c r="X2" i="45"/>
  <c r="X2" i="44"/>
  <c r="X4" i="43"/>
  <c r="M5" i="37" l="1"/>
  <c r="M4" i="37"/>
  <c r="L6" i="37"/>
  <c r="M7" i="37"/>
  <c r="M6" i="37" s="1"/>
  <c r="M8" i="37"/>
  <c r="L25" i="36" l="1"/>
  <c r="L24" i="36" s="1"/>
  <c r="M20" i="36"/>
  <c r="J20" i="36"/>
  <c r="L21" i="36"/>
  <c r="L20" i="36" s="1"/>
  <c r="L17" i="36"/>
  <c r="L14" i="36"/>
  <c r="L11" i="36"/>
  <c r="L8" i="36"/>
  <c r="L7" i="36" s="1"/>
  <c r="K26" i="31"/>
  <c r="J26" i="31"/>
  <c r="K22" i="31"/>
  <c r="J22" i="31"/>
  <c r="K20" i="31"/>
  <c r="J20" i="31"/>
  <c r="K18" i="31"/>
  <c r="J18" i="31"/>
  <c r="K3" i="31"/>
  <c r="J3" i="31"/>
  <c r="L6" i="36" l="1"/>
  <c r="J6" i="36"/>
  <c r="M6" i="36"/>
  <c r="V653" i="33"/>
  <c r="V652" i="33" s="1"/>
  <c r="W652" i="33"/>
  <c r="H652" i="33"/>
  <c r="G652" i="33"/>
  <c r="V651" i="33"/>
  <c r="V650" i="33" s="1"/>
  <c r="W650" i="33"/>
  <c r="H650" i="33"/>
  <c r="G650" i="33"/>
  <c r="V649" i="33"/>
  <c r="V648" i="33" s="1"/>
  <c r="W648" i="33"/>
  <c r="H648" i="33"/>
  <c r="G648" i="33"/>
  <c r="V647" i="33"/>
  <c r="V646" i="33"/>
  <c r="W645" i="33"/>
  <c r="H645" i="33"/>
  <c r="G645" i="33"/>
  <c r="V644" i="33"/>
  <c r="V643" i="33"/>
  <c r="W642" i="33"/>
  <c r="H642" i="33"/>
  <c r="G642" i="33"/>
  <c r="V641" i="33"/>
  <c r="V640" i="33"/>
  <c r="W639" i="33"/>
  <c r="H639" i="33"/>
  <c r="G639" i="33"/>
  <c r="V637" i="33"/>
  <c r="V636" i="33" s="1"/>
  <c r="V635" i="33" s="1"/>
  <c r="W636" i="33"/>
  <c r="W635" i="33" s="1"/>
  <c r="H636" i="33"/>
  <c r="H635" i="33" s="1"/>
  <c r="G636" i="33"/>
  <c r="G635" i="33" s="1"/>
  <c r="V634" i="33"/>
  <c r="V633" i="33"/>
  <c r="V632" i="33" s="1"/>
  <c r="W632" i="33"/>
  <c r="H632" i="33"/>
  <c r="G632" i="33"/>
  <c r="V631" i="33"/>
  <c r="V630" i="33"/>
  <c r="W629" i="33"/>
  <c r="H629" i="33"/>
  <c r="G629" i="33"/>
  <c r="V628" i="33"/>
  <c r="V627" i="33" s="1"/>
  <c r="W627" i="33"/>
  <c r="H627" i="33"/>
  <c r="G627" i="33"/>
  <c r="V626" i="33"/>
  <c r="V625" i="33"/>
  <c r="V624" i="33"/>
  <c r="V623" i="33"/>
  <c r="W622" i="33"/>
  <c r="H622" i="33"/>
  <c r="G622" i="33"/>
  <c r="V620" i="33"/>
  <c r="V619" i="33"/>
  <c r="W618" i="33"/>
  <c r="H618" i="33"/>
  <c r="G618" i="33"/>
  <c r="V617" i="33"/>
  <c r="V616" i="33"/>
  <c r="W615" i="33"/>
  <c r="H615" i="33"/>
  <c r="G615" i="33"/>
  <c r="V614" i="33"/>
  <c r="V613" i="33" s="1"/>
  <c r="W613" i="33"/>
  <c r="H613" i="33"/>
  <c r="G613" i="33"/>
  <c r="V612" i="33"/>
  <c r="V611" i="33"/>
  <c r="V610" i="33"/>
  <c r="W609" i="33"/>
  <c r="H609" i="33"/>
  <c r="G609" i="33"/>
  <c r="V607" i="33"/>
  <c r="V606" i="33" s="1"/>
  <c r="W606" i="33"/>
  <c r="H606" i="33"/>
  <c r="G606" i="33"/>
  <c r="V605" i="33"/>
  <c r="V604" i="33"/>
  <c r="W603" i="33"/>
  <c r="H603" i="33"/>
  <c r="G603" i="33"/>
  <c r="V602" i="33"/>
  <c r="V601" i="33" s="1"/>
  <c r="W601" i="33"/>
  <c r="H601" i="33"/>
  <c r="G601" i="33"/>
  <c r="V600" i="33"/>
  <c r="V599" i="33"/>
  <c r="W598" i="33"/>
  <c r="H598" i="33"/>
  <c r="G598" i="33"/>
  <c r="W594" i="33"/>
  <c r="V594" i="33"/>
  <c r="H594" i="33"/>
  <c r="G594" i="33"/>
  <c r="W591" i="33"/>
  <c r="V591" i="33"/>
  <c r="H591" i="33"/>
  <c r="G591" i="33"/>
  <c r="W589" i="33"/>
  <c r="V589" i="33"/>
  <c r="H589" i="33"/>
  <c r="G589" i="33"/>
  <c r="W585" i="33"/>
  <c r="V585" i="33"/>
  <c r="H585" i="33"/>
  <c r="G585" i="33"/>
  <c r="V583" i="33"/>
  <c r="V582" i="33" s="1"/>
  <c r="V581" i="33" s="1"/>
  <c r="W582" i="33"/>
  <c r="W581" i="33" s="1"/>
  <c r="H582" i="33"/>
  <c r="H581" i="33" s="1"/>
  <c r="G582" i="33"/>
  <c r="G581" i="33" s="1"/>
  <c r="V580" i="33"/>
  <c r="V579" i="33" s="1"/>
  <c r="V578" i="33" s="1"/>
  <c r="W579" i="33"/>
  <c r="W578" i="33" s="1"/>
  <c r="H579" i="33"/>
  <c r="H578" i="33" s="1"/>
  <c r="G579" i="33"/>
  <c r="G578" i="33" s="1"/>
  <c r="V577" i="33"/>
  <c r="V576" i="33" s="1"/>
  <c r="W576" i="33"/>
  <c r="H576" i="33"/>
  <c r="G576" i="33"/>
  <c r="V575" i="33"/>
  <c r="V574" i="33" s="1"/>
  <c r="W574" i="33"/>
  <c r="H574" i="33"/>
  <c r="G574" i="33"/>
  <c r="V573" i="33"/>
  <c r="V572" i="33" s="1"/>
  <c r="W572" i="33"/>
  <c r="H572" i="33"/>
  <c r="G572" i="33"/>
  <c r="V571" i="33"/>
  <c r="V570" i="33"/>
  <c r="W569" i="33"/>
  <c r="H569" i="33"/>
  <c r="G569" i="33"/>
  <c r="V567" i="33"/>
  <c r="V566" i="33"/>
  <c r="V565" i="33"/>
  <c r="V564" i="33"/>
  <c r="V563" i="33"/>
  <c r="W562" i="33"/>
  <c r="H562" i="33"/>
  <c r="G562" i="33"/>
  <c r="V561" i="33"/>
  <c r="V560" i="33"/>
  <c r="V559" i="33"/>
  <c r="V558" i="33"/>
  <c r="V557" i="33"/>
  <c r="W556" i="33"/>
  <c r="H556" i="33"/>
  <c r="G556" i="33"/>
  <c r="V555" i="33"/>
  <c r="V554" i="33"/>
  <c r="V553" i="33"/>
  <c r="V552" i="33"/>
  <c r="V551" i="33"/>
  <c r="W550" i="33"/>
  <c r="H550" i="33"/>
  <c r="G550" i="33"/>
  <c r="V549" i="33"/>
  <c r="V548" i="33"/>
  <c r="W547" i="33"/>
  <c r="H547" i="33"/>
  <c r="G547" i="33"/>
  <c r="V546" i="33"/>
  <c r="V545" i="33"/>
  <c r="V544" i="33"/>
  <c r="V543" i="33"/>
  <c r="V542" i="33"/>
  <c r="W541" i="33"/>
  <c r="H541" i="33"/>
  <c r="G541" i="33"/>
  <c r="V539" i="33"/>
  <c r="V538" i="33"/>
  <c r="V537" i="33"/>
  <c r="W536" i="33"/>
  <c r="H536" i="33"/>
  <c r="G536" i="33"/>
  <c r="V535" i="33"/>
  <c r="V534" i="33"/>
  <c r="V533" i="33"/>
  <c r="W532" i="33"/>
  <c r="H532" i="33"/>
  <c r="G532" i="33"/>
  <c r="V531" i="33"/>
  <c r="V530" i="33"/>
  <c r="W529" i="33"/>
  <c r="H529" i="33"/>
  <c r="G529" i="33"/>
  <c r="V528" i="33"/>
  <c r="V527" i="33" s="1"/>
  <c r="W527" i="33"/>
  <c r="H527" i="33"/>
  <c r="G527" i="33"/>
  <c r="V526" i="33"/>
  <c r="V525" i="33"/>
  <c r="V524" i="33"/>
  <c r="W523" i="33"/>
  <c r="H523" i="33"/>
  <c r="G523" i="33"/>
  <c r="V521" i="33"/>
  <c r="V520" i="33"/>
  <c r="V519" i="33"/>
  <c r="W518" i="33"/>
  <c r="H518" i="33"/>
  <c r="G518" i="33"/>
  <c r="V517" i="33"/>
  <c r="V516" i="33"/>
  <c r="V515" i="33"/>
  <c r="W514" i="33"/>
  <c r="H514" i="33"/>
  <c r="G514" i="33"/>
  <c r="V513" i="33"/>
  <c r="V512" i="33"/>
  <c r="V511" i="33"/>
  <c r="W510" i="33"/>
  <c r="H510" i="33"/>
  <c r="G510" i="33"/>
  <c r="V509" i="33"/>
  <c r="V508" i="33" s="1"/>
  <c r="W508" i="33"/>
  <c r="H508" i="33"/>
  <c r="G508" i="33"/>
  <c r="V507" i="33"/>
  <c r="V506" i="33"/>
  <c r="V505" i="33"/>
  <c r="V504" i="33"/>
  <c r="W503" i="33"/>
  <c r="H503" i="33"/>
  <c r="G503" i="33"/>
  <c r="V501" i="33"/>
  <c r="V500" i="33"/>
  <c r="V499" i="33"/>
  <c r="W498" i="33"/>
  <c r="H498" i="33"/>
  <c r="G498" i="33"/>
  <c r="V497" i="33"/>
  <c r="V496" i="33"/>
  <c r="V495" i="33"/>
  <c r="W494" i="33"/>
  <c r="H494" i="33"/>
  <c r="G494" i="33"/>
  <c r="V493" i="33"/>
  <c r="V492" i="33"/>
  <c r="V491" i="33"/>
  <c r="W490" i="33"/>
  <c r="H490" i="33"/>
  <c r="G490" i="33"/>
  <c r="V489" i="33"/>
  <c r="V488" i="33"/>
  <c r="V487" i="33"/>
  <c r="W486" i="33"/>
  <c r="H486" i="33"/>
  <c r="G486" i="33"/>
  <c r="V485" i="33"/>
  <c r="V484" i="33"/>
  <c r="V483" i="33"/>
  <c r="V482" i="33"/>
  <c r="V481" i="33"/>
  <c r="V480" i="33"/>
  <c r="W479" i="33"/>
  <c r="H479" i="33"/>
  <c r="G479" i="33"/>
  <c r="V477" i="33"/>
  <c r="V476" i="33" s="1"/>
  <c r="W476" i="33"/>
  <c r="H476" i="33"/>
  <c r="G476" i="33"/>
  <c r="V475" i="33"/>
  <c r="V474" i="33"/>
  <c r="W473" i="33"/>
  <c r="H473" i="33"/>
  <c r="G473" i="33"/>
  <c r="V472" i="33"/>
  <c r="V471" i="33" s="1"/>
  <c r="W471" i="33"/>
  <c r="H471" i="33"/>
  <c r="G471" i="33"/>
  <c r="V470" i="33"/>
  <c r="V469" i="33"/>
  <c r="V468" i="33"/>
  <c r="V467" i="33"/>
  <c r="W466" i="33"/>
  <c r="H466" i="33"/>
  <c r="G466" i="33"/>
  <c r="V464" i="33"/>
  <c r="V463" i="33" s="1"/>
  <c r="W463" i="33"/>
  <c r="H463" i="33"/>
  <c r="G463" i="33"/>
  <c r="V462" i="33"/>
  <c r="V461" i="33"/>
  <c r="W460" i="33"/>
  <c r="H460" i="33"/>
  <c r="G460" i="33"/>
  <c r="V459" i="33"/>
  <c r="V458" i="33" s="1"/>
  <c r="W458" i="33"/>
  <c r="H458" i="33"/>
  <c r="G458" i="33"/>
  <c r="V457" i="33"/>
  <c r="V456" i="33"/>
  <c r="V455" i="33"/>
  <c r="V454" i="33"/>
  <c r="W453" i="33"/>
  <c r="H453" i="33"/>
  <c r="G453" i="33"/>
  <c r="V451" i="33"/>
  <c r="V450" i="33"/>
  <c r="W449" i="33"/>
  <c r="H449" i="33"/>
  <c r="G449" i="33"/>
  <c r="V448" i="33"/>
  <c r="V447" i="33"/>
  <c r="V446" i="33"/>
  <c r="W445" i="33"/>
  <c r="H445" i="33"/>
  <c r="G445" i="33"/>
  <c r="V444" i="33"/>
  <c r="V443" i="33"/>
  <c r="W442" i="33"/>
  <c r="H442" i="33"/>
  <c r="G442" i="33"/>
  <c r="V441" i="33"/>
  <c r="V440" i="33"/>
  <c r="V439" i="33"/>
  <c r="V438" i="33"/>
  <c r="V437" i="33"/>
  <c r="V436" i="33"/>
  <c r="W435" i="33"/>
  <c r="H435" i="33"/>
  <c r="G435" i="33"/>
  <c r="V433" i="33"/>
  <c r="V432" i="33"/>
  <c r="V431" i="33"/>
  <c r="W430" i="33"/>
  <c r="H430" i="33"/>
  <c r="G430" i="33"/>
  <c r="V429" i="33"/>
  <c r="V428" i="33"/>
  <c r="W427" i="33"/>
  <c r="H427" i="33"/>
  <c r="G427" i="33"/>
  <c r="V426" i="33"/>
  <c r="V425" i="33"/>
  <c r="V424" i="33"/>
  <c r="W423" i="33"/>
  <c r="H423" i="33"/>
  <c r="G423" i="33"/>
  <c r="V421" i="33"/>
  <c r="V420" i="33" s="1"/>
  <c r="W420" i="33"/>
  <c r="H420" i="33"/>
  <c r="G420" i="33"/>
  <c r="V419" i="33"/>
  <c r="V418" i="33" s="1"/>
  <c r="W418" i="33"/>
  <c r="H418" i="33"/>
  <c r="G418" i="33"/>
  <c r="V417" i="33"/>
  <c r="V416" i="33" s="1"/>
  <c r="W416" i="33"/>
  <c r="H416" i="33"/>
  <c r="G416" i="33"/>
  <c r="V415" i="33"/>
  <c r="V414" i="33"/>
  <c r="W413" i="33"/>
  <c r="H413" i="33"/>
  <c r="G413" i="33"/>
  <c r="V411" i="33"/>
  <c r="V410" i="33"/>
  <c r="W409" i="33"/>
  <c r="H409" i="33"/>
  <c r="G409" i="33"/>
  <c r="V408" i="33"/>
  <c r="V407" i="33"/>
  <c r="W406" i="33"/>
  <c r="H406" i="33"/>
  <c r="G406" i="33"/>
  <c r="V405" i="33"/>
  <c r="V404" i="33" s="1"/>
  <c r="W404" i="33"/>
  <c r="H404" i="33"/>
  <c r="G404" i="33"/>
  <c r="V403" i="33"/>
  <c r="V402" i="33"/>
  <c r="V401" i="33"/>
  <c r="V400" i="33"/>
  <c r="V399" i="33"/>
  <c r="W398" i="33"/>
  <c r="H398" i="33"/>
  <c r="G398" i="33"/>
  <c r="V393" i="33"/>
  <c r="V392" i="33"/>
  <c r="W391" i="33"/>
  <c r="H391" i="33"/>
  <c r="G391" i="33"/>
  <c r="W388" i="33"/>
  <c r="H388" i="33"/>
  <c r="W385" i="33"/>
  <c r="H385" i="33"/>
  <c r="W383" i="33"/>
  <c r="H383" i="33"/>
  <c r="W379" i="33"/>
  <c r="H379" i="33"/>
  <c r="W375" i="33"/>
  <c r="H375" i="33"/>
  <c r="W372" i="33"/>
  <c r="H372" i="33"/>
  <c r="W369" i="33"/>
  <c r="H369" i="33"/>
  <c r="W366" i="33"/>
  <c r="V366" i="33"/>
  <c r="H366" i="33"/>
  <c r="G366" i="33"/>
  <c r="W362" i="33"/>
  <c r="H362" i="33"/>
  <c r="W358" i="33"/>
  <c r="H358" i="33"/>
  <c r="W354" i="33"/>
  <c r="V354" i="33"/>
  <c r="H354" i="33"/>
  <c r="G354" i="33"/>
  <c r="V352" i="33"/>
  <c r="V351" i="33" s="1"/>
  <c r="W351" i="33"/>
  <c r="H351" i="33"/>
  <c r="G351" i="33"/>
  <c r="V350" i="33"/>
  <c r="V349" i="33" s="1"/>
  <c r="W349" i="33"/>
  <c r="H349" i="33"/>
  <c r="G349" i="33"/>
  <c r="V348" i="33"/>
  <c r="V347" i="33" s="1"/>
  <c r="W347" i="33"/>
  <c r="H347" i="33"/>
  <c r="G347" i="33"/>
  <c r="V346" i="33"/>
  <c r="V345" i="33"/>
  <c r="W344" i="33"/>
  <c r="H344" i="33"/>
  <c r="G344" i="33"/>
  <c r="V342" i="33"/>
  <c r="V341" i="33" s="1"/>
  <c r="W341" i="33"/>
  <c r="H341" i="33"/>
  <c r="G341" i="33"/>
  <c r="V340" i="33"/>
  <c r="V339" i="33" s="1"/>
  <c r="W339" i="33"/>
  <c r="H339" i="33"/>
  <c r="G339" i="33"/>
  <c r="V338" i="33"/>
  <c r="V337" i="33"/>
  <c r="V336" i="33"/>
  <c r="V335" i="33"/>
  <c r="W334" i="33"/>
  <c r="H334" i="33"/>
  <c r="G334" i="33"/>
  <c r="V332" i="33"/>
  <c r="V331" i="33"/>
  <c r="W330" i="33"/>
  <c r="H330" i="33"/>
  <c r="G330" i="33"/>
  <c r="V329" i="33"/>
  <c r="V328" i="33"/>
  <c r="V327" i="33"/>
  <c r="V326" i="33"/>
  <c r="W325" i="33"/>
  <c r="H325" i="33"/>
  <c r="G325" i="33"/>
  <c r="V324" i="33"/>
  <c r="V323" i="33"/>
  <c r="V322" i="33"/>
  <c r="W321" i="33"/>
  <c r="H321" i="33"/>
  <c r="G321" i="33"/>
  <c r="V320" i="33"/>
  <c r="V319" i="33"/>
  <c r="V318" i="33"/>
  <c r="V317" i="33"/>
  <c r="W316" i="33"/>
  <c r="H316" i="33"/>
  <c r="G316" i="33"/>
  <c r="V314" i="33"/>
  <c r="V313" i="33"/>
  <c r="V312" i="33" s="1"/>
  <c r="W312" i="33"/>
  <c r="H312" i="33"/>
  <c r="G312" i="33"/>
  <c r="V311" i="33"/>
  <c r="V310" i="33"/>
  <c r="W309" i="33"/>
  <c r="H309" i="33"/>
  <c r="G309" i="33"/>
  <c r="V308" i="33"/>
  <c r="V307" i="33"/>
  <c r="W306" i="33"/>
  <c r="H306" i="33"/>
  <c r="G306" i="33"/>
  <c r="V305" i="33"/>
  <c r="V304" i="33"/>
  <c r="W303" i="33"/>
  <c r="H303" i="33"/>
  <c r="G303" i="33"/>
  <c r="V301" i="33"/>
  <c r="V300" i="33"/>
  <c r="V299" i="33"/>
  <c r="W298" i="33"/>
  <c r="H298" i="33"/>
  <c r="G298" i="33"/>
  <c r="V297" i="33"/>
  <c r="V296" i="33"/>
  <c r="V295" i="33"/>
  <c r="W294" i="33"/>
  <c r="H294" i="33"/>
  <c r="G294" i="33"/>
  <c r="V293" i="33"/>
  <c r="V292" i="33"/>
  <c r="W291" i="33"/>
  <c r="H291" i="33"/>
  <c r="G291" i="33"/>
  <c r="V290" i="33"/>
  <c r="V289" i="33"/>
  <c r="V288" i="33"/>
  <c r="V287" i="33"/>
  <c r="V286" i="33"/>
  <c r="W285" i="33"/>
  <c r="H285" i="33"/>
  <c r="G285" i="33"/>
  <c r="V283" i="33"/>
  <c r="V282" i="33" s="1"/>
  <c r="W282" i="33"/>
  <c r="H282" i="33"/>
  <c r="G282" i="33"/>
  <c r="V281" i="33"/>
  <c r="V280" i="33" s="1"/>
  <c r="W280" i="33"/>
  <c r="H280" i="33"/>
  <c r="G280" i="33"/>
  <c r="V279" i="33"/>
  <c r="V278" i="33" s="1"/>
  <c r="W278" i="33"/>
  <c r="H278" i="33"/>
  <c r="G278" i="33"/>
  <c r="V277" i="33"/>
  <c r="V276" i="33"/>
  <c r="W275" i="33"/>
  <c r="H275" i="33"/>
  <c r="G275" i="33"/>
  <c r="V273" i="33"/>
  <c r="V272" i="33"/>
  <c r="W271" i="33"/>
  <c r="H271" i="33"/>
  <c r="G271" i="33"/>
  <c r="V270" i="33"/>
  <c r="V269" i="33"/>
  <c r="V268" i="33"/>
  <c r="V267" i="33"/>
  <c r="V266" i="33"/>
  <c r="V265" i="33"/>
  <c r="W264" i="33"/>
  <c r="H264" i="33"/>
  <c r="G264" i="33"/>
  <c r="V262" i="33"/>
  <c r="V260" i="33"/>
  <c r="V259" i="33"/>
  <c r="V258" i="33"/>
  <c r="V257" i="33"/>
  <c r="V256" i="33"/>
  <c r="V255" i="33"/>
  <c r="W254" i="33"/>
  <c r="H254" i="33"/>
  <c r="G254" i="33"/>
  <c r="V252" i="33"/>
  <c r="V251" i="33" s="1"/>
  <c r="W251" i="33"/>
  <c r="H251" i="33"/>
  <c r="G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W229" i="33"/>
  <c r="H229" i="33"/>
  <c r="G229" i="33"/>
  <c r="V228" i="33"/>
  <c r="V227" i="33"/>
  <c r="V226" i="33"/>
  <c r="V225" i="33"/>
  <c r="V224" i="33"/>
  <c r="V223" i="33"/>
  <c r="V222" i="33"/>
  <c r="V221" i="33"/>
  <c r="V220" i="33"/>
  <c r="V219" i="33"/>
  <c r="V218" i="33"/>
  <c r="W217" i="33"/>
  <c r="H217" i="33"/>
  <c r="G217" i="33"/>
  <c r="V215" i="33"/>
  <c r="V214" i="33" s="1"/>
  <c r="V213" i="33" s="1"/>
  <c r="W214" i="33"/>
  <c r="W213" i="33" s="1"/>
  <c r="H214" i="33"/>
  <c r="H213" i="33" s="1"/>
  <c r="G214" i="33"/>
  <c r="G213" i="33" s="1"/>
  <c r="V212" i="33"/>
  <c r="V211" i="33" s="1"/>
  <c r="W211" i="33"/>
  <c r="H211" i="33"/>
  <c r="G211" i="33"/>
  <c r="V210" i="33"/>
  <c r="V209" i="33"/>
  <c r="V208" i="33"/>
  <c r="V207" i="33"/>
  <c r="W206" i="33"/>
  <c r="H206" i="33"/>
  <c r="G206" i="33"/>
  <c r="V205" i="33"/>
  <c r="V204" i="33"/>
  <c r="V203" i="33"/>
  <c r="V202" i="33"/>
  <c r="W201" i="33"/>
  <c r="H201" i="33"/>
  <c r="G201" i="33"/>
  <c r="V199" i="33"/>
  <c r="V198" i="33" s="1"/>
  <c r="W198" i="33"/>
  <c r="H198" i="33"/>
  <c r="G198" i="33"/>
  <c r="V197" i="33"/>
  <c r="V196" i="33"/>
  <c r="V195" i="33"/>
  <c r="V194" i="33"/>
  <c r="V193" i="33"/>
  <c r="W192" i="33"/>
  <c r="H192" i="33"/>
  <c r="G192" i="33"/>
  <c r="V191" i="33"/>
  <c r="V190" i="33"/>
  <c r="V189" i="33"/>
  <c r="V188" i="33"/>
  <c r="W187" i="33"/>
  <c r="H187" i="33"/>
  <c r="G187" i="33"/>
  <c r="V185" i="33"/>
  <c r="V184" i="33"/>
  <c r="W183" i="33"/>
  <c r="H183" i="33"/>
  <c r="G183" i="33"/>
  <c r="V182" i="33"/>
  <c r="V181" i="33"/>
  <c r="V180" i="33"/>
  <c r="V179" i="33"/>
  <c r="W178" i="33"/>
  <c r="H178" i="33"/>
  <c r="G178" i="33"/>
  <c r="V177" i="33"/>
  <c r="V176" i="33"/>
  <c r="V175" i="33"/>
  <c r="W174" i="33"/>
  <c r="H174" i="33"/>
  <c r="G174" i="33"/>
  <c r="V172" i="33"/>
  <c r="V171" i="33"/>
  <c r="V170" i="33"/>
  <c r="V169" i="33"/>
  <c r="V168" i="33"/>
  <c r="V167" i="33"/>
  <c r="V166" i="33"/>
  <c r="V165" i="33"/>
  <c r="V164" i="33"/>
  <c r="V163" i="33"/>
  <c r="V162" i="33"/>
  <c r="W161" i="33"/>
  <c r="H161" i="33"/>
  <c r="G161" i="33"/>
  <c r="V160" i="33"/>
  <c r="V159" i="33"/>
  <c r="V158" i="33"/>
  <c r="V157" i="33"/>
  <c r="V156" i="33"/>
  <c r="V155" i="33"/>
  <c r="V154" i="33"/>
  <c r="V153" i="33"/>
  <c r="V152" i="33"/>
  <c r="V151" i="33"/>
  <c r="W150" i="33"/>
  <c r="H150" i="33"/>
  <c r="G150" i="33"/>
  <c r="V148" i="33"/>
  <c r="V147" i="33"/>
  <c r="V146" i="33"/>
  <c r="W145" i="33"/>
  <c r="H145" i="33"/>
  <c r="G145" i="33"/>
  <c r="V144" i="33"/>
  <c r="V143" i="33"/>
  <c r="W142" i="33"/>
  <c r="H142" i="33"/>
  <c r="G142" i="33"/>
  <c r="V140" i="33"/>
  <c r="V139" i="33"/>
  <c r="V138" i="33"/>
  <c r="W137" i="33"/>
  <c r="W136" i="33" s="1"/>
  <c r="H137" i="33"/>
  <c r="H136" i="33" s="1"/>
  <c r="G137" i="33"/>
  <c r="G136" i="33" s="1"/>
  <c r="V135" i="33"/>
  <c r="V134" i="33"/>
  <c r="W133" i="33"/>
  <c r="H133" i="33"/>
  <c r="G133" i="33"/>
  <c r="V132" i="33"/>
  <c r="V131" i="33"/>
  <c r="V130" i="33"/>
  <c r="V129" i="33"/>
  <c r="V128" i="33"/>
  <c r="V127" i="33"/>
  <c r="V126" i="33"/>
  <c r="V125" i="33"/>
  <c r="V124" i="33"/>
  <c r="V123" i="33"/>
  <c r="W122" i="33"/>
  <c r="H122" i="33"/>
  <c r="G122" i="33"/>
  <c r="V121" i="33"/>
  <c r="V120" i="33"/>
  <c r="V119" i="33"/>
  <c r="V118" i="33"/>
  <c r="V117" i="33"/>
  <c r="V116" i="33"/>
  <c r="V115" i="33"/>
  <c r="W114" i="33"/>
  <c r="H114" i="33"/>
  <c r="G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W93" i="33"/>
  <c r="H93" i="33"/>
  <c r="G93" i="33"/>
  <c r="V91" i="33"/>
  <c r="V90" i="33" s="1"/>
  <c r="W90" i="33"/>
  <c r="H90" i="33"/>
  <c r="G90" i="33"/>
  <c r="V89" i="33"/>
  <c r="V88" i="33"/>
  <c r="V87" i="33"/>
  <c r="W86" i="33"/>
  <c r="H86" i="33"/>
  <c r="G86" i="33"/>
  <c r="V85" i="33"/>
  <c r="V84" i="33"/>
  <c r="V83" i="33"/>
  <c r="W82" i="33"/>
  <c r="H82" i="33"/>
  <c r="G82" i="33"/>
  <c r="V81" i="33"/>
  <c r="V80" i="33"/>
  <c r="V79" i="33"/>
  <c r="V78" i="33"/>
  <c r="V77" i="33"/>
  <c r="G77" i="33"/>
  <c r="G73" i="33" s="1"/>
  <c r="V76" i="33"/>
  <c r="V75" i="33"/>
  <c r="V74" i="33"/>
  <c r="W73" i="33"/>
  <c r="H73" i="33"/>
  <c r="W70" i="33"/>
  <c r="W69" i="33" s="1"/>
  <c r="V70" i="33"/>
  <c r="V69" i="33" s="1"/>
  <c r="H70" i="33"/>
  <c r="H69" i="33" s="1"/>
  <c r="G70" i="33"/>
  <c r="G69" i="33" s="1"/>
  <c r="V68" i="33"/>
  <c r="V67" i="33"/>
  <c r="W66" i="33"/>
  <c r="H66" i="33"/>
  <c r="G66" i="33"/>
  <c r="V65" i="33"/>
  <c r="V64" i="33"/>
  <c r="V63" i="33"/>
  <c r="W62" i="33"/>
  <c r="H62" i="33"/>
  <c r="G62" i="33"/>
  <c r="V61" i="33"/>
  <c r="V60" i="33"/>
  <c r="V59" i="33"/>
  <c r="W58" i="33"/>
  <c r="H58" i="33"/>
  <c r="G58" i="33"/>
  <c r="V56" i="33"/>
  <c r="V55" i="33"/>
  <c r="W54" i="33"/>
  <c r="H54" i="33"/>
  <c r="G54" i="33"/>
  <c r="V53" i="33"/>
  <c r="V52" i="33"/>
  <c r="V51" i="33"/>
  <c r="V50" i="33"/>
  <c r="W49" i="33"/>
  <c r="H49" i="33"/>
  <c r="G49" i="33"/>
  <c r="V48" i="33"/>
  <c r="V47" i="33"/>
  <c r="V46" i="33"/>
  <c r="V45" i="33"/>
  <c r="V44" i="33"/>
  <c r="V43" i="33"/>
  <c r="V42" i="33"/>
  <c r="V41" i="33"/>
  <c r="V40" i="33"/>
  <c r="V39" i="33"/>
  <c r="V38" i="33"/>
  <c r="V37" i="33"/>
  <c r="V36" i="33"/>
  <c r="W35" i="33"/>
  <c r="H35" i="33"/>
  <c r="G35" i="33"/>
  <c r="V34" i="33"/>
  <c r="V33" i="33"/>
  <c r="V32" i="33"/>
  <c r="V31" i="33"/>
  <c r="V30" i="33"/>
  <c r="V29" i="33"/>
  <c r="V28" i="33"/>
  <c r="V27" i="33"/>
  <c r="V26" i="33"/>
  <c r="V25" i="33"/>
  <c r="V24" i="33"/>
  <c r="V23" i="33"/>
  <c r="V22" i="33"/>
  <c r="W21" i="33"/>
  <c r="H21" i="33"/>
  <c r="G21" i="33"/>
  <c r="V19" i="33"/>
  <c r="V18" i="33" s="1"/>
  <c r="W18" i="33"/>
  <c r="H18" i="33"/>
  <c r="G18" i="33"/>
  <c r="V17" i="33"/>
  <c r="V16" i="33"/>
  <c r="V15" i="33"/>
  <c r="W14" i="33"/>
  <c r="H14" i="33"/>
  <c r="G14" i="33"/>
  <c r="V13" i="33"/>
  <c r="V12" i="33"/>
  <c r="V11" i="33"/>
  <c r="V10" i="33"/>
  <c r="W9" i="33"/>
  <c r="H9" i="33"/>
  <c r="G9" i="33"/>
  <c r="H3" i="31"/>
  <c r="V423" i="33" l="1"/>
  <c r="V473" i="33"/>
  <c r="V449" i="33"/>
  <c r="H216" i="33"/>
  <c r="V453" i="33"/>
  <c r="H465" i="33"/>
  <c r="V603" i="33"/>
  <c r="H186" i="33"/>
  <c r="V303" i="33"/>
  <c r="V183" i="33"/>
  <c r="V275" i="33"/>
  <c r="V274" i="33" s="1"/>
  <c r="V298" i="33"/>
  <c r="V309" i="33"/>
  <c r="W502" i="33"/>
  <c r="V518" i="33"/>
  <c r="G522" i="33"/>
  <c r="V486" i="33"/>
  <c r="G315" i="33"/>
  <c r="V82" i="33"/>
  <c r="W315" i="33"/>
  <c r="H302" i="33"/>
  <c r="H478" i="33"/>
  <c r="H149" i="33"/>
  <c r="G597" i="33"/>
  <c r="W20" i="33"/>
  <c r="H20" i="33"/>
  <c r="W568" i="33"/>
  <c r="H57" i="33"/>
  <c r="W412" i="33"/>
  <c r="V598" i="33"/>
  <c r="V618" i="33"/>
  <c r="G200" i="33"/>
  <c r="V391" i="33"/>
  <c r="G186" i="33"/>
  <c r="H584" i="33"/>
  <c r="H200" i="33"/>
  <c r="V174" i="33"/>
  <c r="G333" i="33"/>
  <c r="V466" i="33"/>
  <c r="H253" i="33"/>
  <c r="V334" i="33"/>
  <c r="V333" i="33" s="1"/>
  <c r="V14" i="33"/>
  <c r="G284" i="33"/>
  <c r="V547" i="33"/>
  <c r="H92" i="33"/>
  <c r="V86" i="33"/>
  <c r="V291" i="33"/>
  <c r="V306" i="33"/>
  <c r="V321" i="33"/>
  <c r="V330" i="33"/>
  <c r="G422" i="33"/>
  <c r="V584" i="33"/>
  <c r="H597" i="33"/>
  <c r="V254" i="33"/>
  <c r="V532" i="33"/>
  <c r="V541" i="33"/>
  <c r="W216" i="33"/>
  <c r="W274" i="33"/>
  <c r="V409" i="33"/>
  <c r="W422" i="33"/>
  <c r="V430" i="33"/>
  <c r="V510" i="33"/>
  <c r="V569" i="33"/>
  <c r="V568" i="33" s="1"/>
  <c r="W638" i="33"/>
  <c r="G638" i="33"/>
  <c r="V642" i="33"/>
  <c r="V271" i="33"/>
  <c r="V285" i="33"/>
  <c r="V54" i="33"/>
  <c r="V178" i="33"/>
  <c r="G253" i="33"/>
  <c r="V294" i="33"/>
  <c r="H353" i="33"/>
  <c r="G412" i="33"/>
  <c r="H621" i="33"/>
  <c r="V629" i="33"/>
  <c r="G397" i="33"/>
  <c r="W478" i="33"/>
  <c r="H522" i="33"/>
  <c r="V536" i="33"/>
  <c r="H540" i="33"/>
  <c r="W141" i="33"/>
  <c r="G173" i="33"/>
  <c r="V325" i="33"/>
  <c r="W343" i="33"/>
  <c r="V413" i="33"/>
  <c r="V412" i="33" s="1"/>
  <c r="W522" i="33"/>
  <c r="V529" i="33"/>
  <c r="V615" i="33"/>
  <c r="V645" i="33"/>
  <c r="V264" i="33"/>
  <c r="G343" i="33"/>
  <c r="V142" i="33"/>
  <c r="V344" i="33"/>
  <c r="V343" i="33" s="1"/>
  <c r="V406" i="33"/>
  <c r="V427" i="33"/>
  <c r="V523" i="33"/>
  <c r="W584" i="33"/>
  <c r="V66" i="33"/>
  <c r="H173" i="33"/>
  <c r="V556" i="33"/>
  <c r="V639" i="33"/>
  <c r="W8" i="33"/>
  <c r="V114" i="33"/>
  <c r="W186" i="33"/>
  <c r="H397" i="33"/>
  <c r="G568" i="33"/>
  <c r="H608" i="33"/>
  <c r="V622" i="33"/>
  <c r="V93" i="33"/>
  <c r="V161" i="33"/>
  <c r="V187" i="33"/>
  <c r="V229" i="33"/>
  <c r="H284" i="33"/>
  <c r="H422" i="33"/>
  <c r="V498" i="33"/>
  <c r="V514" i="33"/>
  <c r="V550" i="33"/>
  <c r="H568" i="33"/>
  <c r="G584" i="33"/>
  <c r="W608" i="33"/>
  <c r="V21" i="33"/>
  <c r="V150" i="33"/>
  <c r="V149" i="33" s="1"/>
  <c r="H343" i="33"/>
  <c r="V490" i="33"/>
  <c r="V609" i="33"/>
  <c r="G8" i="33"/>
  <c r="V62" i="33"/>
  <c r="W597" i="33"/>
  <c r="V73" i="33"/>
  <c r="H315" i="33"/>
  <c r="G434" i="33"/>
  <c r="G478" i="33"/>
  <c r="W253" i="33"/>
  <c r="W397" i="33"/>
  <c r="V35" i="33"/>
  <c r="G57" i="33"/>
  <c r="V137" i="33"/>
  <c r="V136" i="33" s="1"/>
  <c r="V145" i="33"/>
  <c r="W302" i="33"/>
  <c r="V316" i="33"/>
  <c r="G353" i="33"/>
  <c r="V398" i="33"/>
  <c r="H434" i="33"/>
  <c r="V442" i="33"/>
  <c r="G452" i="33"/>
  <c r="V562" i="33"/>
  <c r="H638" i="33"/>
  <c r="G274" i="33"/>
  <c r="H274" i="33"/>
  <c r="H412" i="33"/>
  <c r="V9" i="33"/>
  <c r="H8" i="33"/>
  <c r="W200" i="33"/>
  <c r="H333" i="33"/>
  <c r="W434" i="33"/>
  <c r="H452" i="33"/>
  <c r="W465" i="33"/>
  <c r="V494" i="33"/>
  <c r="V503" i="33"/>
  <c r="G540" i="33"/>
  <c r="V206" i="33"/>
  <c r="W57" i="33"/>
  <c r="G72" i="33"/>
  <c r="W173" i="33"/>
  <c r="G216" i="33"/>
  <c r="V353" i="33"/>
  <c r="V435" i="33"/>
  <c r="W452" i="33"/>
  <c r="G621" i="33"/>
  <c r="G302" i="33"/>
  <c r="H72" i="33"/>
  <c r="G502" i="33"/>
  <c r="H502" i="33"/>
  <c r="V49" i="33"/>
  <c r="G92" i="33"/>
  <c r="W92" i="33"/>
  <c r="G141" i="33"/>
  <c r="G149" i="33"/>
  <c r="V217" i="33"/>
  <c r="W333" i="33"/>
  <c r="W353" i="33"/>
  <c r="V479" i="33"/>
  <c r="W72" i="33"/>
  <c r="G465" i="33"/>
  <c r="G20" i="33"/>
  <c r="V58" i="33"/>
  <c r="V122" i="33"/>
  <c r="V133" i="33"/>
  <c r="H141" i="33"/>
  <c r="W149" i="33"/>
  <c r="V192" i="33"/>
  <c r="V201" i="33"/>
  <c r="W284" i="33"/>
  <c r="V445" i="33"/>
  <c r="V460" i="33"/>
  <c r="W540" i="33"/>
  <c r="G608" i="33"/>
  <c r="W621" i="33"/>
  <c r="E2" i="27"/>
  <c r="F2" i="27"/>
  <c r="F1" i="27" s="1"/>
  <c r="F33" i="27"/>
  <c r="E33" i="27"/>
  <c r="E1" i="27"/>
  <c r="K282" i="28"/>
  <c r="V465" i="33" l="1"/>
  <c r="V597" i="33"/>
  <c r="V452" i="33"/>
  <c r="V253" i="33"/>
  <c r="V284" i="33"/>
  <c r="V302" i="33"/>
  <c r="V173" i="33"/>
  <c r="V8" i="33"/>
  <c r="V422" i="33"/>
  <c r="V522" i="33"/>
  <c r="V315" i="33"/>
  <c r="V141" i="33"/>
  <c r="V638" i="33"/>
  <c r="V92" i="33"/>
  <c r="V502" i="33"/>
  <c r="V621" i="33"/>
  <c r="V397" i="33"/>
  <c r="H395" i="33"/>
  <c r="V434" i="33"/>
  <c r="W395" i="33"/>
  <c r="V57" i="33"/>
  <c r="V608" i="33"/>
  <c r="V540" i="33"/>
  <c r="V478" i="33"/>
  <c r="V200" i="33"/>
  <c r="G6" i="33"/>
  <c r="V20" i="33"/>
  <c r="G395" i="33"/>
  <c r="V186" i="33"/>
  <c r="V72" i="33"/>
  <c r="V216" i="33"/>
  <c r="H6" i="33"/>
  <c r="H2" i="33" s="1"/>
  <c r="W6" i="33"/>
  <c r="K125" i="28"/>
  <c r="K124" i="28" s="1"/>
  <c r="N2" i="28"/>
  <c r="I286" i="28"/>
  <c r="L286" i="28"/>
  <c r="K286" i="28"/>
  <c r="H286" i="28"/>
  <c r="H220" i="26"/>
  <c r="I220" i="26"/>
  <c r="L220" i="26"/>
  <c r="K688" i="28"/>
  <c r="K687" i="28"/>
  <c r="L686" i="28"/>
  <c r="I686" i="28"/>
  <c r="H686" i="28"/>
  <c r="K685" i="28"/>
  <c r="K684" i="28"/>
  <c r="K683" i="28"/>
  <c r="L682" i="28"/>
  <c r="I682" i="28"/>
  <c r="H682" i="28"/>
  <c r="K681" i="28"/>
  <c r="K680" i="28"/>
  <c r="L679" i="28"/>
  <c r="I679" i="28"/>
  <c r="H679" i="28"/>
  <c r="K678" i="28"/>
  <c r="K677" i="28"/>
  <c r="K676" i="28"/>
  <c r="K675" i="28"/>
  <c r="K674" i="28"/>
  <c r="L673" i="28"/>
  <c r="I673" i="28"/>
  <c r="H673" i="28"/>
  <c r="K671" i="28"/>
  <c r="K670" i="28"/>
  <c r="L669" i="28"/>
  <c r="I669" i="28"/>
  <c r="H669" i="28"/>
  <c r="K668" i="28"/>
  <c r="K667" i="28"/>
  <c r="L666" i="28"/>
  <c r="I666" i="28"/>
  <c r="H666" i="28"/>
  <c r="K665" i="28"/>
  <c r="K664" i="28" s="1"/>
  <c r="L664" i="28"/>
  <c r="I664" i="28"/>
  <c r="H664" i="28"/>
  <c r="K663" i="28"/>
  <c r="K662" i="28"/>
  <c r="K661" i="28"/>
  <c r="L660" i="28"/>
  <c r="I660" i="28"/>
  <c r="H660" i="28"/>
  <c r="K658" i="28"/>
  <c r="K657" i="28" s="1"/>
  <c r="L657" i="28"/>
  <c r="I657" i="28"/>
  <c r="H657" i="28"/>
  <c r="K656" i="28"/>
  <c r="K655" i="28"/>
  <c r="M654" i="28"/>
  <c r="L654" i="28"/>
  <c r="J654" i="28"/>
  <c r="I654" i="28"/>
  <c r="H654" i="28"/>
  <c r="G654" i="28"/>
  <c r="K653" i="28"/>
  <c r="K652" i="28" s="1"/>
  <c r="L652" i="28"/>
  <c r="I652" i="28"/>
  <c r="H652" i="28"/>
  <c r="K651" i="28"/>
  <c r="K650" i="28"/>
  <c r="K649" i="28"/>
  <c r="L648" i="28"/>
  <c r="I648" i="28"/>
  <c r="H648" i="28"/>
  <c r="K646" i="28"/>
  <c r="K645" i="28"/>
  <c r="L644" i="28"/>
  <c r="I644" i="28"/>
  <c r="K643" i="28"/>
  <c r="K642" i="28"/>
  <c r="L641" i="28"/>
  <c r="I641" i="28"/>
  <c r="K640" i="28"/>
  <c r="L639" i="28"/>
  <c r="I639" i="28"/>
  <c r="K638" i="28"/>
  <c r="K637" i="28"/>
  <c r="K636" i="28"/>
  <c r="L635" i="28"/>
  <c r="I635" i="28"/>
  <c r="H634" i="28"/>
  <c r="L629" i="28"/>
  <c r="K629" i="28"/>
  <c r="I629" i="28"/>
  <c r="H629" i="28"/>
  <c r="K625" i="28"/>
  <c r="K624" i="28" s="1"/>
  <c r="K623" i="28" s="1"/>
  <c r="L624" i="28"/>
  <c r="L623" i="28" s="1"/>
  <c r="I624" i="28"/>
  <c r="I623" i="28" s="1"/>
  <c r="H624" i="28"/>
  <c r="H623" i="28" s="1"/>
  <c r="K616" i="28"/>
  <c r="K615" i="28"/>
  <c r="K614" i="28"/>
  <c r="K613" i="28"/>
  <c r="K612" i="28"/>
  <c r="L611" i="28"/>
  <c r="I611" i="28"/>
  <c r="H611" i="28"/>
  <c r="K610" i="28"/>
  <c r="K609" i="28"/>
  <c r="K608" i="28"/>
  <c r="K607" i="28"/>
  <c r="K606" i="28"/>
  <c r="L605" i="28"/>
  <c r="I605" i="28"/>
  <c r="H605" i="28"/>
  <c r="K604" i="28"/>
  <c r="K603" i="28"/>
  <c r="K602" i="28"/>
  <c r="K601" i="28"/>
  <c r="L600" i="28"/>
  <c r="I600" i="28"/>
  <c r="H600" i="28"/>
  <c r="K599" i="28"/>
  <c r="K598" i="28" s="1"/>
  <c r="L598" i="28"/>
  <c r="I598" i="28"/>
  <c r="H598" i="28"/>
  <c r="K597" i="28"/>
  <c r="K596" i="28"/>
  <c r="K595" i="28"/>
  <c r="K594" i="28"/>
  <c r="K593" i="28"/>
  <c r="K592" i="28"/>
  <c r="L591" i="28"/>
  <c r="I591" i="28"/>
  <c r="H591" i="28"/>
  <c r="K589" i="28"/>
  <c r="K588" i="28"/>
  <c r="L587" i="28"/>
  <c r="I587" i="28"/>
  <c r="H587" i="28"/>
  <c r="K586" i="28"/>
  <c r="K585" i="28"/>
  <c r="L584" i="28"/>
  <c r="I584" i="28"/>
  <c r="H584" i="28"/>
  <c r="K583" i="28"/>
  <c r="K582" i="28" s="1"/>
  <c r="L582" i="28"/>
  <c r="I582" i="28"/>
  <c r="H582" i="28"/>
  <c r="K581" i="28"/>
  <c r="K580" i="28" s="1"/>
  <c r="L580" i="28"/>
  <c r="I580" i="28"/>
  <c r="H580" i="28"/>
  <c r="K579" i="28"/>
  <c r="K578" i="28"/>
  <c r="K577" i="28"/>
  <c r="L576" i="28"/>
  <c r="I576" i="28"/>
  <c r="H576" i="28"/>
  <c r="K574" i="28"/>
  <c r="K573" i="28"/>
  <c r="K572" i="28"/>
  <c r="L571" i="28"/>
  <c r="I571" i="28"/>
  <c r="H571" i="28"/>
  <c r="K570" i="28"/>
  <c r="K569" i="28"/>
  <c r="K568" i="28"/>
  <c r="L567" i="28"/>
  <c r="I567" i="28"/>
  <c r="H567" i="28"/>
  <c r="K566" i="28"/>
  <c r="K565" i="28"/>
  <c r="L564" i="28"/>
  <c r="I564" i="28"/>
  <c r="H564" i="28"/>
  <c r="K562" i="28"/>
  <c r="K561" i="28"/>
  <c r="K560" i="28"/>
  <c r="K559" i="28"/>
  <c r="L558" i="28"/>
  <c r="I558" i="28"/>
  <c r="H558" i="28"/>
  <c r="K556" i="28"/>
  <c r="K555" i="28"/>
  <c r="K553" i="28"/>
  <c r="L552" i="28"/>
  <c r="I552" i="28"/>
  <c r="H552" i="28"/>
  <c r="K551" i="28"/>
  <c r="K550" i="28"/>
  <c r="K549" i="28"/>
  <c r="K548" i="28"/>
  <c r="L547" i="28"/>
  <c r="I547" i="28"/>
  <c r="H547" i="28"/>
  <c r="K546" i="28"/>
  <c r="K545" i="28"/>
  <c r="K544" i="28"/>
  <c r="L543" i="28"/>
  <c r="I543" i="28"/>
  <c r="H543" i="28"/>
  <c r="K542" i="28"/>
  <c r="K541" i="28"/>
  <c r="K539" i="28"/>
  <c r="L538" i="28"/>
  <c r="I538" i="28"/>
  <c r="H538" i="28"/>
  <c r="K537" i="28"/>
  <c r="K536" i="28"/>
  <c r="K535" i="28"/>
  <c r="K534" i="28"/>
  <c r="K533" i="28"/>
  <c r="K532" i="28"/>
  <c r="L531" i="28"/>
  <c r="I531" i="28"/>
  <c r="H531" i="28"/>
  <c r="K528" i="28"/>
  <c r="K527" i="28"/>
  <c r="L526" i="28"/>
  <c r="I526" i="28"/>
  <c r="H526" i="28"/>
  <c r="K525" i="28"/>
  <c r="K524" i="28" s="1"/>
  <c r="L524" i="28"/>
  <c r="I524" i="28"/>
  <c r="H524" i="28"/>
  <c r="K523" i="28"/>
  <c r="K522" i="28"/>
  <c r="K521" i="28"/>
  <c r="L520" i="28"/>
  <c r="I520" i="28"/>
  <c r="H520" i="28"/>
  <c r="K517" i="28"/>
  <c r="K516" i="28"/>
  <c r="L515" i="28"/>
  <c r="I515" i="28"/>
  <c r="H515" i="28"/>
  <c r="K514" i="28"/>
  <c r="K513" i="28" s="1"/>
  <c r="L513" i="28"/>
  <c r="I513" i="28"/>
  <c r="H513" i="28"/>
  <c r="K512" i="28"/>
  <c r="K511" i="28"/>
  <c r="K510" i="28"/>
  <c r="L509" i="28"/>
  <c r="I509" i="28"/>
  <c r="H509" i="28"/>
  <c r="K507" i="28"/>
  <c r="K506" i="28"/>
  <c r="L505" i="28"/>
  <c r="I505" i="28"/>
  <c r="H505" i="28"/>
  <c r="K504" i="28"/>
  <c r="K503" i="28"/>
  <c r="K502" i="28"/>
  <c r="L501" i="28"/>
  <c r="I501" i="28"/>
  <c r="H501" i="28"/>
  <c r="K500" i="28"/>
  <c r="K499" i="28"/>
  <c r="L498" i="28"/>
  <c r="I498" i="28"/>
  <c r="H498" i="28"/>
  <c r="K497" i="28"/>
  <c r="K496" i="28"/>
  <c r="K495" i="28"/>
  <c r="K494" i="28"/>
  <c r="K493" i="28"/>
  <c r="K492" i="28"/>
  <c r="L491" i="28"/>
  <c r="I491" i="28"/>
  <c r="H491" i="28"/>
  <c r="K489" i="28"/>
  <c r="K488" i="28"/>
  <c r="L487" i="28"/>
  <c r="I487" i="28"/>
  <c r="H487" i="28"/>
  <c r="K486" i="28"/>
  <c r="K485" i="28"/>
  <c r="K484" i="28"/>
  <c r="L483" i="28"/>
  <c r="I483" i="28"/>
  <c r="H483" i="28"/>
  <c r="K482" i="28"/>
  <c r="K481" i="28"/>
  <c r="L480" i="28"/>
  <c r="I480" i="28"/>
  <c r="H480" i="28"/>
  <c r="K479" i="28"/>
  <c r="K478" i="28"/>
  <c r="K477" i="28"/>
  <c r="L476" i="28"/>
  <c r="I476" i="28"/>
  <c r="H476" i="28"/>
  <c r="K474" i="28"/>
  <c r="K473" i="28"/>
  <c r="L472" i="28"/>
  <c r="I472" i="28"/>
  <c r="H472" i="28"/>
  <c r="K471" i="28"/>
  <c r="K470" i="28"/>
  <c r="L469" i="28"/>
  <c r="I469" i="28"/>
  <c r="H469" i="28"/>
  <c r="K468" i="28"/>
  <c r="K467" i="28" s="1"/>
  <c r="L467" i="28"/>
  <c r="I467" i="28"/>
  <c r="H467" i="28"/>
  <c r="K466" i="28"/>
  <c r="K465" i="28"/>
  <c r="K464" i="28"/>
  <c r="L463" i="28"/>
  <c r="I463" i="28"/>
  <c r="H463" i="28"/>
  <c r="K461" i="28"/>
  <c r="K460" i="28"/>
  <c r="L459" i="28"/>
  <c r="I459" i="28"/>
  <c r="H459" i="28"/>
  <c r="K458" i="28"/>
  <c r="K457" i="28"/>
  <c r="L456" i="28"/>
  <c r="I456" i="28"/>
  <c r="H456" i="28"/>
  <c r="K455" i="28"/>
  <c r="K454" i="28" s="1"/>
  <c r="L454" i="28"/>
  <c r="I454" i="28"/>
  <c r="H454" i="28"/>
  <c r="K453" i="28"/>
  <c r="K452" i="28"/>
  <c r="K451" i="28"/>
  <c r="K450" i="28"/>
  <c r="K449" i="28"/>
  <c r="L448" i="28"/>
  <c r="I448" i="28"/>
  <c r="H448" i="28"/>
  <c r="K443" i="28"/>
  <c r="K442" i="28" s="1"/>
  <c r="L442" i="28"/>
  <c r="I442" i="28"/>
  <c r="H442" i="28"/>
  <c r="L436" i="28"/>
  <c r="K436" i="28"/>
  <c r="I436" i="28"/>
  <c r="H436" i="28"/>
  <c r="K432" i="28"/>
  <c r="K431" i="28"/>
  <c r="L430" i="28"/>
  <c r="L429" i="28" s="1"/>
  <c r="I430" i="28"/>
  <c r="I429" i="28" s="1"/>
  <c r="H430" i="28"/>
  <c r="H429" i="28" s="1"/>
  <c r="K427" i="28"/>
  <c r="K426" i="28" s="1"/>
  <c r="L426" i="28"/>
  <c r="I426" i="28"/>
  <c r="H426" i="28"/>
  <c r="K424" i="28"/>
  <c r="K423" i="28" s="1"/>
  <c r="L423" i="28"/>
  <c r="I423" i="28"/>
  <c r="H423" i="28"/>
  <c r="K422" i="28"/>
  <c r="K421" i="28"/>
  <c r="K420" i="28"/>
  <c r="K419" i="28"/>
  <c r="L418" i="28"/>
  <c r="I418" i="28"/>
  <c r="H418" i="28"/>
  <c r="K416" i="28"/>
  <c r="K415" i="28"/>
  <c r="K414" i="28"/>
  <c r="L413" i="28"/>
  <c r="I413" i="28"/>
  <c r="H413" i="28"/>
  <c r="K412" i="28"/>
  <c r="K411" i="28"/>
  <c r="K410" i="28"/>
  <c r="K409" i="28"/>
  <c r="K408" i="28"/>
  <c r="L407" i="28"/>
  <c r="I407" i="28"/>
  <c r="H407" i="28"/>
  <c r="K406" i="28"/>
  <c r="K405" i="28"/>
  <c r="K404" i="28"/>
  <c r="L403" i="28"/>
  <c r="I403" i="28"/>
  <c r="H403" i="28"/>
  <c r="K402" i="28"/>
  <c r="K401" i="28"/>
  <c r="K400" i="28"/>
  <c r="K399" i="28"/>
  <c r="L398" i="28"/>
  <c r="I398" i="28"/>
  <c r="H398" i="28"/>
  <c r="K396" i="28"/>
  <c r="K395" i="28" s="1"/>
  <c r="L395" i="28"/>
  <c r="I395" i="28"/>
  <c r="H395" i="28"/>
  <c r="K394" i="28"/>
  <c r="K393" i="28"/>
  <c r="L392" i="28"/>
  <c r="I392" i="28"/>
  <c r="H392" i="28"/>
  <c r="K391" i="28"/>
  <c r="K390" i="28" s="1"/>
  <c r="L390" i="28"/>
  <c r="I390" i="28"/>
  <c r="H390" i="28"/>
  <c r="K389" i="28"/>
  <c r="K388" i="28"/>
  <c r="L387" i="28"/>
  <c r="I387" i="28"/>
  <c r="H387" i="28"/>
  <c r="K385" i="28"/>
  <c r="K384" i="28"/>
  <c r="L383" i="28"/>
  <c r="I383" i="28"/>
  <c r="H383" i="28"/>
  <c r="K382" i="28"/>
  <c r="K381" i="28"/>
  <c r="L380" i="28"/>
  <c r="I380" i="28"/>
  <c r="H380" i="28"/>
  <c r="K379" i="28"/>
  <c r="K378" i="28" s="1"/>
  <c r="L378" i="28"/>
  <c r="I378" i="28"/>
  <c r="H378" i="28"/>
  <c r="K377" i="28"/>
  <c r="K376" i="28"/>
  <c r="K375" i="28"/>
  <c r="L374" i="28"/>
  <c r="I374" i="28"/>
  <c r="H374" i="28"/>
  <c r="L370" i="28"/>
  <c r="I370" i="28"/>
  <c r="L367" i="28"/>
  <c r="I367" i="28"/>
  <c r="L365" i="28"/>
  <c r="I365" i="28"/>
  <c r="L361" i="28"/>
  <c r="I361" i="28"/>
  <c r="K360" i="28"/>
  <c r="H360" i="28"/>
  <c r="K356" i="28"/>
  <c r="K355" i="28"/>
  <c r="L354" i="28"/>
  <c r="L353" i="28" s="1"/>
  <c r="I354" i="28"/>
  <c r="I353" i="28" s="1"/>
  <c r="H354" i="28"/>
  <c r="H353" i="28" s="1"/>
  <c r="K351" i="28"/>
  <c r="K350" i="28"/>
  <c r="L349" i="28"/>
  <c r="I349" i="28"/>
  <c r="H349" i="28"/>
  <c r="K348" i="28"/>
  <c r="K347" i="28"/>
  <c r="K346" i="28"/>
  <c r="K345" i="28"/>
  <c r="K344" i="28"/>
  <c r="K343" i="28"/>
  <c r="L342" i="28"/>
  <c r="I342" i="28"/>
  <c r="H342" i="28"/>
  <c r="K341" i="28"/>
  <c r="K340" i="28"/>
  <c r="K339" i="28"/>
  <c r="K338" i="28"/>
  <c r="K337" i="28"/>
  <c r="K336" i="28"/>
  <c r="K335" i="28"/>
  <c r="K334" i="28"/>
  <c r="K333" i="28"/>
  <c r="L332" i="28"/>
  <c r="I332" i="28"/>
  <c r="H332" i="28"/>
  <c r="K330" i="28"/>
  <c r="K329" i="28" s="1"/>
  <c r="L329" i="28"/>
  <c r="I329" i="28"/>
  <c r="H329" i="28"/>
  <c r="K328" i="28"/>
  <c r="K327" i="28"/>
  <c r="K326" i="28"/>
  <c r="K325" i="28"/>
  <c r="K324" i="28"/>
  <c r="K323" i="28"/>
  <c r="K321" i="28"/>
  <c r="K320" i="28"/>
  <c r="K319" i="28"/>
  <c r="K318" i="28"/>
  <c r="K317" i="28"/>
  <c r="K315" i="28"/>
  <c r="K313" i="28"/>
  <c r="K311" i="28"/>
  <c r="K310" i="28"/>
  <c r="K309" i="28"/>
  <c r="L308" i="28"/>
  <c r="I308" i="28"/>
  <c r="H308" i="28"/>
  <c r="K307" i="28"/>
  <c r="K306" i="28"/>
  <c r="K305" i="28"/>
  <c r="K304" i="28"/>
  <c r="K302" i="28"/>
  <c r="K301" i="28"/>
  <c r="K299" i="28"/>
  <c r="K298" i="28"/>
  <c r="K297" i="28"/>
  <c r="K296" i="28"/>
  <c r="L295" i="28"/>
  <c r="I295" i="28"/>
  <c r="H295" i="28"/>
  <c r="K292" i="28"/>
  <c r="K291" i="28" s="1"/>
  <c r="K290" i="28" s="1"/>
  <c r="L291" i="28"/>
  <c r="L290" i="28" s="1"/>
  <c r="I291" i="28"/>
  <c r="I290" i="28" s="1"/>
  <c r="H291" i="28"/>
  <c r="H290" i="28" s="1"/>
  <c r="K285" i="28"/>
  <c r="K280" i="28"/>
  <c r="L279" i="28"/>
  <c r="I279" i="28"/>
  <c r="H279" i="28"/>
  <c r="K278" i="28"/>
  <c r="K275" i="28"/>
  <c r="K272" i="28"/>
  <c r="K269" i="28"/>
  <c r="L268" i="28"/>
  <c r="I268" i="28"/>
  <c r="H268" i="28"/>
  <c r="K265" i="28"/>
  <c r="L264" i="28"/>
  <c r="I264" i="28"/>
  <c r="H264" i="28"/>
  <c r="K260" i="28"/>
  <c r="K259" i="28" s="1"/>
  <c r="L259" i="28"/>
  <c r="I259" i="28"/>
  <c r="H259" i="28"/>
  <c r="K257" i="28"/>
  <c r="K256" i="28"/>
  <c r="K251" i="28"/>
  <c r="K249" i="28"/>
  <c r="K246" i="28"/>
  <c r="L245" i="28"/>
  <c r="I245" i="28"/>
  <c r="H245" i="28"/>
  <c r="K244" i="28"/>
  <c r="K239" i="28"/>
  <c r="K236" i="28"/>
  <c r="K234" i="28"/>
  <c r="K233" i="28"/>
  <c r="L232" i="28"/>
  <c r="I232" i="28"/>
  <c r="H232" i="28"/>
  <c r="K230" i="28"/>
  <c r="K229" i="28"/>
  <c r="L228" i="28"/>
  <c r="I228" i="28"/>
  <c r="H228" i="28"/>
  <c r="K227" i="28"/>
  <c r="K226" i="28"/>
  <c r="K225" i="28"/>
  <c r="K224" i="28"/>
  <c r="L223" i="28"/>
  <c r="I223" i="28"/>
  <c r="H223" i="28"/>
  <c r="K222" i="28"/>
  <c r="K221" i="28"/>
  <c r="K220" i="28"/>
  <c r="L219" i="28"/>
  <c r="I219" i="28"/>
  <c r="H219" i="28"/>
  <c r="K216" i="28"/>
  <c r="K215" i="28"/>
  <c r="L214" i="28"/>
  <c r="I214" i="28"/>
  <c r="H214" i="28"/>
  <c r="K213" i="28"/>
  <c r="K212" i="28"/>
  <c r="K210" i="28"/>
  <c r="K208" i="28"/>
  <c r="K206" i="28"/>
  <c r="K205" i="28"/>
  <c r="K204" i="28"/>
  <c r="K202" i="28"/>
  <c r="K200" i="28"/>
  <c r="K199" i="28"/>
  <c r="K198" i="28"/>
  <c r="L197" i="28"/>
  <c r="I197" i="28"/>
  <c r="H197" i="28"/>
  <c r="K196" i="28"/>
  <c r="K195" i="28"/>
  <c r="K194" i="28"/>
  <c r="K193" i="28"/>
  <c r="L192" i="28"/>
  <c r="I192" i="28"/>
  <c r="H192" i="28"/>
  <c r="K187" i="28"/>
  <c r="K184" i="28"/>
  <c r="K182" i="28"/>
  <c r="L181" i="28"/>
  <c r="I181" i="28"/>
  <c r="H181" i="28"/>
  <c r="K179" i="28"/>
  <c r="K177" i="28"/>
  <c r="L176" i="28"/>
  <c r="I176" i="28"/>
  <c r="H176" i="28"/>
  <c r="K171" i="28"/>
  <c r="K165" i="28"/>
  <c r="K163" i="28"/>
  <c r="L162" i="28"/>
  <c r="I162" i="28"/>
  <c r="H162" i="28"/>
  <c r="L160" i="28"/>
  <c r="K160" i="28"/>
  <c r="I160" i="28"/>
  <c r="H160" i="28"/>
  <c r="K157" i="28"/>
  <c r="K156" i="28"/>
  <c r="K155" i="28"/>
  <c r="L154" i="28"/>
  <c r="I154" i="28"/>
  <c r="H154" i="28"/>
  <c r="K153" i="28"/>
  <c r="K152" i="28"/>
  <c r="K151" i="28"/>
  <c r="K150" i="28"/>
  <c r="K149" i="28"/>
  <c r="K148" i="28"/>
  <c r="K147" i="28"/>
  <c r="L146" i="28"/>
  <c r="I146" i="28"/>
  <c r="H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L127" i="28"/>
  <c r="I127" i="28"/>
  <c r="H127" i="28"/>
  <c r="L124" i="28"/>
  <c r="I124" i="28"/>
  <c r="H124" i="28"/>
  <c r="K123" i="28"/>
  <c r="K119" i="28" s="1"/>
  <c r="K121" i="28"/>
  <c r="K120" i="28"/>
  <c r="L119" i="28"/>
  <c r="I119" i="28"/>
  <c r="H119" i="28"/>
  <c r="K118" i="28"/>
  <c r="K117" i="28"/>
  <c r="K114" i="28"/>
  <c r="L113" i="28"/>
  <c r="I113" i="28"/>
  <c r="H113" i="28"/>
  <c r="K112" i="28"/>
  <c r="K109" i="28"/>
  <c r="K106" i="28"/>
  <c r="K105" i="28"/>
  <c r="K102" i="28"/>
  <c r="H102" i="28"/>
  <c r="H93" i="28" s="1"/>
  <c r="K101" i="28"/>
  <c r="K97" i="28"/>
  <c r="K94" i="28"/>
  <c r="L93" i="28"/>
  <c r="I93" i="28"/>
  <c r="L90" i="28"/>
  <c r="I90" i="28"/>
  <c r="K89" i="28"/>
  <c r="K88" i="28"/>
  <c r="L87" i="28"/>
  <c r="I87" i="28"/>
  <c r="H87" i="28"/>
  <c r="K86" i="28"/>
  <c r="K85" i="28"/>
  <c r="K84" i="28"/>
  <c r="K83" i="28"/>
  <c r="L82" i="28"/>
  <c r="I82" i="28"/>
  <c r="H82" i="28"/>
  <c r="K81" i="28"/>
  <c r="K80" i="28"/>
  <c r="K79" i="28"/>
  <c r="L78" i="28"/>
  <c r="I78" i="28"/>
  <c r="H78" i="28"/>
  <c r="K76" i="28"/>
  <c r="K75" i="28"/>
  <c r="K74" i="28"/>
  <c r="K73" i="28"/>
  <c r="K72" i="28"/>
  <c r="L71" i="28"/>
  <c r="I71" i="28"/>
  <c r="H71" i="28"/>
  <c r="K70" i="28"/>
  <c r="K69" i="28"/>
  <c r="K68" i="28"/>
  <c r="K67" i="28"/>
  <c r="K66" i="28"/>
  <c r="K65" i="28"/>
  <c r="K64" i="28"/>
  <c r="L63" i="28"/>
  <c r="I63" i="28"/>
  <c r="H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L47" i="28"/>
  <c r="I47" i="28"/>
  <c r="H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M31" i="28"/>
  <c r="L31" i="28"/>
  <c r="J31" i="28"/>
  <c r="I31" i="28"/>
  <c r="H31" i="28"/>
  <c r="G31" i="28"/>
  <c r="K28" i="28"/>
  <c r="K27" i="28" s="1"/>
  <c r="L27" i="28"/>
  <c r="I27" i="28"/>
  <c r="H27" i="28"/>
  <c r="K25" i="28"/>
  <c r="K22" i="28"/>
  <c r="K21" i="28"/>
  <c r="L20" i="28"/>
  <c r="I20" i="28"/>
  <c r="H20" i="28"/>
  <c r="K18" i="28"/>
  <c r="K14" i="28"/>
  <c r="K12" i="28"/>
  <c r="K10" i="28"/>
  <c r="L9" i="28"/>
  <c r="I9" i="28"/>
  <c r="H9" i="28"/>
  <c r="N4" i="28"/>
  <c r="N4" i="26"/>
  <c r="N2" i="26"/>
  <c r="J2" i="36" l="1"/>
  <c r="W2" i="33"/>
  <c r="V395" i="33"/>
  <c r="V6" i="33"/>
  <c r="G2" i="33"/>
  <c r="K228" i="28"/>
  <c r="K214" i="28"/>
  <c r="K472" i="28"/>
  <c r="K87" i="28"/>
  <c r="K418" i="28"/>
  <c r="K417" i="28" s="1"/>
  <c r="K666" i="28"/>
  <c r="K154" i="28"/>
  <c r="K403" i="28"/>
  <c r="K113" i="28"/>
  <c r="K558" i="28"/>
  <c r="K648" i="28"/>
  <c r="L92" i="28"/>
  <c r="K232" i="28"/>
  <c r="K487" i="28"/>
  <c r="K515" i="28"/>
  <c r="K564" i="28"/>
  <c r="K673" i="28"/>
  <c r="L294" i="28"/>
  <c r="K469" i="28"/>
  <c r="K538" i="28"/>
  <c r="K547" i="28"/>
  <c r="L8" i="28"/>
  <c r="K380" i="28"/>
  <c r="K456" i="28"/>
  <c r="K480" i="28"/>
  <c r="K584" i="28"/>
  <c r="K654" i="28"/>
  <c r="K669" i="28"/>
  <c r="K9" i="28"/>
  <c r="K413" i="28"/>
  <c r="H92" i="28"/>
  <c r="I218" i="28"/>
  <c r="H557" i="28"/>
  <c r="K605" i="28"/>
  <c r="K634" i="28"/>
  <c r="K264" i="28"/>
  <c r="L262" i="28"/>
  <c r="I294" i="28"/>
  <c r="K349" i="28"/>
  <c r="H530" i="28"/>
  <c r="I530" i="28"/>
  <c r="K82" i="28"/>
  <c r="H294" i="28"/>
  <c r="K491" i="28"/>
  <c r="I672" i="28"/>
  <c r="K181" i="28"/>
  <c r="K459" i="28"/>
  <c r="K571" i="28"/>
  <c r="I590" i="28"/>
  <c r="L672" i="28"/>
  <c r="K387" i="28"/>
  <c r="L373" i="28"/>
  <c r="K505" i="28"/>
  <c r="K332" i="28"/>
  <c r="K498" i="28"/>
  <c r="L519" i="28"/>
  <c r="K526" i="28"/>
  <c r="H30" i="28"/>
  <c r="K192" i="28"/>
  <c r="H417" i="28"/>
  <c r="I634" i="28"/>
  <c r="I30" i="28"/>
  <c r="K176" i="28"/>
  <c r="L218" i="28"/>
  <c r="L331" i="28"/>
  <c r="K383" i="28"/>
  <c r="H519" i="28"/>
  <c r="K576" i="28"/>
  <c r="H590" i="28"/>
  <c r="L191" i="28"/>
  <c r="K398" i="28"/>
  <c r="I647" i="28"/>
  <c r="L159" i="28"/>
  <c r="H175" i="28"/>
  <c r="K219" i="28"/>
  <c r="K342" i="28"/>
  <c r="L462" i="28"/>
  <c r="L647" i="28"/>
  <c r="K660" i="28"/>
  <c r="H159" i="28"/>
  <c r="L417" i="28"/>
  <c r="I8" i="28"/>
  <c r="K63" i="28"/>
  <c r="L386" i="28"/>
  <c r="K543" i="28"/>
  <c r="H8" i="28"/>
  <c r="I159" i="28"/>
  <c r="L475" i="28"/>
  <c r="I92" i="28"/>
  <c r="K162" i="28"/>
  <c r="K159" i="28" s="1"/>
  <c r="K552" i="28"/>
  <c r="L575" i="28"/>
  <c r="K686" i="28"/>
  <c r="K20" i="28"/>
  <c r="L30" i="28"/>
  <c r="I77" i="28"/>
  <c r="K354" i="28"/>
  <c r="K353" i="28" s="1"/>
  <c r="K392" i="28"/>
  <c r="I417" i="28"/>
  <c r="K600" i="28"/>
  <c r="H672" i="28"/>
  <c r="H490" i="28"/>
  <c r="K93" i="28"/>
  <c r="I331" i="28"/>
  <c r="K374" i="28"/>
  <c r="I557" i="28"/>
  <c r="H575" i="28"/>
  <c r="K587" i="28"/>
  <c r="K520" i="28"/>
  <c r="K47" i="28"/>
  <c r="H262" i="28"/>
  <c r="K295" i="28"/>
  <c r="I360" i="28"/>
  <c r="H462" i="28"/>
  <c r="L490" i="28"/>
  <c r="L530" i="28"/>
  <c r="I575" i="28"/>
  <c r="K611" i="28"/>
  <c r="K682" i="28"/>
  <c r="L77" i="28"/>
  <c r="H126" i="28"/>
  <c r="I262" i="28"/>
  <c r="L360" i="28"/>
  <c r="I373" i="28"/>
  <c r="I397" i="28"/>
  <c r="H447" i="28"/>
  <c r="I462" i="28"/>
  <c r="K483" i="28"/>
  <c r="H508" i="28"/>
  <c r="K531" i="28"/>
  <c r="L634" i="28"/>
  <c r="K268" i="28"/>
  <c r="K78" i="28"/>
  <c r="I126" i="28"/>
  <c r="K197" i="28"/>
  <c r="H231" i="28"/>
  <c r="K430" i="28"/>
  <c r="K429" i="28" s="1"/>
  <c r="I447" i="28"/>
  <c r="K476" i="28"/>
  <c r="I508" i="28"/>
  <c r="H659" i="28"/>
  <c r="L126" i="28"/>
  <c r="K146" i="28"/>
  <c r="H191" i="28"/>
  <c r="I231" i="28"/>
  <c r="K245" i="28"/>
  <c r="K308" i="28"/>
  <c r="L397" i="28"/>
  <c r="L447" i="28"/>
  <c r="H475" i="28"/>
  <c r="L508" i="28"/>
  <c r="I659" i="28"/>
  <c r="K31" i="28"/>
  <c r="K127" i="28"/>
  <c r="I175" i="28"/>
  <c r="K223" i="28"/>
  <c r="K279" i="28"/>
  <c r="I386" i="28"/>
  <c r="K448" i="28"/>
  <c r="I475" i="28"/>
  <c r="K501" i="28"/>
  <c r="K509" i="28"/>
  <c r="K567" i="28"/>
  <c r="L590" i="28"/>
  <c r="H331" i="28"/>
  <c r="H77" i="28"/>
  <c r="L175" i="28"/>
  <c r="L231" i="28"/>
  <c r="H386" i="28"/>
  <c r="K407" i="28"/>
  <c r="K463" i="28"/>
  <c r="I519" i="28"/>
  <c r="L659" i="28"/>
  <c r="K679" i="28"/>
  <c r="L557" i="28"/>
  <c r="H397" i="28"/>
  <c r="I490" i="28"/>
  <c r="H647" i="28"/>
  <c r="I191" i="28"/>
  <c r="K71" i="28"/>
  <c r="H373" i="28"/>
  <c r="H218" i="28"/>
  <c r="K591" i="28"/>
  <c r="K611" i="26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L2" i="36" l="1"/>
  <c r="AB4" i="36" s="1"/>
  <c r="M2" i="36"/>
  <c r="Y2" i="33"/>
  <c r="V2" i="33"/>
  <c r="X2" i="33" s="1"/>
  <c r="Y4" i="33"/>
  <c r="K647" i="28"/>
  <c r="K191" i="28"/>
  <c r="K231" i="28"/>
  <c r="K77" i="28"/>
  <c r="K126" i="28"/>
  <c r="K8" i="28"/>
  <c r="K175" i="28"/>
  <c r="K397" i="28"/>
  <c r="K92" i="28"/>
  <c r="K508" i="28"/>
  <c r="K331" i="28"/>
  <c r="K462" i="28"/>
  <c r="K447" i="28"/>
  <c r="K519" i="28"/>
  <c r="K659" i="28"/>
  <c r="K672" i="28"/>
  <c r="K218" i="28"/>
  <c r="K490" i="28"/>
  <c r="K386" i="28"/>
  <c r="K557" i="28"/>
  <c r="K530" i="28"/>
  <c r="K575" i="28"/>
  <c r="H6" i="28"/>
  <c r="L445" i="28"/>
  <c r="L6" i="28"/>
  <c r="K373" i="28"/>
  <c r="K30" i="28"/>
  <c r="I6" i="28"/>
  <c r="K262" i="28"/>
  <c r="K590" i="28"/>
  <c r="I445" i="28"/>
  <c r="K294" i="28"/>
  <c r="H445" i="28"/>
  <c r="K475" i="28"/>
  <c r="K186" i="26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AB2" i="36" l="1"/>
  <c r="X4" i="33"/>
  <c r="I4" i="28"/>
  <c r="L4" i="28"/>
  <c r="H4" i="28"/>
  <c r="K6" i="28"/>
  <c r="K445" i="28"/>
  <c r="K324" i="26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4" i="28"/>
  <c r="K6" i="26"/>
  <c r="K370" i="26"/>
  <c r="L4" i="26"/>
  <c r="H4" i="26"/>
  <c r="K4" i="26" l="1"/>
  <c r="G2" i="2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4" i="14" l="1"/>
  <c r="G33" i="27" l="1"/>
  <c r="C2" i="4" l="1"/>
  <c r="B2" i="4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  <c r="K6" i="36"/>
  <c r="K2" i="36" s="1"/>
  <c r="AC2" i="36" l="1"/>
  <c r="AC4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tc={DB337057-06F1-4B66-9ECE-A007847C1078}</author>
    <author>tc={E77D86A4-50BF-4A06-BDC2-BA07CAA219A2}</author>
    <author>tc={1F39D08B-08E9-43AA-B474-8F5CB2CCB757}</author>
    <author>tc={6F64DA55-8B96-44FC-B3E4-7BA6464DD8E4}</author>
    <author>tc={79E0A4E2-C8DF-4F97-9C28-1AA3B1F6605C}</author>
    <author>tc={A7D47CFF-EABB-4C97-B4A6-4A5474450689}</author>
  </authors>
  <commentList>
    <comment ref="G28" authorId="0" shapeId="0" xr:uid="{DB337057-06F1-4B66-9ECE-A007847C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28" authorId="1" shapeId="0" xr:uid="{E77D86A4-50BF-4A06-BDC2-BA07CAA2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28" authorId="2" shapeId="0" xr:uid="{1F39D08B-08E9-43AA-B474-8F5CB2CC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28" authorId="3" shapeId="0" xr:uid="{6F64DA55-8B96-44FC-B3E4-7BA6464DD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53" authorId="4" shapeId="0" xr:uid="{79E0A4E2-C8DF-4F97-9C28-1AA3B1F66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53" authorId="5" shapeId="0" xr:uid="{A7D47CFF-EABB-4C97-B4A6-4A547445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tc={9F0DF0C1-356E-4AF8-BDBC-52E03BC7E211}</author>
    <author>tc={8911E649-F1AD-45A7-9667-4924A2C8E96A}</author>
  </authors>
  <commentList>
    <comment ref="F80" authorId="0" shapeId="0" xr:uid="{9F0DF0C1-356E-4AF8-BDBC-52E03BC7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boundary wall
FEATURE WALL &amp; TYPICAL STRUCTURAL DETAILS</t>
      </text>
    </comment>
    <comment ref="F81" authorId="1" shapeId="0" xr:uid="{8911E649-F1AD-45A7-9667-4924A2C8E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WTP upstand details
OWC metal structural details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tc={F64B4A8E-A64E-4E94-9C1A-63A592DC61AB}</author>
    <author>tc={03B1E328-2DF0-4273-9287-C46922FEFD8F}</author>
    <author>tc={8D596329-8DFB-4FF2-B694-1EB188DEC5A9}</author>
    <author>tc={82D1002B-2104-41D8-B7A2-4BFA287E9693}</author>
    <author>tc={226E484F-C53C-426D-9008-29A02EB0B6EC}</author>
    <author>tc={43D14BDC-5517-4279-8658-06240648DE73}</author>
    <author>tc={76FB35FF-E7CD-4CE1-8CC6-A7E2D37EBBE3}</author>
    <author>tc={4EB3628E-9745-4226-9E68-C0637293C0C1}</author>
    <author>tc={0CC11B79-8E74-49CD-9B25-59036079C984}</author>
  </authors>
  <commentList>
    <comment ref="F90" authorId="0" shapeId="0" xr:uid="{F64B4A8E-A64E-4E94-9C1A-63A592DC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
Reply:
    Play equipment finalisation pending</t>
      </text>
    </comment>
    <comment ref="H91" authorId="1" shapeId="0" xr:uid="{03B1E328-2DF0-4273-9287-C46922FEFD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91" authorId="2" shapeId="0" xr:uid="{8D596329-8DFB-4FF2-B694-1EB188DE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314" authorId="3" shapeId="0" xr:uid="{82D1002B-2104-41D8-B7A2-4BFA287E9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Architects needs to confirm, how to proceed with the service platform covering and upstand design.
Applicable for all i-towers
</t>
      </text>
    </comment>
    <comment ref="F316" authorId="4" shapeId="0" xr:uid="{226E484F-C53C-426D-9008-29A02EB0B6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Applicable for all i-towers
</t>
      </text>
    </comment>
    <comment ref="F322" authorId="5" shapeId="0" xr:uid="{43D14BDC-5517-4279-8658-06240648DE7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kept on hold to be released.</t>
      </text>
    </comment>
    <comment ref="F330" authorId="6" shapeId="0" xr:uid="{76FB35FF-E7CD-4CE1-8CC6-A7E2D37EB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External lighting layout awaited from Architect and landscape team. 
Centralized chiller details awaited from Renew Consultant 
</t>
      </text>
    </comment>
    <comment ref="F623" authorId="7" shapeId="0" xr:uid="{4EB3628E-9745-4226-9E68-C0637293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629" authorId="8" shapeId="0" xr:uid="{0CC11B79-8E74-49CD-9B25-59036079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tc={A16F5B4F-A10E-4381-9C78-4B0F34574199}</author>
    <author>tc={6D77810A-61D5-45AA-93F2-3872D2F9A367}</author>
    <author>tc={08200338-8E2C-48AB-AD2E-611483589BCB}</author>
    <author>tc={5D4FDC93-DD44-43BA-B614-D1DA8B433146}</author>
  </authors>
  <commentList>
    <comment ref="G70" authorId="0" shapeId="0" xr:uid="{A16F5B4F-A10E-4381-9C78-4B0F3457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6D77810A-61D5-45AA-93F2-3872D2F9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08200338-8E2C-48AB-AD2E-611483589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5D4FDC93-DD44-43BA-B614-D1DA8B4331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<sst xmlns="http://schemas.openxmlformats.org/spreadsheetml/2006/main" count="25748" uniqueCount="1973">
  <si>
    <t>2026 | Design Goals + Billing</t>
  </si>
  <si>
    <t>Billing [Cr.]</t>
  </si>
  <si>
    <t>Q1</t>
  </si>
  <si>
    <t>Q2</t>
  </si>
  <si>
    <t>Q3</t>
  </si>
  <si>
    <t>Q4</t>
  </si>
  <si>
    <t>Pkgs</t>
  </si>
  <si>
    <t>Project</t>
  </si>
  <si>
    <t>Phase</t>
  </si>
  <si>
    <t>Discipline</t>
  </si>
  <si>
    <t>Design Lead</t>
  </si>
  <si>
    <t>Description</t>
  </si>
  <si>
    <t xml:space="preserve"> </t>
  </si>
  <si>
    <t>Ongoing Projects</t>
  </si>
  <si>
    <t>AtR</t>
  </si>
  <si>
    <t>Ph 1, 2a, 2b, 2c</t>
  </si>
  <si>
    <t>Package Release [Complete LoD 350 by Q1]</t>
  </si>
  <si>
    <t>Architecture</t>
  </si>
  <si>
    <t>Ph 1, 2a, 2b</t>
  </si>
  <si>
    <t>Saji A</t>
  </si>
  <si>
    <t>Clubhouse + Amenities - Clubhouse—Interiors and Facilities</t>
  </si>
  <si>
    <t>Clubhouse + Amenities - Community spaces [Staff Lounge, Children play area]</t>
  </si>
  <si>
    <t>Ph 2c</t>
  </si>
  <si>
    <t>Master Plan - Site MEP</t>
  </si>
  <si>
    <t>Clubhouse + Amenities - Sporting Facilities</t>
  </si>
  <si>
    <t>Structural</t>
  </si>
  <si>
    <t>Prakash C</t>
  </si>
  <si>
    <t>MEP</t>
  </si>
  <si>
    <t>Gagan</t>
  </si>
  <si>
    <t>Ph 3</t>
  </si>
  <si>
    <t>Contract + Design brief</t>
  </si>
  <si>
    <t>Schematic Concept</t>
  </si>
  <si>
    <t>Approvals</t>
  </si>
  <si>
    <t>Pre Construction Set</t>
  </si>
  <si>
    <t>Home Products - V45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</si>
  <si>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</si>
  <si>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</si>
  <si>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</si>
  <si>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</si>
  <si>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</si>
  <si>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</si>
  <si>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</si>
  <si>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</si>
  <si>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34 - Building Envelope + Plot Development </t>
  </si>
  <si>
    <t>Master Plan - Master Plan</t>
  </si>
  <si>
    <t>Site Development - 06 Landscape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</si>
  <si>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</si>
  <si>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</si>
  <si>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</si>
  <si>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</si>
  <si>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</si>
  <si>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</si>
  <si>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34 - Foundations and Sub-Grade Structure </t>
  </si>
  <si>
    <t xml:space="preserve">Villa Block 34 - Super Structure  </t>
  </si>
  <si>
    <t>Schematic Concept [V80]</t>
  </si>
  <si>
    <t>PreConstruction Set</t>
  </si>
  <si>
    <t>Villa Block 31 - Foundations and Sub-Grade Structure</t>
  </si>
  <si>
    <t xml:space="preserve">Villa Block 32 - Foundations and Sub-Grade Structure </t>
  </si>
  <si>
    <t>Landscape</t>
  </si>
  <si>
    <t>Preconstruction Set</t>
  </si>
  <si>
    <t>Home Products - V45 Default</t>
  </si>
  <si>
    <t>Master Plan</t>
  </si>
  <si>
    <t>AtR - C</t>
  </si>
  <si>
    <t>Com</t>
  </si>
  <si>
    <t>Naveen Y</t>
  </si>
  <si>
    <t>Master Plan - Site Development</t>
  </si>
  <si>
    <t>Master Plan - Landscaping</t>
  </si>
  <si>
    <t>Tower-[Commercial] - Habitable Level 1-2</t>
  </si>
  <si>
    <t>Tower-[Commercial] - Habitable Level 3-5</t>
  </si>
  <si>
    <t>TMD Ph2</t>
  </si>
  <si>
    <t>Ph 2</t>
  </si>
  <si>
    <t>Childern play area [Complete by Q2]</t>
  </si>
  <si>
    <t>-</t>
  </si>
  <si>
    <t xml:space="preserve">Childern play area </t>
  </si>
  <si>
    <t>PoaRR-Res</t>
  </si>
  <si>
    <t>Res</t>
  </si>
  <si>
    <t>Package Release [Complete the project by Q1]</t>
  </si>
  <si>
    <t>Complete the project</t>
  </si>
  <si>
    <t>Villa Cluster 3 - All Levels</t>
  </si>
  <si>
    <t>Villa Cluster 3 - Building Envelope and Common Areas</t>
  </si>
  <si>
    <t>V40 Default and it's variants</t>
  </si>
  <si>
    <t>ISS Building Envelope and Common Areas</t>
  </si>
  <si>
    <t>Residential - Site Development</t>
  </si>
  <si>
    <t>Masterplan - Site MEP</t>
  </si>
  <si>
    <t>Masterplan - Landscaping</t>
  </si>
  <si>
    <t>Amenities &amp; Facilities - Sporting Facilities</t>
  </si>
  <si>
    <t>Site Development</t>
  </si>
  <si>
    <t>Site MEP</t>
  </si>
  <si>
    <t>Sporting Facilities</t>
  </si>
  <si>
    <t>Clubhouse Outdoor Spaces and Pool</t>
  </si>
  <si>
    <t>Amenities &amp; Facilities - Community spaces [Sporting Facilities]</t>
  </si>
  <si>
    <t>PoaRR-T08</t>
  </si>
  <si>
    <t>T08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</si>
  <si>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</si>
  <si>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</si>
  <si>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</si>
  <si>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</si>
  <si>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</si>
  <si>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>Habitable Level 01</t>
  </si>
  <si>
    <t>Building Envelope and Common Areas [Typical Tower Levels]</t>
  </si>
  <si>
    <t xml:space="preserve">L22 Default </t>
  </si>
  <si>
    <t>L20 Default [Modification for Dry Wall]</t>
  </si>
  <si>
    <t>D35 Default [Modification for Dry Wall]</t>
  </si>
  <si>
    <t>Penthouse Levels</t>
  </si>
  <si>
    <t>Terrace Level</t>
  </si>
  <si>
    <t>Building Envelope and Common Areas [Penthouse Levels And Terrace Level]</t>
  </si>
  <si>
    <t>Clubhouse—Interiors and Facilities</t>
  </si>
  <si>
    <t>Clubhouse—Outdoor Spaces and Pool</t>
  </si>
  <si>
    <t>Community spaces [Board Walk, Children play area]</t>
  </si>
  <si>
    <t>T08 - ISS - Foundations &amp; Grade Slab</t>
  </si>
  <si>
    <t>T08 - ISS - Podium Slab</t>
  </si>
  <si>
    <t>T08 - ISS - Parking Level Subgrade</t>
  </si>
  <si>
    <t>Package Release [Complete the project]</t>
  </si>
  <si>
    <t>ISS - Foundation and Gradeslab</t>
  </si>
  <si>
    <t>L20 Default and it's variants</t>
  </si>
  <si>
    <t>D35 Default and it's variants</t>
  </si>
  <si>
    <t>T08-Clubhouse—Interiors and Facilities</t>
  </si>
  <si>
    <t>T08-Master Plan</t>
  </si>
  <si>
    <t>T08-Landscaping</t>
  </si>
  <si>
    <t>T08-Community spaces [Board Walk, Children play area]</t>
  </si>
  <si>
    <t>ITQE-Ph1</t>
  </si>
  <si>
    <t>Ph 1</t>
  </si>
  <si>
    <t>Master Plan | Site Development</t>
  </si>
  <si>
    <t>Amenities &amp; Facilities |  Clubhouse—Outdoor Spaces and Pool</t>
  </si>
  <si>
    <t xml:space="preserve">Amenities &amp; Facilities |  Community spaces </t>
  </si>
  <si>
    <t>ITQE-Ph2a</t>
  </si>
  <si>
    <t>Ph 2a</t>
  </si>
  <si>
    <t>Cijey M</t>
  </si>
  <si>
    <t>Experience Home + Project Experience [ V35 ]</t>
  </si>
  <si>
    <t>Master Plan | Site MEP</t>
  </si>
  <si>
    <t>ITQE-Ph2b</t>
  </si>
  <si>
    <t>Ph 2b</t>
  </si>
  <si>
    <t>Package Release [ Complete the project by Q3]</t>
  </si>
  <si>
    <t>Tower—05 | Habitable Level 01</t>
  </si>
  <si>
    <t>Tower—06 | Habitable Level 01</t>
  </si>
  <si>
    <t>Tower—07 | Habitable Level 01</t>
  </si>
  <si>
    <t>Tower—05 | Building Envelope and Common Areas [Penthouse Levels And Terrace Level]</t>
  </si>
  <si>
    <t>Tower—06 | Building Envelope and Common Areas [Penthouse Levels And Terrace Level]</t>
  </si>
  <si>
    <t>Tower—07 | Building Envelope and Common Areas [Penthouse Levels And Terrace Level]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</si>
  <si>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</si>
  <si>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</si>
  <si>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</si>
  <si>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</si>
  <si>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</si>
  <si>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</si>
  <si>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</si>
  <si>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L25 Default and it's variants</t>
  </si>
  <si>
    <t>Tower 05 | Habitable Level - Even</t>
  </si>
  <si>
    <t>Tower 05 | Habitable Level - Odd</t>
  </si>
  <si>
    <t>Tower 06 | Habitable Level - Even</t>
  </si>
  <si>
    <t>Tower 06 | Habitable Level - Odd</t>
  </si>
  <si>
    <t>Tower 07 | Habitable Level - Even</t>
  </si>
  <si>
    <t>Tower 07 | Habitable Level - Odd</t>
  </si>
  <si>
    <t>ISS5&amp;6 | Structrural Slab 01 [Basement]</t>
  </si>
  <si>
    <t>ISS 7 | Foundations &amp; Sub|Grade</t>
  </si>
  <si>
    <t xml:space="preserve">ISS 7 | Structrural Slab 01 [Basement] </t>
  </si>
  <si>
    <t>ISS5&amp;6 | Podium Slab</t>
  </si>
  <si>
    <t>ISS -5 &amp; 6 | Structrural Slab 01 [Basement]</t>
  </si>
  <si>
    <t>ISS -7 | Structrural Slab 01 [Basement]</t>
  </si>
  <si>
    <t>Masterplan | Site MEP</t>
  </si>
  <si>
    <t>ItQE-Ph2c [T9]</t>
  </si>
  <si>
    <t>Package Release [LoD 350-ISS, Habitable Level 11-20]</t>
  </si>
  <si>
    <t>LoD 350 - ISS, Habitable Level 11-20</t>
  </si>
  <si>
    <t>ISS 9 | Foundations &amp; Grade Slab</t>
  </si>
  <si>
    <t>Tower 9 | Foundation and Grade Slab</t>
  </si>
  <si>
    <t>Tower 9 | Parking Level-Sub grade</t>
  </si>
  <si>
    <t>ISS 9 | Earthwork</t>
  </si>
  <si>
    <t>OTR-Ph01</t>
  </si>
  <si>
    <t>Individual Homes | V25 Default &amp; its Variant</t>
  </si>
  <si>
    <t>Villa Block | Building Envelope + Plot Development</t>
  </si>
  <si>
    <t>Experience Home + Project Experience</t>
  </si>
  <si>
    <t>Villa Block | Super Structure</t>
  </si>
  <si>
    <t>Amenities &amp; Facilities | Community spaces [Board Walk, Children play area]</t>
  </si>
  <si>
    <t>TuiG</t>
  </si>
  <si>
    <t>Package Release [Complete LoD 350 by Q2]</t>
  </si>
  <si>
    <t>Master Planning</t>
  </si>
  <si>
    <t>Archives</t>
  </si>
  <si>
    <t>Om Prakash</t>
  </si>
  <si>
    <t>Clubhouse—Structure and Envelope</t>
  </si>
  <si>
    <t>TMFT-Ph 2</t>
  </si>
  <si>
    <t>Package Release [Complete LoD 350 by Q4 2025]</t>
  </si>
  <si>
    <t>LoD 350 - Site Development</t>
  </si>
  <si>
    <t>DBTW</t>
  </si>
  <si>
    <t xml:space="preserve">Complete the project </t>
  </si>
  <si>
    <t>LoD 350 - Master Plan - Site Development</t>
  </si>
  <si>
    <t>`</t>
  </si>
  <si>
    <t>LoD 350 - Master Plan - Site MEP</t>
  </si>
  <si>
    <t>LoD 350 - Master Plan - Landscaping</t>
  </si>
  <si>
    <t>LoD 350 - Clubhouse—Interiors and Facilities</t>
  </si>
  <si>
    <t>LoD 350 - Sporting Facilities</t>
  </si>
  <si>
    <t>LoD 350 - Tower 06 - Foundation and Grade Slab</t>
  </si>
  <si>
    <t>LoD 350 - ISS - Foundations &amp; Grade Slab</t>
  </si>
  <si>
    <t>LoD 350 - ISS - Podium Slab</t>
  </si>
  <si>
    <t>LoD 350 - Home Products - I20 Default and it's variants</t>
  </si>
  <si>
    <t>LoD 350 - Home Products - I25 Default and it's variants</t>
  </si>
  <si>
    <t>LoD 350 - Clubhouse—Structure and Envelope</t>
  </si>
  <si>
    <t>LoD 350 - Clubhouse—Outdoor Spaces and Pool</t>
  </si>
  <si>
    <t>LoD 300 - Pre Construction Set [Podium]</t>
  </si>
  <si>
    <t>LoD 350 - Tower-1-Habitable Level - Even</t>
  </si>
  <si>
    <t>LoD 350 - Tower-1-Habitable Level - Odd</t>
  </si>
  <si>
    <t>LoD 350 - Tower-2-Habitable Level 01</t>
  </si>
  <si>
    <t>LoD 350 - Tower-2-Habitable Level - Even</t>
  </si>
  <si>
    <t>LoD 350 - Tower-2-Habitable Level - Odd</t>
  </si>
  <si>
    <t>LoD 350 - Tower-3-Habitable Level 01</t>
  </si>
  <si>
    <t/>
  </si>
  <si>
    <t>LoD 350 - Tower-3-Habitable Level - Even</t>
  </si>
  <si>
    <t>LoD 350 - Tower-3-Habitable Level - Odd</t>
  </si>
  <si>
    <t>LoD 350 - Tower-4-Habitable Level 01</t>
  </si>
  <si>
    <t>LoD 350 - Tower-4-Habitable Level - Even</t>
  </si>
  <si>
    <t>LoD 350 - Tower-4-Habitable Level - Odd</t>
  </si>
  <si>
    <t>LoD 350 - Tower 05-Foundation and Grade Slab</t>
  </si>
  <si>
    <t>LoD 350 - Tower-5-Habitable Level 01</t>
  </si>
  <si>
    <t>LoD 350 - Tower-5-Habitable Level - Even</t>
  </si>
  <si>
    <t>LoD 350 - Tower-5-Habitable Level - Odd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</si>
  <si>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</si>
  <si>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</si>
  <si>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</si>
  <si>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</si>
  <si>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</si>
  <si>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Site MEP</t>
  </si>
  <si>
    <t>LoD 350 - Master Plan- Master Plan</t>
  </si>
  <si>
    <t>LoD 350 - Master Plan - Master Plan</t>
  </si>
  <si>
    <t>SftW</t>
  </si>
  <si>
    <t>Package Release [Complete the project by Q2]</t>
  </si>
  <si>
    <t>ISS 01 - Podium Slab</t>
  </si>
  <si>
    <t>Clubhouse + Amenities - Community spaces [Board Walk, Children play area]</t>
  </si>
  <si>
    <t>Tower 02 - Terrace Level</t>
  </si>
  <si>
    <t>ISS 01 - Building Envelope and Common Areas</t>
  </si>
  <si>
    <t>Tower 2 - Terrace Level</t>
  </si>
  <si>
    <t>Clubhouse - Community spaces [Board Walk, Children play area,OAT]</t>
  </si>
  <si>
    <t>Clubhouse—Sporting Facilities</t>
  </si>
  <si>
    <t>MEP | Master Plan - Site MEP</t>
  </si>
  <si>
    <t>MEP | Clubhouse—Sporting Facilities</t>
  </si>
  <si>
    <t>LGCE Campus</t>
  </si>
  <si>
    <t>Package Release [Complete the project by Q4]</t>
  </si>
  <si>
    <t>Design Brief</t>
  </si>
  <si>
    <t>LoD 200 - Schematic Concept</t>
  </si>
  <si>
    <t>LoD 300 - Pre Construction set</t>
  </si>
  <si>
    <t>LoD 350 - Foundation and Structure</t>
  </si>
  <si>
    <t>LoD 350 - Interiors</t>
  </si>
  <si>
    <t>Ooty Res</t>
  </si>
  <si>
    <t>Manik G</t>
  </si>
  <si>
    <t>LoD 350 - Building Envelope + Plot Development</t>
  </si>
  <si>
    <t>MT Plano</t>
  </si>
  <si>
    <t>Package Release [Complete the project by Q3]</t>
  </si>
  <si>
    <t>MeenaSai Res</t>
  </si>
  <si>
    <t>MS Res</t>
  </si>
  <si>
    <t>Complete the project by Q3</t>
  </si>
  <si>
    <t>NH Homestay</t>
  </si>
  <si>
    <t>NH HS</t>
  </si>
  <si>
    <t>Complete the project by Q1 [except LoD 350 - Interiors - Q2]</t>
  </si>
  <si>
    <t>Indiranagar Res</t>
  </si>
  <si>
    <t>Indrng Res</t>
  </si>
  <si>
    <t>LoD 350 - Block A - Interiors</t>
  </si>
  <si>
    <t>LoD 350 - Block B - Interiors</t>
  </si>
  <si>
    <t>LoD 350 - Block C - Interiors</t>
  </si>
  <si>
    <t>LoD 350 -Block C - Building Envelope + Plot Development</t>
  </si>
  <si>
    <t>LoD 350 - Block C- Building Envelope + Plot Development</t>
  </si>
  <si>
    <t>OTR Museum</t>
  </si>
  <si>
    <t>OTR Mus</t>
  </si>
  <si>
    <t>Fullkit Homes</t>
  </si>
  <si>
    <t>FKH</t>
  </si>
  <si>
    <t>Package Release</t>
  </si>
  <si>
    <t>Atul P</t>
  </si>
  <si>
    <t>TuiG [M20, M30 and M40]</t>
  </si>
  <si>
    <t>Harohalli</t>
  </si>
  <si>
    <t>Harohalli [M30, M40 and V50]</t>
  </si>
  <si>
    <t>Violet Hill</t>
  </si>
  <si>
    <t>Violet Hill [Product?]</t>
  </si>
  <si>
    <t>Shreegaon</t>
  </si>
  <si>
    <t>Shreegaon [V50]</t>
  </si>
  <si>
    <t>OTF</t>
  </si>
  <si>
    <t>One Tiny Flower [V50 D and V50 U]</t>
  </si>
  <si>
    <t>Poinciana</t>
  </si>
  <si>
    <t>Rework Pkgs</t>
  </si>
  <si>
    <t>Rwrk</t>
  </si>
  <si>
    <t>STR Package Release [Parking level subgrade]</t>
  </si>
  <si>
    <t> </t>
  </si>
  <si>
    <t>ITQE-T05</t>
  </si>
  <si>
    <t>T05</t>
  </si>
  <si>
    <t>New Projects</t>
  </si>
  <si>
    <t>OTR-Ph02</t>
  </si>
  <si>
    <t>Package Release [Except Master plan and Amenities]</t>
  </si>
  <si>
    <t>Complete the Project</t>
  </si>
  <si>
    <t>Contract + Design Brief</t>
  </si>
  <si>
    <t>Marketing and Sales</t>
  </si>
  <si>
    <t>Schematic Concept - CH</t>
  </si>
  <si>
    <t>Approvals - CH</t>
  </si>
  <si>
    <t>Pre Construction Set - CH</t>
  </si>
  <si>
    <t>TMFT-Ph 3</t>
  </si>
  <si>
    <t>Package Release [Dsgn Brf, LOD 200, Approvals, LOD 300]</t>
  </si>
  <si>
    <t>[Dsgn Brf, LOD 200, Approvals, LOD 300, LOD 350]</t>
  </si>
  <si>
    <t>Preconstruction</t>
  </si>
  <si>
    <t>Foundation and Grade Slab</t>
  </si>
  <si>
    <t>[LOD 200, LOD 300, LOD350]</t>
  </si>
  <si>
    <t>[LOD 200, Approvals, LOD 300, LOD 350]</t>
  </si>
  <si>
    <t>ItQE-Ph3a [T10-12 &amp; 31 Villas]</t>
  </si>
  <si>
    <t>Ph 3a</t>
  </si>
  <si>
    <t>Package Release [LoD 350-ISS, Habitable Level 2-10]</t>
  </si>
  <si>
    <t>LoD 350 - ISS, Habitable Level 2-10</t>
  </si>
  <si>
    <t>Sarjapur Road [South Block-Resi]</t>
  </si>
  <si>
    <t>Srjp - Res</t>
  </si>
  <si>
    <t>Package Release [LOD 350 - Towers, Experience Homes, Clubhouse and Approvals by Q4]</t>
  </si>
  <si>
    <t>[LOD 350 - Towers, Experience Homes and Approvals]</t>
  </si>
  <si>
    <t>CH - Schematic Concept</t>
  </si>
  <si>
    <t>CH - Approvals</t>
  </si>
  <si>
    <t>[LOD 350, Experience Homes and Approvals]</t>
  </si>
  <si>
    <t>Sarjapur - C (South Block)</t>
  </si>
  <si>
    <t>Srjp - C - SB</t>
  </si>
  <si>
    <t>Package Release [LOD 350 - Towers by Q4]</t>
  </si>
  <si>
    <t>[LOD 350 - Towers]</t>
  </si>
  <si>
    <t>Sarjapur - C (North Block)</t>
  </si>
  <si>
    <t>Srjp - C - NB</t>
  </si>
  <si>
    <t>[LOD 300]</t>
  </si>
  <si>
    <t>Package release [Except Amenities and Facilities]</t>
  </si>
  <si>
    <t>[Dsgn Brf, LOD 200, Approvals, LOD 300, Project Entrance]</t>
  </si>
  <si>
    <t>Contract + Design Brief [Commercial]</t>
  </si>
  <si>
    <t xml:space="preserve">Approvals </t>
  </si>
  <si>
    <t xml:space="preserve">Pre Construction Set </t>
  </si>
  <si>
    <t>Experience Home + Project Entrance</t>
  </si>
  <si>
    <t>Infra - Grading</t>
  </si>
  <si>
    <t>Infra - MEP</t>
  </si>
  <si>
    <t>Structures - Security Cabin and Entrance</t>
  </si>
  <si>
    <t>[LOD 200, Approvals]</t>
  </si>
  <si>
    <t>Pre Construction set - CH</t>
  </si>
  <si>
    <t>[LOD 200, LOD 300]</t>
  </si>
  <si>
    <t>Project Experience</t>
  </si>
  <si>
    <t>[LOD 200, Approvals, LOD 300]</t>
  </si>
  <si>
    <t>Harohalli [Plotted]</t>
  </si>
  <si>
    <t>Package Release [Dsgn Brf, LOD 200, Approvals, Exp, Package 1 -3 by Q4]</t>
  </si>
  <si>
    <t>[Dsgn Brf, LOD 200, Approvals, Exp]</t>
  </si>
  <si>
    <t>[LOD 200,Exp home]</t>
  </si>
  <si>
    <t xml:space="preserve">Shreegaon [70a] </t>
  </si>
  <si>
    <t>Package Release [ Complete the project by Q4]</t>
  </si>
  <si>
    <t>Complete the project [Except Master Archives]</t>
  </si>
  <si>
    <t>Violet hill</t>
  </si>
  <si>
    <t>Schematic Concept [Rework]</t>
  </si>
  <si>
    <t>Approvals [Rework]</t>
  </si>
  <si>
    <t>Structures - Security Cabin and Entrance [Rework]</t>
  </si>
  <si>
    <t>Appr</t>
  </si>
  <si>
    <t>Ambegaon</t>
  </si>
  <si>
    <t xml:space="preserve">                                                   </t>
  </si>
  <si>
    <t>Package Release [Dsgn Brf, LOD 200, Approvals]</t>
  </si>
  <si>
    <t>[LOD 200]</t>
  </si>
  <si>
    <t>Mall of Asia</t>
  </si>
  <si>
    <t>Package Release [Dsgn Brf, LOD 200, Approvals, Exp home]</t>
  </si>
  <si>
    <t>[Dsgn Brf, LOD 200, Approvals, LOD 300]</t>
  </si>
  <si>
    <t>[ LOD 200, Approvals, LOD 300]</t>
  </si>
  <si>
    <t>TR Mills Chamarajpet</t>
  </si>
  <si>
    <t>TR Mills</t>
  </si>
  <si>
    <t xml:space="preserve">TR Mills </t>
  </si>
  <si>
    <t>KIADB - Mys</t>
  </si>
  <si>
    <t>Complete the project by Q4</t>
  </si>
  <si>
    <t>Imagine Campus</t>
  </si>
  <si>
    <t>Imgn</t>
  </si>
  <si>
    <t>OtR OOTA</t>
  </si>
  <si>
    <t>OTR OOTA</t>
  </si>
  <si>
    <t>Package Release [Complete LOD 100 by Q1]</t>
  </si>
  <si>
    <t>NH10a Sultanpet</t>
  </si>
  <si>
    <t>NH10a</t>
  </si>
  <si>
    <t>Vaderahalli</t>
  </si>
  <si>
    <t>Vdrhl</t>
  </si>
  <si>
    <t>Vdrhl-Res</t>
  </si>
  <si>
    <t>Vdrhl-Cmrcl</t>
  </si>
  <si>
    <t>DonaPaula</t>
  </si>
  <si>
    <t>DP</t>
  </si>
  <si>
    <t>Package release [LOD 200, Approvals, LOD 300, Experience home by Q2]</t>
  </si>
  <si>
    <t>[ Approvals,LOD 300, Exp home, LOD350]</t>
  </si>
  <si>
    <t>Schematic Concept .v7 [Rework]</t>
  </si>
  <si>
    <t>Experience home</t>
  </si>
  <si>
    <t>LoD 200 - Schematic Concept - CH</t>
  </si>
  <si>
    <t>LoD 300 - Pre Construction set - CH</t>
  </si>
  <si>
    <t>[LOD 200, LOD 300, Approvals]</t>
  </si>
  <si>
    <t>NH37a [Acharalahalli]</t>
  </si>
  <si>
    <t>NH37a Ach</t>
  </si>
  <si>
    <t>Package Release [Dsgn Brf, LOD 200]</t>
  </si>
  <si>
    <t>NH30a [Madakuhosahalli]</t>
  </si>
  <si>
    <t>NH30a MH</t>
  </si>
  <si>
    <t>Varthur 52a</t>
  </si>
  <si>
    <t>Vijayapura</t>
  </si>
  <si>
    <t>Package Release [Dsgn Brf, LoD 100]</t>
  </si>
  <si>
    <t>Savakanahalli</t>
  </si>
  <si>
    <t>Svknhli</t>
  </si>
  <si>
    <t>Package Release [Dsgn Brf, LOD 100]</t>
  </si>
  <si>
    <t>Aundh 3a</t>
  </si>
  <si>
    <t>Aundh [3a]</t>
  </si>
  <si>
    <t>Yadgarpalle</t>
  </si>
  <si>
    <t>Lonavala</t>
  </si>
  <si>
    <t>Jhanjh Lake [Mayfair]</t>
  </si>
  <si>
    <t>JL - MF</t>
  </si>
  <si>
    <t>Sarjapur - Plotted</t>
  </si>
  <si>
    <t>Srjp-P</t>
  </si>
  <si>
    <t>On Hold</t>
  </si>
  <si>
    <t>Windmils, SftW</t>
  </si>
  <si>
    <t>TBD with Kamal</t>
  </si>
  <si>
    <t>Windmils, Sftw</t>
  </si>
  <si>
    <t>Saideep reddy Res,Hyd</t>
  </si>
  <si>
    <t>Saideep Res</t>
  </si>
  <si>
    <t>Package Release [Complete the Project by Q4]</t>
  </si>
  <si>
    <t>5a GTC Indrngr</t>
  </si>
  <si>
    <t>5a GTC</t>
  </si>
  <si>
    <t>Complete the project [except LoD 350 - Interiors]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</si>
  <si>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</si>
  <si>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</si>
  <si>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</si>
  <si>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</si>
  <si>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</si>
  <si>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</si>
  <si>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</si>
  <si>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</si>
  <si>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</si>
  <si>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</si>
  <si>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</si>
  <si>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</si>
  <si>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</si>
  <si>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</si>
  <si>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</si>
  <si>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</si>
  <si>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</si>
  <si>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</si>
  <si>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</si>
  <si>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</si>
  <si>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</si>
  <si>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</si>
  <si>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</si>
  <si>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</si>
  <si>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</si>
  <si>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</si>
  <si>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</si>
  <si>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</si>
  <si>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</si>
  <si>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</si>
  <si>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</si>
  <si>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</si>
  <si>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</si>
  <si>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</si>
  <si>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</si>
  <si>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OtF [Clubhouse LOD 200 and Approvals] [Pkgs 3]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</si>
  <si>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</si>
  <si>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</si>
  <si>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</si>
  <si>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</si>
  <si>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</si>
  <si>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</si>
  <si>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</si>
  <si>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</si>
  <si>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</si>
  <si>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</si>
  <si>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</si>
  <si>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</si>
  <si>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</si>
  <si>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</si>
  <si>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</si>
  <si>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</si>
  <si>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</si>
  <si>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</si>
  <si>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</si>
  <si>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</si>
  <si>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</si>
  <si>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</si>
  <si>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</si>
  <si>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</si>
  <si>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</si>
  <si>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</si>
  <si>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</si>
  <si>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</si>
  <si>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</si>
  <si>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</si>
  <si>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</si>
  <si>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</si>
  <si>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</si>
  <si>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</si>
  <si>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</si>
  <si>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</si>
  <si>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</si>
  <si>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</si>
  <si>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</si>
  <si>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</si>
  <si>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</si>
  <si>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</si>
  <si>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</si>
  <si>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</si>
  <si>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</si>
  <si>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</si>
  <si>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</si>
  <si>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</si>
  <si>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</si>
  <si>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</si>
  <si>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</si>
  <si>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</si>
  <si>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</si>
  <si>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</si>
  <si>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</si>
  <si>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</si>
  <si>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</si>
  <si>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</si>
  <si>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</si>
  <si>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</si>
  <si>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</si>
  <si>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</si>
  <si>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</si>
  <si>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</si>
  <si>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</si>
  <si>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</si>
  <si>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</si>
  <si>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</si>
  <si>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</si>
  <si>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</si>
  <si>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</si>
  <si>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</si>
  <si>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</si>
  <si>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</si>
  <si>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</si>
  <si>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</si>
  <si>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</si>
  <si>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</si>
  <si>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</si>
  <si>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</si>
  <si>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</si>
  <si>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</si>
  <si>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</si>
  <si>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</si>
  <si>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</si>
  <si>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</si>
  <si>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</si>
  <si>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</si>
  <si>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</si>
  <si>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</si>
  <si>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</si>
  <si>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</si>
  <si>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</si>
  <si>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</si>
  <si>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</si>
  <si>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</si>
  <si>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</si>
  <si>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</si>
  <si>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</si>
  <si>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</si>
  <si>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</si>
  <si>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</si>
  <si>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</si>
  <si>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</si>
  <si>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</si>
  <si>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</si>
  <si>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</si>
  <si>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</si>
  <si>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</si>
  <si>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</si>
  <si>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Atul</t>
  </si>
  <si>
    <t>Design 
[FKH, Units]</t>
  </si>
  <si>
    <t>[Experience Homes]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</si>
  <si>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</si>
  <si>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</si>
  <si>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</si>
  <si>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</si>
  <si>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</si>
  <si>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</si>
  <si>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</si>
  <si>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</si>
  <si>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ITQE Ph 2b</t>
  </si>
  <si>
    <t>Tower—05 | Terrace Level</t>
  </si>
  <si>
    <t>Tower—06 | Terrace Level</t>
  </si>
  <si>
    <t>Tower—07 | Terrace Level</t>
  </si>
  <si>
    <t>ISS 5&amp;6 | Foundations &amp; Sub-Grade</t>
  </si>
  <si>
    <t>ISS 7 | Foundations &amp; Sub-Grade</t>
  </si>
  <si>
    <t>Master Plan | Landscaping</t>
  </si>
  <si>
    <t>ITQE Ph 2c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</si>
  <si>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</si>
  <si>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</si>
  <si>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</si>
  <si>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</si>
  <si>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</si>
  <si>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37a Nandi Hiils [V] Hoysala</t>
  </si>
  <si>
    <t>NH37a [V]</t>
  </si>
  <si>
    <t>36a Nandi Hills [V] Madukosanahalli</t>
  </si>
  <si>
    <t>NH36a [V]</t>
  </si>
  <si>
    <t>OtR</t>
  </si>
  <si>
    <t>OtR Ph1</t>
  </si>
  <si>
    <t xml:space="preserve">Master Plan </t>
  </si>
  <si>
    <t xml:space="preserve">Site Development </t>
  </si>
  <si>
    <t>Landscaping</t>
  </si>
  <si>
    <t>OtR Ph2</t>
  </si>
  <si>
    <t>Meena &amp; Krishnasai Residence</t>
  </si>
  <si>
    <t>10a Nandi Hills [V] Sltnpt</t>
  </si>
  <si>
    <t>NH10a [V]</t>
  </si>
  <si>
    <t>Foundation + Subgrade</t>
  </si>
  <si>
    <t>Building envelope + Plot development</t>
  </si>
  <si>
    <t>Interiors</t>
  </si>
  <si>
    <t>OtR -Museum</t>
  </si>
  <si>
    <t xml:space="preserve">Vaderahalli </t>
  </si>
  <si>
    <t>Units</t>
  </si>
  <si>
    <t>OtR | Villa -22- Personalised design</t>
  </si>
  <si>
    <t>Design 
[TMFT | SFTW | DBTW | TUIG]</t>
  </si>
  <si>
    <t>TMFT - Ph3</t>
  </si>
  <si>
    <t>SFTW</t>
  </si>
  <si>
    <t>Community spaces [Board Walk, Children play area,OAT]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</si>
  <si>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</si>
  <si>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</si>
  <si>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</si>
  <si>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</si>
  <si>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</si>
  <si>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</si>
  <si>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</si>
  <si>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</si>
  <si>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</si>
  <si>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</si>
  <si>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</si>
  <si>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</si>
  <si>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</si>
  <si>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</si>
  <si>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</si>
  <si>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</si>
  <si>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</si>
  <si>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</si>
  <si>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</si>
  <si>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</si>
  <si>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</si>
  <si>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</si>
  <si>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</si>
  <si>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</si>
  <si>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</si>
  <si>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</si>
  <si>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Savakanhli</t>
  </si>
  <si>
    <t>Schematic concept - CH</t>
  </si>
  <si>
    <t>Project Experience - Entrance portal</t>
  </si>
  <si>
    <t>37a Nandi Hills [V] Hoysala</t>
  </si>
  <si>
    <t>Approvals-CH</t>
  </si>
  <si>
    <t>OTF [Suntikoppa]</t>
  </si>
  <si>
    <t>Project Experience - Entrance Portal</t>
  </si>
  <si>
    <t>10a Nandi Hiils [V] Sltnpt</t>
  </si>
  <si>
    <t>LGCE</t>
  </si>
  <si>
    <t>Schematic concept</t>
  </si>
  <si>
    <t>Pre-construction set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</si>
  <si>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</si>
  <si>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</si>
  <si>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</si>
  <si>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</si>
  <si>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</si>
  <si>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</si>
  <si>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</si>
  <si>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</si>
  <si>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</si>
  <si>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</si>
  <si>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</si>
  <si>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</si>
  <si>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</si>
  <si>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</si>
  <si>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</si>
  <si>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</si>
  <si>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</si>
  <si>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</si>
  <si>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</si>
  <si>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</si>
  <si>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</si>
  <si>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</si>
  <si>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</si>
  <si>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</si>
  <si>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</si>
  <si>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</si>
  <si>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</si>
  <si>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</si>
  <si>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</si>
  <si>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</si>
  <si>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</si>
  <si>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</si>
  <si>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</si>
  <si>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PoaRR T08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</si>
  <si>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</si>
  <si>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</si>
  <si>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</si>
  <si>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</si>
  <si>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</si>
  <si>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</si>
  <si>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</si>
  <si>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</si>
  <si>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</si>
  <si>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</si>
  <si>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</si>
  <si>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</si>
  <si>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</si>
  <si>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</si>
  <si>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</si>
  <si>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</si>
  <si>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</si>
  <si>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</si>
  <si>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</si>
  <si>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</si>
  <si>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</si>
  <si>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</si>
  <si>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</si>
  <si>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</si>
  <si>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Approvals | v7</t>
  </si>
  <si>
    <t>OtF [Suntikoppa]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</si>
  <si>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</si>
  <si>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</si>
  <si>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</si>
  <si>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</si>
  <si>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</si>
  <si>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</si>
  <si>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</si>
  <si>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</si>
  <si>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</si>
  <si>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</si>
  <si>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</si>
  <si>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</si>
  <si>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</si>
  <si>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</si>
  <si>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</si>
  <si>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</si>
  <si>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</si>
  <si>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</si>
  <si>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</si>
  <si>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</si>
  <si>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</si>
  <si>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</si>
  <si>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</si>
  <si>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</si>
  <si>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</si>
  <si>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</si>
  <si>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</si>
  <si>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</si>
  <si>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</si>
  <si>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</si>
  <si>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</si>
  <si>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</si>
  <si>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</si>
  <si>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</si>
  <si>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</si>
  <si>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</si>
  <si>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</si>
  <si>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</si>
  <si>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</si>
  <si>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</si>
  <si>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</si>
  <si>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</si>
  <si>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</si>
  <si>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</si>
  <si>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</si>
  <si>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</si>
  <si>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</si>
  <si>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</si>
  <si>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</si>
  <si>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</si>
  <si>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</si>
  <si>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</si>
  <si>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</si>
  <si>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</si>
  <si>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</si>
  <si>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</si>
  <si>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</si>
  <si>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</si>
  <si>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</si>
  <si>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</si>
  <si>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</si>
  <si>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Design 
[MP+MEP+LS]</t>
  </si>
  <si>
    <t>[MP+MEP+LS]</t>
  </si>
  <si>
    <t>AtR Ph 1, 2a, 2b, 2c</t>
  </si>
  <si>
    <t>AtR-III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</si>
  <si>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</si>
  <si>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</si>
  <si>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</si>
  <si>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</si>
  <si>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</si>
  <si>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</si>
  <si>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</si>
  <si>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</si>
  <si>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</si>
  <si>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</si>
  <si>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</si>
  <si>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</si>
  <si>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</si>
  <si>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</si>
  <si>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</si>
  <si>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</si>
  <si>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</si>
  <si>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</si>
  <si>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Master Archives - Res</t>
  </si>
  <si>
    <t>T08 - ISS - Foundation and Gradeslab</t>
  </si>
  <si>
    <t>T08 - L20 Default and it's variants</t>
  </si>
  <si>
    <t>T08 - D35 Default and it's variants</t>
  </si>
  <si>
    <t>T08 Pre Construction</t>
  </si>
  <si>
    <t xml:space="preserve">Masterplan | Master Plan </t>
  </si>
  <si>
    <t>ISS -5 &amp; 6 | Podium Slab</t>
  </si>
  <si>
    <t>ISS -7 | Podium Slab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</si>
  <si>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</si>
  <si>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</si>
  <si>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</si>
  <si>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</si>
  <si>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</si>
  <si>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</si>
  <si>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</si>
  <si>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</si>
  <si>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</si>
  <si>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</si>
  <si>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</si>
  <si>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</si>
  <si>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</si>
  <si>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</si>
  <si>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NH-Homestay</t>
  </si>
  <si>
    <t>Constrcution GFC</t>
  </si>
  <si>
    <t>MT, Plano [Uma &amp; Kush]</t>
  </si>
  <si>
    <t>Tumkur</t>
  </si>
  <si>
    <t>Chamarajpet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</si>
  <si>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</si>
  <si>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</si>
  <si>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</si>
  <si>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</si>
  <si>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</si>
  <si>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</si>
  <si>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</si>
  <si>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</si>
  <si>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</si>
  <si>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</si>
  <si>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</si>
  <si>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</si>
  <si>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</si>
  <si>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</si>
  <si>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</si>
  <si>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</si>
  <si>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</si>
  <si>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</si>
  <si>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</si>
  <si>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</si>
  <si>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</si>
  <si>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</si>
  <si>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</si>
  <si>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</si>
  <si>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</si>
  <si>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</si>
  <si>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</si>
  <si>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</si>
  <si>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</si>
  <si>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</si>
  <si>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</si>
  <si>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</si>
  <si>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TMFT</t>
  </si>
  <si>
    <t>TMFT -2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</si>
  <si>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</si>
  <si>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</si>
  <si>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</si>
  <si>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</si>
  <si>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</si>
  <si>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</si>
  <si>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</si>
  <si>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</si>
  <si>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</si>
  <si>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</si>
  <si>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</si>
  <si>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</si>
  <si>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</si>
  <si>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</si>
  <si>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</si>
  <si>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</si>
  <si>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</si>
  <si>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</si>
  <si>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</si>
  <si>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</si>
  <si>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</si>
  <si>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</si>
  <si>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</si>
  <si>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</si>
  <si>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</si>
  <si>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</si>
  <si>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</si>
  <si>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</si>
  <si>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</si>
  <si>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</si>
  <si>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</si>
  <si>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</si>
  <si>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</si>
  <si>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</si>
  <si>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</si>
  <si>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</si>
  <si>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</si>
  <si>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</si>
  <si>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</si>
  <si>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</si>
  <si>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</si>
  <si>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</si>
  <si>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</si>
  <si>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</si>
  <si>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</si>
  <si>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</si>
  <si>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</si>
  <si>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</si>
  <si>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</si>
  <si>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</si>
  <si>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</si>
  <si>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</si>
  <si>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</si>
  <si>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</si>
  <si>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Talashet</t>
  </si>
  <si>
    <t>OTR - Museum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</si>
  <si>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</si>
  <si>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</si>
  <si>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</si>
  <si>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</si>
  <si>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</si>
  <si>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</si>
  <si>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</si>
  <si>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</si>
  <si>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</si>
  <si>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</si>
  <si>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</si>
  <si>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</si>
  <si>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</si>
  <si>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</si>
  <si>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</si>
  <si>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</si>
  <si>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</si>
  <si>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</si>
  <si>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</si>
  <si>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</si>
  <si>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</si>
  <si>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</si>
  <si>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</si>
  <si>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</si>
  <si>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</si>
  <si>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</si>
  <si>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</si>
  <si>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</si>
  <si>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</si>
  <si>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Leader</t>
  </si>
  <si>
    <t>Package</t>
  </si>
  <si>
    <t>Billing value</t>
  </si>
  <si>
    <t>Plan</t>
  </si>
  <si>
    <t>Actual</t>
  </si>
  <si>
    <t>Status</t>
  </si>
  <si>
    <t>GFC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</si>
  <si>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</si>
  <si>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</si>
  <si>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</si>
  <si>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</si>
  <si>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</si>
  <si>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</si>
  <si>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</si>
  <si>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</si>
  <si>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</si>
  <si>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</si>
  <si>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</si>
  <si>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</si>
  <si>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</si>
  <si>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</si>
  <si>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</si>
  <si>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</si>
  <si>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</si>
  <si>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</si>
  <si>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</si>
  <si>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</si>
  <si>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</si>
  <si>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</si>
  <si>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</si>
  <si>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</si>
  <si>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</si>
  <si>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</si>
  <si>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</si>
  <si>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</si>
  <si>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</si>
  <si>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</si>
  <si>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</si>
  <si>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</si>
  <si>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</si>
  <si>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</si>
  <si>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</si>
  <si>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</si>
  <si>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</si>
  <si>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</si>
  <si>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</si>
  <si>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</si>
  <si>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</si>
  <si>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</si>
  <si>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</si>
  <si>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</si>
  <si>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</si>
  <si>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</si>
  <si>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</si>
  <si>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</si>
  <si>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</si>
  <si>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</si>
  <si>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</si>
  <si>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</si>
  <si>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</si>
  <si>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</si>
  <si>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</si>
  <si>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</si>
  <si>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</si>
  <si>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</si>
  <si>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</si>
  <si>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</si>
  <si>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</si>
  <si>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</si>
  <si>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</si>
  <si>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</si>
  <si>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</si>
  <si>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</si>
  <si>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</si>
  <si>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</si>
  <si>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</si>
  <si>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Sarjapur [Koothaganahalli]</t>
  </si>
  <si>
    <t>Naya Raipur [Plots]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</si>
  <si>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</si>
  <si>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</si>
  <si>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</si>
  <si>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</si>
  <si>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</si>
  <si>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</si>
  <si>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</si>
  <si>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</si>
  <si>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</si>
  <si>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</si>
  <si>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</si>
  <si>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</si>
  <si>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</si>
  <si>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</si>
  <si>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</si>
  <si>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</si>
  <si>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</si>
  <si>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</si>
  <si>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</si>
  <si>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</si>
  <si>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</si>
  <si>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</si>
  <si>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</si>
  <si>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</si>
  <si>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</si>
  <si>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</si>
  <si>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</si>
  <si>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</si>
  <si>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</si>
  <si>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</si>
  <si>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</si>
  <si>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</si>
  <si>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</si>
  <si>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</si>
  <si>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</si>
  <si>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</si>
  <si>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</si>
  <si>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</si>
  <si>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</si>
  <si>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</si>
  <si>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</si>
  <si>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</si>
  <si>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</si>
  <si>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</si>
  <si>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</si>
  <si>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</si>
  <si>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</si>
  <si>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</si>
  <si>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</si>
  <si>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</si>
  <si>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</si>
  <si>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</si>
  <si>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</si>
  <si>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</si>
  <si>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</si>
  <si>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</si>
  <si>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</si>
  <si>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</si>
  <si>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</si>
  <si>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</si>
  <si>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</si>
  <si>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</si>
  <si>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</si>
  <si>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</si>
  <si>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</si>
  <si>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</si>
  <si>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</si>
  <si>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</si>
  <si>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</si>
  <si>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</si>
  <si>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</si>
  <si>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</si>
  <si>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</si>
  <si>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</si>
  <si>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</si>
  <si>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</si>
  <si>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</si>
  <si>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</si>
  <si>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</si>
  <si>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</si>
  <si>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</si>
  <si>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</si>
  <si>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</si>
  <si>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</si>
  <si>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</si>
  <si>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</si>
  <si>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</si>
  <si>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</si>
  <si>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</si>
  <si>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</si>
  <si>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</si>
  <si>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</si>
  <si>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</si>
  <si>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</si>
  <si>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</si>
  <si>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</si>
  <si>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</si>
  <si>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</si>
  <si>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</si>
  <si>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</si>
  <si>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</si>
  <si>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</si>
  <si>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</si>
  <si>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</si>
  <si>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</si>
  <si>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</si>
  <si>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</si>
  <si>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</si>
  <si>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</si>
  <si>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</si>
  <si>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</si>
  <si>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</si>
  <si>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</si>
  <si>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Sarj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</si>
  <si>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</si>
  <si>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</si>
  <si>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</si>
  <si>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</si>
  <si>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</si>
  <si>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</si>
  <si>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</si>
  <si>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</si>
  <si>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</si>
  <si>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</si>
  <si>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</si>
  <si>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</si>
  <si>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</si>
  <si>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</si>
  <si>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</si>
  <si>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</si>
  <si>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</si>
  <si>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</si>
  <si>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</si>
  <si>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</si>
  <si>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</si>
  <si>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</si>
  <si>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</si>
  <si>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</si>
  <si>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</si>
  <si>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</si>
  <si>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</si>
  <si>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</si>
  <si>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</si>
  <si>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</si>
  <si>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</si>
  <si>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</si>
  <si>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</si>
  <si>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</si>
  <si>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</si>
  <si>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</si>
  <si>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</si>
  <si>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</si>
  <si>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</si>
  <si>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</si>
  <si>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</si>
  <si>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</si>
  <si>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</si>
  <si>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</si>
  <si>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</si>
  <si>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 - 03</t>
  </si>
  <si>
    <t>PoaRR-T09</t>
  </si>
  <si>
    <t>PoaRR-Workcations</t>
  </si>
  <si>
    <t>ITQE-Ph2c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</si>
  <si>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</si>
  <si>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</si>
  <si>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</si>
  <si>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</si>
  <si>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</si>
  <si>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</si>
  <si>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</si>
  <si>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Tumkur 33a</t>
  </si>
  <si>
    <t>DsgnBld</t>
  </si>
  <si>
    <t>Swisstown</t>
  </si>
  <si>
    <t>New</t>
  </si>
  <si>
    <t>HPL</t>
  </si>
  <si>
    <t>Windmils, Hyd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</si>
  <si>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</si>
  <si>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</si>
  <si>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</si>
  <si>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</si>
  <si>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</si>
  <si>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</si>
  <si>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</si>
  <si>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</si>
  <si>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FY 2026-27 | Design Goals + Billing</t>
  </si>
  <si>
    <t>Plan - Billing [Cr.]</t>
  </si>
  <si>
    <t>Plan - Pkgs</t>
  </si>
  <si>
    <t>Lead</t>
  </si>
  <si>
    <t>Person 1</t>
  </si>
  <si>
    <t>Person 2</t>
  </si>
  <si>
    <t>Person 3</t>
  </si>
  <si>
    <t>Draftperson</t>
  </si>
  <si>
    <t>Actuals - Billing [Cr.]</t>
  </si>
  <si>
    <t>Actuals - Pkgs</t>
  </si>
  <si>
    <t>Package Release [Complete LoD 350 ]</t>
  </si>
  <si>
    <t>Ayesha</t>
  </si>
  <si>
    <t>Shreelekha</t>
  </si>
  <si>
    <t>LoD 350 - Clubhouse + Amenities - Community spaces [Staff Lounge, Children play area]</t>
  </si>
  <si>
    <t>Shreenivasa</t>
  </si>
  <si>
    <t>Kishore</t>
  </si>
  <si>
    <t>LoD 350 - Clubhouse + Amenities - Sporting Facilities</t>
  </si>
  <si>
    <t>Satish H</t>
  </si>
  <si>
    <t>Alwin</t>
  </si>
  <si>
    <t>Aniket P</t>
  </si>
  <si>
    <t>Ambika</t>
  </si>
  <si>
    <t>Ajmal/Shahnawaz</t>
  </si>
  <si>
    <t>Atharv</t>
  </si>
  <si>
    <t>Prasad</t>
  </si>
  <si>
    <t>Salomi</t>
  </si>
  <si>
    <t>Eranna
Praveen
Hareesha</t>
  </si>
  <si>
    <t>Avinash
Deepu
Shreedhar
Mahadev</t>
  </si>
  <si>
    <t>Package Release [Complete LoD 350]</t>
  </si>
  <si>
    <t>LoD 300 - Pre Construction Set</t>
  </si>
  <si>
    <t>Guruprasad</t>
  </si>
  <si>
    <t>LoD 350 - Home Products - V45 Default and it's variants</t>
  </si>
  <si>
    <t>Aaron</t>
  </si>
  <si>
    <t>LoD 350 - Villa Block 33 - Foundations and Sub-Grade Structure</t>
  </si>
  <si>
    <t>LoD 350 - Villa Block 34 - Foundations and Sub-Grade Structure</t>
  </si>
  <si>
    <t>LoD 350 - Villa Block 29 - Foundations and Sub-Grade Structure</t>
  </si>
  <si>
    <t xml:space="preserve">LoD 350 - Villa Block 29 - Building Envelope + Plot Development </t>
  </si>
  <si>
    <t>LoD 350 - Villa Block 30 - Foundations and Sub-Grade Structure</t>
  </si>
  <si>
    <t xml:space="preserve">LoD 350 - Villa Block 30 - Building Envelope + Plot Development </t>
  </si>
  <si>
    <t xml:space="preserve">LoD 350 - Villa Block 31 - Building Envelope + Plot Development </t>
  </si>
  <si>
    <t xml:space="preserve">LoD 350 - Villa Block 32 - Building Envelope + Plot Development </t>
  </si>
  <si>
    <t xml:space="preserve">LoD 350 - Villa Block 34 - Building Envelope + Plot Development </t>
  </si>
  <si>
    <t>LoD 350 - Site Development - 02 Road Works</t>
  </si>
  <si>
    <t>Package Release [Complete LoD 350 except V80 ]</t>
  </si>
  <si>
    <t>LoD 300 - Preconstruction Set</t>
  </si>
  <si>
    <t>Mohith</t>
  </si>
  <si>
    <t xml:space="preserve">LoD 350 - Villa Block 29 - Foundations and Sub-Grade Structure </t>
  </si>
  <si>
    <t xml:space="preserve">LoD 350 - Villa Block 29 - Super Structure  </t>
  </si>
  <si>
    <t xml:space="preserve">LoD 350 - Villa Block 30 - Foundations and Sub-Grade Structure </t>
  </si>
  <si>
    <t xml:space="preserve">LoD 350 - Villa Block 30 - Super Structure  </t>
  </si>
  <si>
    <t xml:space="preserve">LoD 350 - Villa Block 34 - Foundations and Sub-Grade Structure </t>
  </si>
  <si>
    <t xml:space="preserve">LoD 350 - Villa Block 34 - Super Structure  </t>
  </si>
  <si>
    <t>Avinash
Sandeep
Shreedhar</t>
  </si>
  <si>
    <t>Lajja</t>
  </si>
  <si>
    <t xml:space="preserve">Anisha </t>
  </si>
  <si>
    <t>Chetan
Anupa</t>
  </si>
  <si>
    <t>LoD 350 - Home Products - V45 Default</t>
  </si>
  <si>
    <t>Naveen KL</t>
  </si>
  <si>
    <t>Vasudha C</t>
  </si>
  <si>
    <t>Sathvika D</t>
  </si>
  <si>
    <t>Arshad</t>
  </si>
  <si>
    <t>Package Release [Complete LoD 350 except Habitable Level 6-10 and Terrace Level ]</t>
  </si>
  <si>
    <t>LoD 350 - Tower-[Commercial] - Habitable Level 3-5</t>
  </si>
  <si>
    <t>Vineetha</t>
  </si>
  <si>
    <t>Sagar+
Shrishail</t>
  </si>
  <si>
    <t>Rajath</t>
  </si>
  <si>
    <t>Dhirender+
Shrishail</t>
  </si>
  <si>
    <t>Rohit</t>
  </si>
  <si>
    <t>Sagar+Rajath</t>
  </si>
  <si>
    <t>Namrath</t>
  </si>
  <si>
    <t>Eranna
Praveen</t>
  </si>
  <si>
    <t>Avinash
Deepu</t>
  </si>
  <si>
    <t xml:space="preserve">LoD 350 - Childern play area </t>
  </si>
  <si>
    <t>Play equipment selection pending</t>
  </si>
  <si>
    <t>LOD 350 Villa Cluster 3 - All Levels</t>
  </si>
  <si>
    <t>Gokul</t>
  </si>
  <si>
    <t>Krishnapriya</t>
  </si>
  <si>
    <t>LOD 350 Villa Cluster 3 - Building Envelope and Common Areas</t>
  </si>
  <si>
    <t>LOD 350 V40 Default and it's variants</t>
  </si>
  <si>
    <t>Nirupama</t>
  </si>
  <si>
    <t>LOD 350 ISS Building Envelope and Common Areas</t>
  </si>
  <si>
    <t>Latha</t>
  </si>
  <si>
    <t>LOD 350 Residential - Site Development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</si>
  <si>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</si>
  <si>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</si>
  <si>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</si>
  <si>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</si>
  <si>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</si>
  <si>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LOD 350 Site Development</t>
  </si>
  <si>
    <t>Lincy</t>
  </si>
  <si>
    <t>Subrahmanya</t>
  </si>
  <si>
    <t>Darshan</t>
  </si>
  <si>
    <t>LOD 350 Site MEP</t>
  </si>
  <si>
    <t>LOD 350 Sporting Facilities</t>
  </si>
  <si>
    <t>Abhishek</t>
  </si>
  <si>
    <t>Hareesha
Praveen</t>
  </si>
  <si>
    <t>Byahattimath
Shreedhar
Mahadev
Deepu
Ajay</t>
  </si>
  <si>
    <t>LOD 350 Clubhouse Outdoor Spaces and Pool</t>
  </si>
  <si>
    <t>LOD 350 Amenities &amp; Facilities - Community spaces [Sporting Facilities]</t>
  </si>
  <si>
    <t>Apoorva</t>
  </si>
  <si>
    <t>LOD 350 ISS - Foundations &amp; Grade Slab</t>
  </si>
  <si>
    <t>Vivek</t>
  </si>
  <si>
    <t>Komal</t>
  </si>
  <si>
    <t>LOD 350 ISS -  Parking Level Subgrade</t>
  </si>
  <si>
    <t>LOD 350 ISS -  Podium Slab</t>
  </si>
  <si>
    <t>LOD 350 ISS - Building Envelope and Common Areas</t>
  </si>
  <si>
    <t>LOD 350 Habitable Level 01</t>
  </si>
  <si>
    <t>Mononita</t>
  </si>
  <si>
    <t>LOD 350 Building Envelope and Common Areas [Typical Tower Levels]</t>
  </si>
  <si>
    <t xml:space="preserve">LOD 350 L22 Default </t>
  </si>
  <si>
    <t>Shahbazz</t>
  </si>
  <si>
    <t>LOD 350 L20 Default [Modification for Dry Wall]</t>
  </si>
  <si>
    <t>Aardra</t>
  </si>
  <si>
    <t>LOD 350 D35 Default [Modification for Dry Wall]</t>
  </si>
  <si>
    <t>LOD 350 Master Plan</t>
  </si>
  <si>
    <t>LOD 350 Penthouse Levels</t>
  </si>
  <si>
    <t>LOD 350 Terrace Level</t>
  </si>
  <si>
    <t>LOD 350 Building Envelope and Common Areas [Penthouse Levels And Terrace Level]</t>
  </si>
  <si>
    <t>LOD 350 Clubhouse—Interiors and Facilities</t>
  </si>
  <si>
    <t>LOD 350 Landscape</t>
  </si>
  <si>
    <t>LOD 350 Clubhouse—Outdoor Spaces and Pool</t>
  </si>
  <si>
    <t>LOD 350 Community spaces [Board Walk, Children play area]</t>
  </si>
  <si>
    <t>LOD 350 R25P Default and It's Variants</t>
  </si>
  <si>
    <t>Shahbaaz</t>
  </si>
  <si>
    <t>Jayashankar</t>
  </si>
  <si>
    <t>LOD 350 T08 - ISS - Foundations &amp; Grade Slab</t>
  </si>
  <si>
    <t>Nadeem</t>
  </si>
  <si>
    <t>LOD 350 T08 - ISS - Podium Slab</t>
  </si>
  <si>
    <t>LOD 350 T08 - ISS - Parking Level Subgrade</t>
  </si>
  <si>
    <t>Karthik</t>
  </si>
  <si>
    <t>Hareesha
Praveen</t>
  </si>
  <si>
    <t>Hanumanthraya
Shreedhar
Sandeep</t>
  </si>
  <si>
    <t>LOD 350 ISS - Foundation and Gradeslab</t>
  </si>
  <si>
    <t>LOD 350 L20 Default and it's variants</t>
  </si>
  <si>
    <t>LOD 350 D35 Default and it's variants</t>
  </si>
  <si>
    <t>LOD 350 L22 Default and It's Variants</t>
  </si>
  <si>
    <t>LOD 350 T08-Clubhouse—Interiors and Facilities</t>
  </si>
  <si>
    <t>Dinakar Venugopal</t>
  </si>
  <si>
    <t>Aishwarya Hegde</t>
  </si>
  <si>
    <t>Sheethal Prabhu</t>
  </si>
  <si>
    <t>Anand Thoppil</t>
  </si>
  <si>
    <t>LoD 350 - Master Plan | Site Development</t>
  </si>
  <si>
    <t>Raghavendra</t>
  </si>
  <si>
    <t>Vinay</t>
  </si>
  <si>
    <t>LoD 350 - Amenities &amp; Facilities |  Clubhouse—Outdoor Spaces and Pool</t>
  </si>
  <si>
    <t xml:space="preserve">LoD 350 - Amenities &amp; Facilities |  Community spaces </t>
  </si>
  <si>
    <t>Syed Musharaff</t>
  </si>
  <si>
    <t>LoD 350 -Experience Home + Project Experience [ V35 ]</t>
  </si>
  <si>
    <t xml:space="preserve">Theodora Rodrigues </t>
  </si>
  <si>
    <t>Thomas Pradip Moreira</t>
  </si>
  <si>
    <t>Harshitha</t>
  </si>
  <si>
    <t>LoD 350 - Master Plan | Site MEP</t>
  </si>
  <si>
    <t>Complete the project except site development and site MEP</t>
  </si>
  <si>
    <t>LoD 350 - Tower—06 | Habitable Level 01</t>
  </si>
  <si>
    <t>Akarsh Vagman</t>
  </si>
  <si>
    <t>Hruthika Mylar</t>
  </si>
  <si>
    <t>Khushi Shetty</t>
  </si>
  <si>
    <t>LoD 350 - Tower—07 | Habitable Level 01</t>
  </si>
  <si>
    <t>LoD 350 - Tower—05 | Building Envelope and Common Areas [Penthouse Levels And Terrace Level]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</si>
  <si>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</si>
  <si>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</si>
  <si>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</si>
  <si>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LoD 350 - ISS 5&amp;6 | Podium Slab</t>
  </si>
  <si>
    <t>LoD 350 - ISS 7 | Podium Slab</t>
  </si>
  <si>
    <t>LoD 350 - ISS 5&amp;6 | Building Envelope and Common Areas</t>
  </si>
  <si>
    <t>LoD 350 - ISS 7 | Building Envelope and Common Areas</t>
  </si>
  <si>
    <t>Complete the project except site development and site MEP &amp; STP</t>
  </si>
  <si>
    <t>LoD 350 - Tower 06 | Habitable Level - Even</t>
  </si>
  <si>
    <t>Antony</t>
  </si>
  <si>
    <t>Closed</t>
  </si>
  <si>
    <t>LoD 350 - Tower 06 | Habitable Level - Odd</t>
  </si>
  <si>
    <t>LoD 350 - Tower 07 | Habitable Level - Even</t>
  </si>
  <si>
    <t>LoD 350 - Tower 07 | Habitable Level - Odd</t>
  </si>
  <si>
    <t>LoD 350 - ISS5&amp;6 | Structrural Slab 01 [Basement]</t>
  </si>
  <si>
    <t>Darshan K</t>
  </si>
  <si>
    <t xml:space="preserve">LoD 350 - ISS 7 | Structrural Slab 01 [Basement] </t>
  </si>
  <si>
    <t>LoD 350 - Tower 05 | Terrace Level</t>
  </si>
  <si>
    <t>LoD 350 - Tower 06 | Terrace Level</t>
  </si>
  <si>
    <t>LoD 350 - Tower 07 | Terrace Level</t>
  </si>
  <si>
    <t>LoD 350 - ISS5&amp;6 | Podium Slab</t>
  </si>
  <si>
    <t>Ajmal (after finishing ATR Site MEP works) &amp; New resource hired, joining in July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</si>
  <si>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</si>
  <si>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</si>
  <si>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</si>
  <si>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</si>
  <si>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LoD 350 - ISS 9 | Foundations &amp; Grade Slab</t>
  </si>
  <si>
    <t>Sahana</t>
  </si>
  <si>
    <t>LoD 350 - ISS 9 | Earthwork</t>
  </si>
  <si>
    <t>Outsourced</t>
  </si>
  <si>
    <t>LoD 350 - T09 [Foundation &amp; Grade Slab], ISS09 [[Foundation &amp; Grade Slab]</t>
  </si>
  <si>
    <t>Hareesha  
Bhavya</t>
  </si>
  <si>
    <t>Byahattimath
Matsarambabu
Prem</t>
  </si>
  <si>
    <t>LoD 350 - Villa Block | Building Envelope + Plot Development</t>
  </si>
  <si>
    <t>Niashinlulu</t>
  </si>
  <si>
    <t>Akshara Rohit</t>
  </si>
  <si>
    <t>Saurabh Bothra</t>
  </si>
  <si>
    <t>LoD 350 - LoD 350 -Experience Home + Project Experience [ V35 ]</t>
  </si>
  <si>
    <t>Mazhar</t>
  </si>
  <si>
    <t>Samyukta</t>
  </si>
  <si>
    <t>LoD 350 - Villa Block | Super Structure</t>
  </si>
  <si>
    <t>LoD 350 - LoD 350 - Amenities &amp; Facilities | Community spaces [Board Walk, Children play area]</t>
  </si>
  <si>
    <t>Package Release [LoD 350 - CH structure &amp; envelope, Interiors]</t>
  </si>
  <si>
    <t>Veeresh N</t>
  </si>
  <si>
    <t>Ankita Macha</t>
  </si>
  <si>
    <t>Lavanya</t>
  </si>
  <si>
    <t>Package Release [LoD 350 - Site dev, Site MEP, CH structure &amp; Envelope]</t>
  </si>
  <si>
    <t>Shivaraj</t>
  </si>
  <si>
    <t>Saurav</t>
  </si>
  <si>
    <t>Package Release [LoD 350 - CH outdoorspaces &amp; pool]</t>
  </si>
  <si>
    <t>LoD 350 - Clubhouse—Outdoorspaces &amp; pool</t>
  </si>
  <si>
    <t>Eranna
Bhavya
Hareesha</t>
  </si>
  <si>
    <t>Avinash
Antoney
Matsarambabu</t>
  </si>
  <si>
    <t>CB Raman</t>
  </si>
  <si>
    <t>Balaji R</t>
  </si>
  <si>
    <t>Anitha K</t>
  </si>
  <si>
    <t>LoD 350 - Home Products - L21 Default and it's variants</t>
  </si>
  <si>
    <t>Aniket</t>
  </si>
  <si>
    <t>Bhavya
Hareesha</t>
  </si>
  <si>
    <t>Viresh
Matsarambabu
Byahattimath
Hanumanthraya</t>
  </si>
  <si>
    <t>Complete LoD 350 [Podium, Clubhouse &amp; Masterplan] by 26'Q2</t>
  </si>
  <si>
    <t>LoD 350 - ISS 01 - Podium Slab</t>
  </si>
  <si>
    <t>Tarush Sharma</t>
  </si>
  <si>
    <t>LoD 350 - Clubhouse: Structure and Envelope</t>
  </si>
  <si>
    <t>LoD 350 - Master Plan: Master Plan</t>
  </si>
  <si>
    <t>LoD 350 - Clubhouse: Outdoor Spaces and Pool</t>
  </si>
  <si>
    <t>LoD 350 - Master Plan: Site Development</t>
  </si>
  <si>
    <t>LoD 350 - Master Plan: Site MEP</t>
  </si>
  <si>
    <t>LoD 350 - Master Plan: Landscaping</t>
  </si>
  <si>
    <t>LoD 350: Clubhouse + Amenities - Sporting Facilities</t>
  </si>
  <si>
    <t>LoD 350 - Tower 02: Terrace Level</t>
  </si>
  <si>
    <t>Complete LoD 350 [Clubhouse &amp; Masterplan] by 26'Q2</t>
  </si>
  <si>
    <t>LoD 350 - Tower 2: Terrace Level</t>
  </si>
  <si>
    <t>Shrishail</t>
  </si>
  <si>
    <t>Arun</t>
  </si>
  <si>
    <t>New resource to be Hired</t>
  </si>
  <si>
    <t>Shubham</t>
  </si>
  <si>
    <t>Shubam(after finishing clubhouse)</t>
  </si>
  <si>
    <t>Avinash
Antoney
Shreedhar</t>
  </si>
  <si>
    <t>Complete LoD 200 by 26'Q2</t>
  </si>
  <si>
    <t>LoD 100 - Design Brief</t>
  </si>
  <si>
    <t>Sagar</t>
  </si>
  <si>
    <t>karthik</t>
  </si>
  <si>
    <t>Batches to be removed - Can be taken up once the architectural details are received.</t>
  </si>
  <si>
    <t>Complete LoD 350 - Foundation and Structure by 26'Q2</t>
  </si>
  <si>
    <t>LoD 200 - Approvals</t>
  </si>
  <si>
    <t>Complete LoD 300 by 26'Q2</t>
  </si>
  <si>
    <t>Complete LoD 200, Approvals by 26'Q2</t>
  </si>
  <si>
    <t>Avinash
Sampath
Mahadev</t>
  </si>
  <si>
    <t>Anisha</t>
  </si>
  <si>
    <t>Avinash
Ajay
Matsarambabu</t>
  </si>
  <si>
    <t>Chetan</t>
  </si>
  <si>
    <t>Complete the project  [Complete LoD 350 ]</t>
  </si>
  <si>
    <t>Theja</t>
  </si>
  <si>
    <t>Complete Schematic concept</t>
  </si>
  <si>
    <t>Tuig [V20]</t>
  </si>
  <si>
    <t>Shell + Interior GFC</t>
  </si>
  <si>
    <t>Design Specs + GFC</t>
  </si>
  <si>
    <t>Default Marketing BOQ</t>
  </si>
  <si>
    <t>Tuig [V30]</t>
  </si>
  <si>
    <t>Tuig [V40]</t>
  </si>
  <si>
    <t>Harohalli [V20]</t>
  </si>
  <si>
    <t>Harohalli [V30]</t>
  </si>
  <si>
    <t>Harohalli [V50H]</t>
  </si>
  <si>
    <t>Violet Hill [P1]</t>
  </si>
  <si>
    <t>Violet Hill [P2]</t>
  </si>
  <si>
    <t>Shreegaon [V50H]</t>
  </si>
  <si>
    <t>OTF [V60]</t>
  </si>
  <si>
    <t>OTF [V25H]</t>
  </si>
  <si>
    <t>STR Package Release [LoD 350 - Parking level subgrade]</t>
  </si>
  <si>
    <t>Charan</t>
  </si>
  <si>
    <t>STR Package Release [LoD 350 - Habitable Level 01]</t>
  </si>
  <si>
    <t>Satish</t>
  </si>
  <si>
    <t>Complete Approvals</t>
  </si>
  <si>
    <t>Mazhar ( If Villa concept is different new resource is required)</t>
  </si>
  <si>
    <t>Avinash
Deepu
Mahadev</t>
  </si>
  <si>
    <t>LOD 350 -Tower Habitable levels, MP Pkg 2</t>
  </si>
  <si>
    <t>To be shared - Naveen Y [Clearance on requirement from KS required]</t>
  </si>
  <si>
    <t>LOD 350 -Tower Habitable levels, MP Pkg 2, ISS Pkg 2</t>
  </si>
  <si>
    <t xml:space="preserve">Dhirender </t>
  </si>
  <si>
    <t>Arpitha</t>
  </si>
  <si>
    <t>LOD 350 -Tower Habitable levels, MP Pkg 1, ISS Pkg 2</t>
  </si>
  <si>
    <t>Avinash
Subash
Shreedhar</t>
  </si>
  <si>
    <t xml:space="preserve">LOD 350 - MP Pkg 1 </t>
  </si>
  <si>
    <t>LoD 300 [Marketing and Sales, Pre Construction Set], LoD 350 [Experience Home + Project Experience]</t>
  </si>
  <si>
    <t>Nischala Akkineni</t>
  </si>
  <si>
    <t>LoD 350 - Experience Home + Project Experience</t>
  </si>
  <si>
    <t>LoD 300 - Marketing and Sales</t>
  </si>
  <si>
    <t>LoD 200 [Schematic Concept], LoD 300 [Pre Construction Set]</t>
  </si>
  <si>
    <t>Raghavendra &amp; New Resource</t>
  </si>
  <si>
    <t>LoD 200 [Schematic Concept], LoD 300 [Pre Construction Set], LoD 350 [Experience Home + Project Experience]</t>
  </si>
  <si>
    <t>Prem
Matsarambabu
Byahattimath</t>
  </si>
  <si>
    <t>Complete LoD 200, Approvals &amp; Experience Homes by 26'Q2</t>
  </si>
  <si>
    <t>To be shared - Om Prakash</t>
  </si>
  <si>
    <t>Vidhi Kapadia</t>
  </si>
  <si>
    <t>Nikita Potadar</t>
  </si>
  <si>
    <t>LoD 200 - CH: Schematic Concept</t>
  </si>
  <si>
    <t>LoD 200 - CH: Approvals</t>
  </si>
  <si>
    <t>Complete LoD 200 &amp; Experience Homes by 26'Q2</t>
  </si>
  <si>
    <t>Praveen
Hareesha</t>
  </si>
  <si>
    <t>Ajay
Hanumanthraya
Byahattimath
Matsarambabu
Shreedhar</t>
  </si>
  <si>
    <t>Complete LoD 200, Approvals, Marketing &amp; Sales by 26'Q2</t>
  </si>
  <si>
    <t>Swathi S</t>
  </si>
  <si>
    <t>Akhila G</t>
  </si>
  <si>
    <t>Shadha</t>
  </si>
  <si>
    <t>LoD 200 - Marketing and Sales</t>
  </si>
  <si>
    <t>Complete LoD 200 &amp; Approvals by 26'Q2</t>
  </si>
  <si>
    <t>Deepu
Shreedhar
Byahattimath</t>
  </si>
  <si>
    <t>Fathima S</t>
  </si>
  <si>
    <t>Nanditha S</t>
  </si>
  <si>
    <t>Suganthan</t>
  </si>
  <si>
    <t>Deepu
Byahattimath
Matsarambabu</t>
  </si>
  <si>
    <t>LoD 350</t>
  </si>
  <si>
    <t>LoD 100 - Contract + Design Brief [Commercial]</t>
  </si>
  <si>
    <t>Aswin J</t>
  </si>
  <si>
    <t>Mithoon</t>
  </si>
  <si>
    <t xml:space="preserve">LoD 300 - Pre Construction Set </t>
  </si>
  <si>
    <t>LoD 350 - Project Entrance</t>
  </si>
  <si>
    <t>Raghav</t>
  </si>
  <si>
    <t>Avinash
Prem
Matsarambabu</t>
  </si>
  <si>
    <t>Aproova</t>
  </si>
  <si>
    <t>[Dsgn Brf, LOD 200 - Schematic, Approvals, LoD 350 - Exp, LoD 300 -  Pre const]</t>
  </si>
  <si>
    <t>Utpal</t>
  </si>
  <si>
    <t>Megha</t>
  </si>
  <si>
    <t>LoD 350 - Project Experience</t>
  </si>
  <si>
    <t>[LOD 200 - Schematic]</t>
  </si>
  <si>
    <t>[LOD 200 - Schematic,LoD 350 - Exp, LoD 300 -  Pre const]</t>
  </si>
  <si>
    <t>LoD 300 - Pre-construction Set</t>
  </si>
  <si>
    <t>[LOD 200 - Schematic, Approvals, LoD 350 - Exp, LoD 300 -  Pre const]</t>
  </si>
  <si>
    <t>Eranna
Praveen</t>
  </si>
  <si>
    <t>Avinash
Prateesha
Deepu</t>
  </si>
  <si>
    <t xml:space="preserve">Shreegaon [61.6a] </t>
  </si>
  <si>
    <t>Manali</t>
  </si>
  <si>
    <t>Package Release [till LoD 200 - Schematic Concept]</t>
  </si>
  <si>
    <t>Eranna
Bhavya</t>
  </si>
  <si>
    <t>Violet Hill [21.76a]</t>
  </si>
  <si>
    <t>Package Release [till LoD 350 - Infra - Plot Boundary &amp; Enclosures]</t>
  </si>
  <si>
    <t>LoD 350 - Project Experience [Sales Lounge, Model Road]</t>
  </si>
  <si>
    <t>LoD 350 - Infra - Grading</t>
  </si>
  <si>
    <t>LoD 350 - Infra - MEP</t>
  </si>
  <si>
    <t>Package Release [till LoD 200 - Approvals]</t>
  </si>
  <si>
    <t>Satish/Lincy</t>
  </si>
  <si>
    <t>Alwin/Subramanya</t>
  </si>
  <si>
    <t>LoD 350 - Structures - Security Cabin and Entrance [Rework]</t>
  </si>
  <si>
    <t>Package Release [till LoD 350 - Structures - Security Cabin and Entrance]</t>
  </si>
  <si>
    <t>LoD 350 - BOQ &amp; Technical Specifications</t>
  </si>
  <si>
    <t>LoD 350 - Infra - Coordinated</t>
  </si>
  <si>
    <t>Apoorva
Gouri</t>
  </si>
  <si>
    <t>LoD 350 - Structures - Security Cabin and Entrance</t>
  </si>
  <si>
    <t>Violet Hill [27.08a]</t>
  </si>
  <si>
    <t>Package Release [till LoD 300 - Pre Construction Set]</t>
  </si>
  <si>
    <t>Byatarayanpura [behind Mall of Asia]</t>
  </si>
  <si>
    <t>Byatarayanpura</t>
  </si>
  <si>
    <t>LOD 350 -Tower Pkg 1, MP Pkg 1, CH Pkg 1</t>
  </si>
  <si>
    <t>Sreeja</t>
  </si>
  <si>
    <t>Sinchana</t>
  </si>
  <si>
    <t>LOD 300, LOD 350 Exp home</t>
  </si>
  <si>
    <t xml:space="preserve">LoD 100 - Contract + Design Brief </t>
  </si>
  <si>
    <t>Simran</t>
  </si>
  <si>
    <t xml:space="preserve">Package Release [Complete LoD 100, 200] </t>
  </si>
  <si>
    <t xml:space="preserve">Package Release [Complete LoD 200] </t>
  </si>
  <si>
    <t>Hareesha
Bhavya</t>
  </si>
  <si>
    <t>Byahattimath
Shreedhar
Viresh</t>
  </si>
  <si>
    <t>Lod100 - Design Brief</t>
  </si>
  <si>
    <t>Blue in Green</t>
  </si>
  <si>
    <t>BiG</t>
  </si>
  <si>
    <t>LOD 350 -MP, ISS, CH, Tower Habitable levels</t>
  </si>
  <si>
    <t>LoD 200 - Schematic Concept .v7 [Rework]</t>
  </si>
  <si>
    <t>Vdrhl-Plotted Dev</t>
  </si>
  <si>
    <t>Amaresh</t>
  </si>
  <si>
    <t>Critical Requirement</t>
  </si>
  <si>
    <t>Packages</t>
  </si>
  <si>
    <t>AtR Ph 1,2a,2b,2c</t>
  </si>
  <si>
    <t>LoD 350 - Clubhouse + Amenities [Auditoruim Drawings + BOQ] [Tennis Court Structural drawings]
LoD 350 - Master Plan - Site MEP [DG Panel Room drawings ] - Ph2c</t>
  </si>
  <si>
    <t>AtR Ph 3</t>
  </si>
  <si>
    <t xml:space="preserve">
LoD 350 - Foundations and Sub-Grade Structure - Villa Block 29 [V45 Structural Drawings]; Villa Block 30, 34 [V30, V50 Structural Drawings]
LoD 350 - Home Products - V45 Default and it's variants
LoD 300 - Pre Construction Set [V80]</t>
  </si>
  <si>
    <t>LoD 350 - Master Plan - Site Development [Compound wall Details, Entry/Exit Gate Details and Security Room] 
LoD 350 - Master Plan - Site MEP [OWC, Transformer yard, STP, UGT, Stormwater Trench Details]
LoD 350 - Tower-[Commercial] - Habitable Level 3-5 [ Slab and Sleeve details for SSL 7&amp;8]</t>
  </si>
  <si>
    <t xml:space="preserve">Sports Complex [Structural drawings], West Boundary Wall Detail - 03,                                                                                                                                                                                                                                                                                                                                                                                                                                                                                           V40 Building Envelope Drawings                                          </t>
  </si>
  <si>
    <t>Podium/ISS - Foundations &amp; Grade Slab [Setting out drawings, Wall details], 
R25, D35, L20, L22 Default closure.</t>
  </si>
  <si>
    <t>ST - Clubhouse drawings [Storm water tank, Sewage tank]; Tree avenue details, Play equipment details.</t>
  </si>
  <si>
    <t>Podium Slab - Structural details</t>
  </si>
  <si>
    <t>Tower column, ramp, staircase, lift core wall structural details</t>
  </si>
  <si>
    <t>Service yard 2 structural details [STP, Storm water tank]</t>
  </si>
  <si>
    <t>LoD 350 - Clubhouse—Concept finalization &amp; Structural drawings revision, Amphitheatre &amp; swimming pool dwgs</t>
  </si>
  <si>
    <t>Tower 1-5 All structural drawings
All Podium/Extended Basement Structural Drawings
Home Products - I20 and I25, L21 Default and it's variants</t>
  </si>
  <si>
    <t>Service Block - All drawings
Master Plan - AR- Site Development [Boundary Wall, Entrance Gate, Security Cabin and Access Road Details]
Site MEP [Transformer Yard, DG Yard]</t>
  </si>
  <si>
    <t>LoD 100 Concept finalisation</t>
  </si>
  <si>
    <t>LoD 300 Pre Construction</t>
  </si>
  <si>
    <t>LoD 350 [SSL-3,4,5] Structural drawings, LoD 350 MEP [Electrical layouts - All levels]</t>
  </si>
  <si>
    <t>LoD 350 - Building Envelope + Plot Development, Interiors. [On-Site works on hold]</t>
  </si>
  <si>
    <t>LoD 100 - Concept finalisation with client</t>
  </si>
  <si>
    <t>Tuig [V20, V30, V40, Site plan and Sales office], Harohalli [V60], OTF [V25]</t>
  </si>
  <si>
    <t>Tuig [V20, V30, V40], Harohalli [V20, V30, V50H], Violet hill - P1,P2, Shreegaon [V50H], OTF [V60, V25H]</t>
  </si>
  <si>
    <t>V40 - PoaRR 51, 66</t>
  </si>
  <si>
    <t>LoD 200 Schematic concept, Approvals</t>
  </si>
  <si>
    <t>LoD 200 Schematic concept</t>
  </si>
  <si>
    <t>Experience Home + Project Experience; LoD 300 - Pre Construction Set; LoD 300 - Marketing and Sales</t>
  </si>
  <si>
    <t>LoD 300 Pre Construction, Approvals, Experience home and Sales lounge</t>
  </si>
  <si>
    <t>LoD 300 Pre Construction, Approvals</t>
  </si>
  <si>
    <t>LoD 200  by Jul'26. LoD 350 - Project Entrance by Jul'26. Approvals by Aug'26</t>
  </si>
  <si>
    <t>LoD 200 Schematic concept finalization [Master plan]</t>
  </si>
  <si>
    <t xml:space="preserve">LoD 200 Schematic concept </t>
  </si>
  <si>
    <t xml:space="preserve">LoD 350 - Structures - Security Cabin and Entrance </t>
  </si>
  <si>
    <t>LoD 100 Concept finalisation, LoD 200 Schematic concept, Approvals</t>
  </si>
  <si>
    <t>LoD 100 Concept finalisation, Approvals</t>
  </si>
  <si>
    <t>Nava Raipur</t>
  </si>
  <si>
    <t>FY 2026-27 Q2 | Design Goals + Billing</t>
  </si>
  <si>
    <t>LoD 350 - Home Products - V80 Default and it's variants</t>
  </si>
  <si>
    <t xml:space="preserve">LoD 350 - Villa Block 33 - Building Envelope + Plot Development </t>
  </si>
  <si>
    <t>Package Release [Complete LoD 350  ]</t>
  </si>
  <si>
    <t xml:space="preserve">LoD 350 - Villa Block 33 - Foundations and Sub-Grade Structure </t>
  </si>
  <si>
    <t xml:space="preserve">LoD 350 - Villa Block 33 - Super Structure  </t>
  </si>
  <si>
    <t>LoD 350 - Tower-[Commercial] - Habitable Level 6-10</t>
  </si>
  <si>
    <t>LoD 350 - Tower-[Commercial] - Terrace Level</t>
  </si>
  <si>
    <t>LOD 350 R25 Default [Modification for Dry Wall]</t>
  </si>
  <si>
    <t>LOD 350 T08-Clubhouse—Outdoor Spaces and Pool</t>
  </si>
  <si>
    <t>LOD 350 T08-Community spaces [Board Walk, Children play area]</t>
  </si>
  <si>
    <t>Tree Avenue details, Play equipment selection pending</t>
  </si>
  <si>
    <t>LoD 350 - Tower—05 | Habitable Level 01</t>
  </si>
  <si>
    <t>LoD 350 - ISS5&amp;6 |Foundations &amp; Grade Slab</t>
  </si>
  <si>
    <t>LoD 350 - ISS7 | Podium Slab</t>
  </si>
  <si>
    <t>LoD 350 - ISS -Parking Level Slab - Sub grade</t>
  </si>
  <si>
    <t>Complete LoD 300</t>
  </si>
  <si>
    <t>Complete LoD 300, LoD 350 Foundation and Structure</t>
  </si>
  <si>
    <t>LoD 200 - Schematic Concept &amp; Approvals</t>
  </si>
  <si>
    <t>Sreeja P</t>
  </si>
  <si>
    <t>LoD 300 - Pre Construction</t>
  </si>
  <si>
    <t>Lincy R</t>
  </si>
  <si>
    <t>LoD 200 - Schematic Concept, Approvals</t>
  </si>
  <si>
    <t xml:space="preserve">Aparna </t>
  </si>
  <si>
    <t xml:space="preserve">Complete LoD 300, Approvals &amp; Experience Homes </t>
  </si>
  <si>
    <t>LoD 300 - Preconstruction</t>
  </si>
  <si>
    <t>LoD 300 - CH: Preconstruction</t>
  </si>
  <si>
    <t xml:space="preserve">Complete LoD 300 &amp; Experience Homes </t>
  </si>
  <si>
    <t xml:space="preserve">Complete LoD 300, Approvals, Marketing &amp; Sales </t>
  </si>
  <si>
    <t xml:space="preserve">Complete LoD 300 </t>
  </si>
  <si>
    <t xml:space="preserve">Complete LoD 300 &amp; Approvals </t>
  </si>
  <si>
    <t>Complete LoD 300 &amp; Approvals</t>
  </si>
  <si>
    <t>LOD 350 - MP Pkg 1, Project Entrance</t>
  </si>
  <si>
    <t>Aparna S</t>
  </si>
  <si>
    <t>[Dsgn Brf, LOD 200 - Schematic, Approvals]</t>
  </si>
  <si>
    <t>[LOD 200 - Schematic, Approvals]</t>
  </si>
  <si>
    <t>Package Release [Lod 200 -Schematic Concept &amp; Approvals]</t>
  </si>
  <si>
    <t xml:space="preserve"> Approvals</t>
  </si>
  <si>
    <t>Package Release [LoD 200 - Schematic Concept]</t>
  </si>
  <si>
    <t>Package Release [ LoD 200 - Schematic Concept]</t>
  </si>
  <si>
    <t>Package Release [till LoD 350 - Infra - Signage &amp; Street Lighting]</t>
  </si>
  <si>
    <t>Lod 350 - Infra - Signage &amp; Street Lighting</t>
  </si>
  <si>
    <t>Ph1</t>
  </si>
  <si>
    <t>satish</t>
  </si>
  <si>
    <t>Swathi</t>
  </si>
  <si>
    <t>Interior Design + Product Development</t>
  </si>
  <si>
    <t>ID</t>
  </si>
  <si>
    <t>PD Launch</t>
  </si>
  <si>
    <t xml:space="preserve">ITQE [L25] - Pending Variants </t>
  </si>
  <si>
    <t>OTR [V25]</t>
  </si>
  <si>
    <t>POARR [R25, D35, L20]</t>
  </si>
  <si>
    <t>DBTW [I20, I25, L21]</t>
  </si>
  <si>
    <t>Personalised Customisation</t>
  </si>
  <si>
    <t>PID</t>
  </si>
  <si>
    <t>POARR</t>
  </si>
  <si>
    <t>ATR , POARR</t>
  </si>
  <si>
    <t>TMD, POARR, SFTW</t>
  </si>
  <si>
    <t>IDPD</t>
  </si>
  <si>
    <t>Exp Homes</t>
  </si>
  <si>
    <t xml:space="preserve">itqE </t>
  </si>
  <si>
    <t>Shweta V</t>
  </si>
  <si>
    <t>itqE  i20- Experience Home Furniture and Furnishing</t>
  </si>
  <si>
    <t>itqE  i25- Experience Home Furniture and Furnishing</t>
  </si>
  <si>
    <t>ItqE V35-Experience Home Furniture and Furnishing</t>
  </si>
  <si>
    <t>Srjp</t>
  </si>
  <si>
    <t>Srjp i20- Experience Home Furniture and Furnishing</t>
  </si>
  <si>
    <t>Srjp i25- Experience Home Furniture and Furnishing</t>
  </si>
  <si>
    <t>Srjp D35- Experience Home Furniture and Furnishing</t>
  </si>
  <si>
    <t>Srjp L21- Experience Home Furniture and Furnishing</t>
  </si>
  <si>
    <t>Product Development</t>
  </si>
  <si>
    <t>PD</t>
  </si>
  <si>
    <t>(i) Based on Shibanee's designs-2 themes due. 1 theme namely "Open Tennon theme" WIP (Viveka)</t>
  </si>
  <si>
    <t>(ii) Cabinetry : Sectional sofas, Dressers, Puja Units, Bar unit, Utility, consoles, Dining, woven frames furniture theme (Viveka)</t>
  </si>
  <si>
    <t>Project Entrance gate (Sushan)</t>
  </si>
  <si>
    <t>Fabric Craft</t>
  </si>
  <si>
    <t>Soft furnishing for all experience homes except V35</t>
  </si>
  <si>
    <t>Villa 18 - Store selections</t>
  </si>
  <si>
    <t>Billing</t>
  </si>
  <si>
    <t>Personalised</t>
  </si>
  <si>
    <t>Default</t>
  </si>
  <si>
    <t>ID Units</t>
  </si>
  <si>
    <t>FY26-27 Q2</t>
  </si>
  <si>
    <t>Row Labels</t>
  </si>
  <si>
    <t>Sum of Plan - Billing [Cr.]</t>
  </si>
  <si>
    <t>Count of Plan - Pkgs</t>
  </si>
  <si>
    <t>Jul-Sept BL0</t>
  </si>
  <si>
    <t>Area</t>
  </si>
  <si>
    <t>ID revenue</t>
  </si>
  <si>
    <t>Atul [Personalised]</t>
  </si>
  <si>
    <t>Saji [Personalised]</t>
  </si>
  <si>
    <t>Navneet [Total]</t>
  </si>
  <si>
    <t>E-Design</t>
  </si>
  <si>
    <t>Edesign</t>
  </si>
  <si>
    <t>Grand Total</t>
  </si>
  <si>
    <t>FY 2026-27 Q2 | Design Goals + Billing | Cijey M</t>
  </si>
  <si>
    <t>FY 2026-27 Q2 | Design Goals + Billing | Saji A</t>
  </si>
  <si>
    <t>LOD 350 L22 Default and variants</t>
  </si>
  <si>
    <t>FY 2026-27 Q2 | Design Goals + Billing | Om Prakash</t>
  </si>
  <si>
    <t>FY 2026-27 Q2 | Design Goals + Billing | Naveen Y</t>
  </si>
  <si>
    <t>FY 2026-27 Q2 | Design Goals + Billing | Manik G</t>
  </si>
  <si>
    <t>FY 2026-27 Q2 | Design Goals + Billing | Gaganjit S</t>
  </si>
  <si>
    <t>LoD 300 - Pre Construction Set, Approvals</t>
  </si>
  <si>
    <t>FY 2026-27 Q2 | Design Goals + Billing | Navneet K</t>
  </si>
  <si>
    <t>ATR, POARR, ITQE, TMFT, SFTW, TMD</t>
  </si>
  <si>
    <t>FY 2026-27 Q2 | Design Goals + Billing | Shweta V</t>
  </si>
  <si>
    <t>FY 2026-27 Q2 | Design Goals + Billing | Prakash C</t>
  </si>
  <si>
    <t>FY 2026-27 Q2 | Design Goals + Billing | Atul P</t>
  </si>
  <si>
    <t>Pkg</t>
  </si>
  <si>
    <t>Billing - Q2</t>
  </si>
  <si>
    <t>ID GFC - Q2</t>
  </si>
  <si>
    <t>T</t>
  </si>
  <si>
    <t>Release all GFCs to complete the project design</t>
  </si>
  <si>
    <t>Structural Drawings for all Villas</t>
  </si>
  <si>
    <t>V45 Default</t>
  </si>
  <si>
    <t>Commercial</t>
  </si>
  <si>
    <t>T1-7 + Villas</t>
  </si>
  <si>
    <t>V40 Structural Drawings and Envelope</t>
  </si>
  <si>
    <t>Release all GFCs to complete the project design for T1-7 + Villas [Except Sports complex]</t>
  </si>
  <si>
    <t>T8</t>
  </si>
  <si>
    <t>All Structural drawings</t>
  </si>
  <si>
    <t>Default Products [L20, L22 and D35]</t>
  </si>
  <si>
    <t>itQE</t>
  </si>
  <si>
    <t>Site development and Clubhouse Structural Drawings</t>
  </si>
  <si>
    <t>Ph2a</t>
  </si>
  <si>
    <t>Experience Home [ V35 ]</t>
  </si>
  <si>
    <t>Ph2b</t>
  </si>
  <si>
    <t>All Podium and Tower Structural Drawings</t>
  </si>
  <si>
    <t>Site Development + Site MEP Drawings</t>
  </si>
  <si>
    <t>Ph2c [T9]</t>
  </si>
  <si>
    <t>Foundation and SSL 1 Drawings</t>
  </si>
  <si>
    <t>Concept to be closed</t>
  </si>
  <si>
    <t>Pre-Construction Set</t>
  </si>
  <si>
    <t>Structural GFCs + Masonry + Envelope</t>
  </si>
  <si>
    <t>Indira Nagar residence</t>
  </si>
  <si>
    <t>Interiors GFC</t>
  </si>
  <si>
    <t>OtR Museum</t>
  </si>
  <si>
    <t>Full kit Homes</t>
  </si>
  <si>
    <t>Package Release [Complete Approvals by Q2]</t>
  </si>
  <si>
    <t>Package Release [LOD 350 -Tower Habitable levels, MP Pkg 2, ISS Pkg 2 by 27'Q1]</t>
  </si>
  <si>
    <t>Package Release [LOD 350 - Towers, Experience Homes, Clubhouse and Approvals by 27'Q1]</t>
  </si>
  <si>
    <t>Package Release [LOD 350 - Towers by 27'Q1]</t>
  </si>
  <si>
    <t>Package release [LoD 350 by 27'Q1]</t>
  </si>
  <si>
    <t>Package Release [Dsgn Brf, LOD 200, Approvals, Exp, LoD 300, LoD 350 Package 1 -9 by Q1'27]</t>
  </si>
  <si>
    <t>Package Release [LOD 350 -Tower Pkg 1, MP Pkg 1, ISS Pkg 1, CH Pkg 1 by 27'Q1]</t>
  </si>
  <si>
    <t>Package Release [LOD 300, LOD 350 Exp home by 27'Q1]</t>
  </si>
  <si>
    <t>Package Release [Complete LoD 100, 200] by 26Q2</t>
  </si>
  <si>
    <t>Package Release [LOD 350 -MP, ISS, CH, Tower Habitable levels by 27'Q1]</t>
  </si>
  <si>
    <t>Package Release[Dsgn Brf, LOD 200, Approvals, LOD 300, Exp Home]</t>
  </si>
  <si>
    <t>Package release [Dsgn Brf, LOD 200, Approvals, LOD 300, Exp Home]</t>
  </si>
  <si>
    <t>Atr Commercial</t>
  </si>
  <si>
    <t>Entrance gate to be designed by product design team</t>
  </si>
  <si>
    <t>Staff dining and food court moved to level 2, concept to be presented to Shibanee ma'am on 14th April</t>
  </si>
  <si>
    <t>Sarjapur North Block Schematic to be presented to Shibanee Ma'am on 21st, Fire tower requirement to be checked with liaisioning consultant</t>
  </si>
  <si>
    <t>MEP constulant to be closed by 15th April</t>
  </si>
  <si>
    <t xml:space="preserve">Elevator Consultant PO with </t>
  </si>
  <si>
    <t>Boundary Wall and Entrance by 17th Aprl</t>
  </si>
  <si>
    <t>L22 Workshop</t>
  </si>
  <si>
    <t>Target closure by 30-May'26</t>
  </si>
  <si>
    <t>R25 Workshop</t>
  </si>
  <si>
    <t>by 10-Apr'26</t>
  </si>
  <si>
    <t>L20, D35 - Signoffs</t>
  </si>
  <si>
    <t>V80 Workshop</t>
  </si>
  <si>
    <t>09-Apr'26 [9.30am]</t>
  </si>
  <si>
    <t>Violet hill - Sales lounge std</t>
  </si>
  <si>
    <t>Workshop this week</t>
  </si>
  <si>
    <t>AtR-C [Staff dining]</t>
  </si>
  <si>
    <t>14-Apr'26</t>
  </si>
  <si>
    <t>Srjp-NB [C]</t>
  </si>
  <si>
    <t>21-Apr'26</t>
  </si>
  <si>
    <t>DbtW Workshop on Site Dev + MEP and Schematic</t>
  </si>
  <si>
    <t>Master Spec to be closed from DBTW and Think design point of view</t>
  </si>
  <si>
    <t xml:space="preserve">ATR clubhouse badminton </t>
  </si>
  <si>
    <t>DbtW clubhouse envelope, the experience home portion</t>
  </si>
  <si>
    <t>DbtW Skywalk concept closure in May</t>
  </si>
  <si>
    <t>DbtW Temporary Infrastructure scheme - PD</t>
  </si>
  <si>
    <t xml:space="preserve">SFTW need to get back to Shibanee ma'am, based on the </t>
  </si>
  <si>
    <t>TUIG clubhouse workshop next week</t>
  </si>
  <si>
    <t>Tower 9, Initital pile load test [Critical]</t>
  </si>
  <si>
    <t>Plan 26Q1</t>
  </si>
  <si>
    <t>Actual 26Q1</t>
  </si>
  <si>
    <t>AR</t>
  </si>
  <si>
    <t>STR</t>
  </si>
  <si>
    <t>LDS</t>
  </si>
  <si>
    <t>Auditorium Drawings</t>
  </si>
  <si>
    <t>Staff Lounge Drawings</t>
  </si>
  <si>
    <t>STP-2 Drawings</t>
  </si>
  <si>
    <t>UGT-2 Drawings</t>
  </si>
  <si>
    <t>Panel Room-2 Drawings</t>
  </si>
  <si>
    <t>Tennis Court Drawings</t>
  </si>
  <si>
    <t>Gas Bank-2 Drawings</t>
  </si>
  <si>
    <t>Badminton Court Roof Drawings</t>
  </si>
  <si>
    <t>Chamber Setting Out  – Villa Cluster 03</t>
  </si>
  <si>
    <t>Gas Pipeline Routing</t>
  </si>
  <si>
    <t>End Villa Wirecut details</t>
  </si>
  <si>
    <t>Garden Landscape Detail</t>
  </si>
  <si>
    <t>Wooden Deck Detail</t>
  </si>
  <si>
    <t>IBMS Room GFC Set</t>
  </si>
  <si>
    <t>Part Sections 1, 2, 3</t>
  </si>
  <si>
    <t>West Boundary Wall Detail - 03</t>
  </si>
  <si>
    <t>V40 Side Compound Wall</t>
  </si>
  <si>
    <t>Phase 2 Signage Plan</t>
  </si>
  <si>
    <t>Phase 2 Signage Details</t>
  </si>
  <si>
    <t>Enclosure And Fencing Details - 1</t>
  </si>
  <si>
    <t>Compound Wall And Boundary Walls (Master Plan Showing Boundary Wall Extent Details)</t>
  </si>
  <si>
    <t>Pool Deck Drainage Routing</t>
  </si>
  <si>
    <t>Recharge pit details</t>
  </si>
  <si>
    <t>Heated pool details</t>
  </si>
  <si>
    <t>Swimming pool details</t>
  </si>
  <si>
    <t>Clubhouse storm water tank details</t>
  </si>
  <si>
    <t>Clubhosue sewage tank details</t>
  </si>
  <si>
    <t>Filteration room details</t>
  </si>
  <si>
    <t>Tree Avenue details</t>
  </si>
  <si>
    <t>Boundary wall details</t>
  </si>
  <si>
    <t>Internal Staircase details</t>
  </si>
  <si>
    <t>Electrical room cutout and sleeve details</t>
  </si>
  <si>
    <t>SSL 22 - Slab details</t>
  </si>
  <si>
    <t>SSL 21 - Slab details</t>
  </si>
  <si>
    <t>SSL 01 - Slab details</t>
  </si>
  <si>
    <t>STP details</t>
  </si>
  <si>
    <t>Exposed Brick masonry details</t>
  </si>
  <si>
    <t>Site plan setting out drawing</t>
  </si>
  <si>
    <t>Manhole details</t>
  </si>
  <si>
    <t>West boundary wall details</t>
  </si>
  <si>
    <t>Entrance area gate details</t>
  </si>
  <si>
    <t>Security cabin details</t>
  </si>
  <si>
    <t>PMD room details</t>
  </si>
  <si>
    <t>Pool filteration details</t>
  </si>
  <si>
    <t>Approach road details</t>
  </si>
  <si>
    <t>Living water body</t>
  </si>
  <si>
    <t>Road Services chamber details</t>
  </si>
  <si>
    <t>Play area and out door gym equipment foundation details</t>
  </si>
  <si>
    <t>Swimming pool drawings</t>
  </si>
  <si>
    <t>Lawn tennis &amp; basket ball details with fencing</t>
  </si>
  <si>
    <t>North Boundary wall</t>
  </si>
  <si>
    <t>Landscape area - Feature wall &amp; typical structural details</t>
  </si>
  <si>
    <t xml:space="preserve">OWC </t>
  </si>
  <si>
    <t>WTP &amp; STP - Upstand details for equipment</t>
  </si>
  <si>
    <t>Amphitheatre area drawings</t>
  </si>
  <si>
    <t>Clubhouse—Interior &amp; Facilities</t>
  </si>
  <si>
    <t>Electrical external lighting layout</t>
  </si>
  <si>
    <t>Complete swimming pool drawings</t>
  </si>
  <si>
    <t>LoD 350 - Clubhouse— Outdoor Spaces</t>
  </si>
  <si>
    <t>Inspection Chamber [Type III]</t>
  </si>
  <si>
    <t>Setting Out Plan</t>
  </si>
  <si>
    <t>Waterproofing Layout SSL 02</t>
  </si>
  <si>
    <t>Typical Level:Column[Above SSL10] &amp; Beam GFCs[Above SSL8]</t>
  </si>
  <si>
    <t>SSL 3 - Slab and Sleeve GFCs</t>
  </si>
  <si>
    <t>Typical Level:Column[Above SSL10] &amp;Slab, Sleeve GFCs</t>
  </si>
  <si>
    <t>Foundation Layout and Raft Reinforcement Details</t>
  </si>
  <si>
    <t>Ground level and gym roof layouts</t>
  </si>
  <si>
    <t>Gym spiral Staircase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</si>
  <si>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</si>
  <si>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</si>
  <si>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</si>
  <si>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</si>
  <si>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</si>
  <si>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Project Experience + Project Entrance</t>
  </si>
  <si>
    <t>Clubhouse - Roof design finalisation pending</t>
  </si>
  <si>
    <r>
      <rPr>
        <b/>
        <sz val="10"/>
        <color rgb="FF000000"/>
        <rFont val="Helvetica Neue Light"/>
        <family val="2"/>
      </rPr>
      <t>Schematic for F&amp;B + workcation block</t>
    </r>
    <r>
      <rPr>
        <sz val="10"/>
        <color rgb="FF000000"/>
        <rFont val="Helvetica Neue Light"/>
        <family val="2"/>
      </rPr>
      <t xml:space="preserve"> [dependency on architects to provide the layout - work in progress]</t>
    </r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</si>
  <si>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</si>
  <si>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</si>
  <si>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</si>
  <si>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</si>
  <si>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</si>
  <si>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</si>
  <si>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</si>
  <si>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</si>
  <si>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</si>
  <si>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</si>
  <si>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</si>
  <si>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</si>
  <si>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</si>
  <si>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</si>
  <si>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</si>
  <si>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</si>
  <si>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</si>
  <si>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</si>
  <si>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</si>
  <si>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</si>
  <si>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</si>
  <si>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</si>
  <si>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</si>
  <si>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</si>
  <si>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</si>
  <si>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</si>
  <si>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</si>
  <si>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</si>
  <si>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</si>
  <si>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</si>
  <si>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</si>
  <si>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</si>
  <si>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</si>
  <si>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</si>
  <si>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</si>
  <si>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</si>
  <si>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</si>
  <si>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</si>
  <si>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</si>
  <si>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</si>
  <si>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</si>
  <si>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</si>
  <si>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</si>
  <si>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</si>
  <si>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</si>
  <si>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</si>
  <si>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</si>
  <si>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</si>
  <si>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</si>
  <si>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</si>
  <si>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</si>
  <si>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</si>
  <si>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</si>
  <si>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</si>
  <si>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</si>
  <si>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</si>
  <si>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</si>
  <si>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</si>
  <si>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</si>
  <si>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</si>
  <si>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</si>
  <si>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</si>
  <si>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</si>
  <si>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</si>
  <si>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</si>
  <si>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</si>
  <si>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</si>
  <si>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</si>
  <si>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</si>
  <si>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</si>
  <si>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</si>
  <si>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</si>
  <si>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</si>
  <si>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</si>
  <si>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</si>
  <si>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</si>
  <si>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</si>
  <si>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</si>
  <si>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</si>
  <si>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</si>
  <si>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</si>
  <si>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</si>
  <si>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</si>
  <si>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</si>
  <si>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</si>
  <si>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</si>
  <si>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</si>
  <si>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</si>
  <si>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</si>
  <si>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</si>
  <si>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</si>
  <si>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</si>
  <si>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</si>
  <si>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</si>
  <si>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</si>
  <si>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</si>
  <si>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</si>
  <si>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Responsible</t>
  </si>
  <si>
    <t>Release Date</t>
  </si>
  <si>
    <t>Step 1</t>
  </si>
  <si>
    <t>Step 2</t>
  </si>
  <si>
    <t>Task description 1</t>
  </si>
  <si>
    <t>Task description 2</t>
  </si>
  <si>
    <t>User 1</t>
  </si>
  <si>
    <t>User 2</t>
  </si>
  <si>
    <t>Structure</t>
  </si>
  <si>
    <t>ST</t>
  </si>
  <si>
    <t>Completed</t>
  </si>
  <si>
    <t>Scope</t>
  </si>
  <si>
    <t>Pending</t>
  </si>
  <si>
    <t>NA</t>
  </si>
  <si>
    <t>DESIGN CONCEPT</t>
  </si>
  <si>
    <t>CONSTRUCTION DOCUMENTS</t>
  </si>
  <si>
    <t>POST-CONSTRUCTION</t>
  </si>
  <si>
    <t xml:space="preserve">Complete set of "As-Built" drawings, final BoQ and project costs, </t>
  </si>
  <si>
    <t>MAJOR REWORKS</t>
  </si>
  <si>
    <t>0076 | Indiranagar Residence | Residential</t>
  </si>
  <si>
    <t>Preliminary Concepts Design</t>
  </si>
  <si>
    <t xml:space="preserve"> Foundation and Sub grade structure</t>
  </si>
  <si>
    <t>Building envelope and common area</t>
  </si>
  <si>
    <t xml:space="preserve"> Interiors</t>
  </si>
  <si>
    <t>LoD 350 -Block C - Building Envelope + Plot Development [Swimming Pool]</t>
  </si>
  <si>
    <t>GFC | Building Block—A</t>
  </si>
  <si>
    <t>GFC | Building Block—B</t>
  </si>
  <si>
    <t>GFC | Building Block—C</t>
  </si>
  <si>
    <t>Shekhar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</si>
</sst>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_(* #,##0.0_);_(* \(#,##0.0\);_(* &quot;-&quot;??_);_(@_)"/>
    <numFmt numFmtId="170" formatCode="0%;\-0%;\-;@"/>
  </numFmts>
  <fonts count="134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b/>
      <sz val="10"/>
      <color rgb="FF000000"/>
      <name val="Meta-Normal"/>
      <family val="2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sz val="8"/>
      <name val="Meta-Normal"/>
    </font>
    <font>
      <sz val="10"/>
      <color theme="4"/>
      <name val="Helvetica Neue Light"/>
      <family val="2"/>
    </font>
    <font>
      <sz val="10"/>
      <color theme="8"/>
      <name val="Helvetica Neue Light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theme="9"/>
      <name val="Helvetica Neue Light"/>
      <family val="2"/>
    </font>
    <font>
      <sz val="10"/>
      <color theme="0"/>
      <name val="Helvetica Neue Light"/>
      <family val="2"/>
    </font>
    <font>
      <sz val="10"/>
      <color theme="1"/>
      <name val="Helvetica Neue Li "/>
    </font>
    <font>
      <b/>
      <sz val="10"/>
      <color theme="1"/>
      <name val="Helvetica Neue Li "/>
    </font>
    <font>
      <sz val="10"/>
      <name val="Helvetica Neue Bold"/>
    </font>
    <font>
      <sz val="10"/>
      <color rgb="FF000000"/>
      <name val="Helvetica Neue Light"/>
      <family val="2"/>
    </font>
    <font>
      <sz val="10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b/>
      <sz val="10"/>
      <name val="Helvetica Neue Light"/>
      <family val="2"/>
    </font>
    <font>
      <sz val="9"/>
      <color rgb="FF8EA9DB"/>
      <name val="Helvetica Neue Light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Neo Sans Pro"/>
      <family val="2"/>
    </font>
    <font>
      <sz val="14"/>
      <color theme="0"/>
      <name val="Impact"/>
      <family val="2"/>
    </font>
    <font>
      <b/>
      <sz val="10"/>
      <color theme="1"/>
      <name val="Meta-Normal"/>
      <family val="3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sz val="10"/>
      <color theme="1"/>
      <name val="Meta-Normal"/>
      <family val="3"/>
    </font>
    <font>
      <b/>
      <sz val="11"/>
      <color theme="1"/>
      <name val="Meta-Normal"/>
      <family val="3"/>
    </font>
    <font>
      <b/>
      <sz val="11"/>
      <color theme="0"/>
      <name val="Meta-Normal"/>
      <family val="3"/>
    </font>
    <font>
      <sz val="14"/>
      <color theme="0"/>
      <name val="Meta-Normal"/>
      <family val="3"/>
    </font>
    <font>
      <sz val="11"/>
      <color theme="1"/>
      <name val="Meta-Normal"/>
      <family val="3"/>
    </font>
    <font>
      <sz val="9"/>
      <color theme="1"/>
      <name val="Meta-Normal"/>
      <family val="3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2">
    <xf numFmtId="0" fontId="0" fillId="0" borderId="0"/>
    <xf numFmtId="0" fontId="8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</cellStyleXfs>
  <cellXfs count="869">
    <xf numFmtId="0" fontId="0" fillId="0" borderId="0" xfId="0"/>
    <xf numFmtId="0" fontId="47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65" fontId="11" fillId="3" borderId="1" xfId="2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165" fontId="12" fillId="0" borderId="1" xfId="2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0" borderId="4" xfId="0" applyFont="1" applyBorder="1"/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4" fillId="0" borderId="1" xfId="0" applyFont="1" applyBorder="1"/>
    <xf numFmtId="0" fontId="12" fillId="4" borderId="1" xfId="0" applyFont="1" applyFill="1" applyBorder="1" applyAlignment="1">
      <alignment horizontal="left" vertical="center"/>
    </xf>
    <xf numFmtId="165" fontId="12" fillId="4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65" fontId="11" fillId="0" borderId="1" xfId="2" applyNumberFormat="1" applyFont="1" applyBorder="1" applyAlignment="1">
      <alignment horizontal="right"/>
    </xf>
    <xf numFmtId="165" fontId="11" fillId="0" borderId="1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5" fontId="10" fillId="0" borderId="1" xfId="2" applyNumberFormat="1" applyFont="1" applyBorder="1" applyAlignment="1">
      <alignment horizontal="right"/>
    </xf>
    <xf numFmtId="165" fontId="9" fillId="0" borderId="1" xfId="2" applyNumberFormat="1" applyFont="1" applyFill="1" applyBorder="1" applyAlignment="1">
      <alignment horizontal="right"/>
    </xf>
    <xf numFmtId="0" fontId="11" fillId="0" borderId="8" xfId="11" applyFont="1" applyBorder="1" applyAlignment="1">
      <alignment vertical="center" wrapText="1"/>
    </xf>
    <xf numFmtId="165" fontId="11" fillId="0" borderId="1" xfId="2" applyNumberFormat="1" applyFont="1" applyBorder="1" applyAlignment="1">
      <alignment horizontal="center"/>
    </xf>
    <xf numFmtId="165" fontId="11" fillId="0" borderId="1" xfId="2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/>
    <xf numFmtId="165" fontId="9" fillId="0" borderId="1" xfId="2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11" fillId="0" borderId="0" xfId="11" applyFont="1" applyAlignment="1">
      <alignment vertical="center" wrapText="1"/>
    </xf>
    <xf numFmtId="49" fontId="9" fillId="0" borderId="1" xfId="0" applyNumberFormat="1" applyFont="1" applyBorder="1" applyAlignment="1">
      <alignment horizontal="left" wrapText="1"/>
    </xf>
    <xf numFmtId="0" fontId="18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165" fontId="18" fillId="0" borderId="1" xfId="2" applyNumberFormat="1" applyFont="1" applyBorder="1" applyAlignment="1">
      <alignment horizontal="right"/>
    </xf>
    <xf numFmtId="165" fontId="19" fillId="3" borderId="1" xfId="2" applyNumberFormat="1" applyFont="1" applyFill="1" applyBorder="1" applyAlignment="1">
      <alignment horizontal="right"/>
    </xf>
    <xf numFmtId="165" fontId="18" fillId="2" borderId="1" xfId="2" applyNumberFormat="1" applyFont="1" applyFill="1" applyBorder="1" applyAlignment="1">
      <alignment horizontal="right"/>
    </xf>
    <xf numFmtId="0" fontId="17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right"/>
    </xf>
    <xf numFmtId="165" fontId="22" fillId="3" borderId="1" xfId="2" applyNumberFormat="1" applyFont="1" applyFill="1" applyBorder="1" applyAlignment="1">
      <alignment horizontal="right"/>
    </xf>
    <xf numFmtId="165" fontId="23" fillId="0" borderId="1" xfId="2" applyNumberFormat="1" applyFont="1" applyFill="1" applyBorder="1" applyAlignment="1">
      <alignment horizontal="right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20" fillId="0" borderId="3" xfId="0" applyFont="1" applyBorder="1"/>
    <xf numFmtId="0" fontId="21" fillId="0" borderId="5" xfId="0" applyFont="1" applyBorder="1" applyAlignment="1">
      <alignment horizontal="right"/>
    </xf>
    <xf numFmtId="0" fontId="20" fillId="0" borderId="2" xfId="0" applyFont="1" applyBorder="1" applyAlignment="1">
      <alignment horizontal="center" vertical="center"/>
    </xf>
    <xf numFmtId="0" fontId="24" fillId="3" borderId="2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wrapText="1"/>
    </xf>
    <xf numFmtId="165" fontId="23" fillId="0" borderId="5" xfId="2" applyNumberFormat="1" applyFont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5" fontId="18" fillId="2" borderId="1" xfId="2" applyNumberFormat="1" applyFont="1" applyFill="1" applyBorder="1" applyAlignment="1">
      <alignment horizontal="right" wrapText="1"/>
    </xf>
    <xf numFmtId="165" fontId="12" fillId="0" borderId="1" xfId="2" applyNumberFormat="1" applyFont="1" applyBorder="1" applyAlignment="1">
      <alignment horizontal="right" wrapText="1"/>
    </xf>
    <xf numFmtId="165" fontId="12" fillId="4" borderId="1" xfId="2" applyNumberFormat="1" applyFont="1" applyFill="1" applyBorder="1" applyAlignment="1">
      <alignment horizontal="right" wrapText="1"/>
    </xf>
    <xf numFmtId="0" fontId="15" fillId="0" borderId="6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16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/>
    </xf>
    <xf numFmtId="164" fontId="11" fillId="0" borderId="1" xfId="2" applyFont="1" applyBorder="1" applyAlignment="1">
      <alignment horizontal="left" wrapText="1"/>
    </xf>
    <xf numFmtId="164" fontId="12" fillId="4" borderId="1" xfId="2" applyFont="1" applyFill="1" applyBorder="1" applyAlignment="1">
      <alignment horizontal="right" wrapText="1"/>
    </xf>
    <xf numFmtId="164" fontId="12" fillId="4" borderId="1" xfId="2" applyFont="1" applyFill="1" applyBorder="1" applyAlignment="1">
      <alignment horizontal="right"/>
    </xf>
    <xf numFmtId="166" fontId="11" fillId="0" borderId="1" xfId="2" applyNumberFormat="1" applyFont="1" applyBorder="1" applyAlignment="1">
      <alignment horizontal="left" wrapText="1"/>
    </xf>
    <xf numFmtId="166" fontId="9" fillId="0" borderId="1" xfId="2" applyNumberFormat="1" applyFont="1" applyBorder="1" applyAlignment="1">
      <alignment horizontal="right" wrapText="1"/>
    </xf>
    <xf numFmtId="164" fontId="11" fillId="0" borderId="1" xfId="2" applyFont="1" applyFill="1" applyBorder="1" applyAlignment="1">
      <alignment horizontal="right" wrapText="1"/>
    </xf>
    <xf numFmtId="164" fontId="11" fillId="0" borderId="1" xfId="2" applyFont="1" applyBorder="1" applyAlignment="1">
      <alignment horizontal="right" wrapText="1"/>
    </xf>
    <xf numFmtId="164" fontId="9" fillId="0" borderId="7" xfId="2" applyFont="1" applyBorder="1" applyAlignment="1">
      <alignment horizontal="center" vertical="center"/>
    </xf>
    <xf numFmtId="166" fontId="9" fillId="0" borderId="1" xfId="2" applyNumberFormat="1" applyFont="1" applyBorder="1"/>
    <xf numFmtId="0" fontId="9" fillId="0" borderId="1" xfId="9" applyFont="1" applyBorder="1" applyAlignment="1">
      <alignment horizontal="left" vertical="center"/>
    </xf>
    <xf numFmtId="165" fontId="12" fillId="3" borderId="1" xfId="2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2" applyFont="1" applyBorder="1"/>
    <xf numFmtId="164" fontId="9" fillId="0" borderId="1" xfId="2" applyFont="1" applyBorder="1" applyAlignment="1">
      <alignment horizontal="left" wrapText="1"/>
    </xf>
    <xf numFmtId="164" fontId="9" fillId="0" borderId="1" xfId="2" applyFont="1" applyBorder="1" applyAlignment="1">
      <alignment horizontal="right" wrapText="1"/>
    </xf>
    <xf numFmtId="164" fontId="9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/>
    <xf numFmtId="164" fontId="9" fillId="0" borderId="1" xfId="0" applyNumberFormat="1" applyFont="1" applyBorder="1" applyAlignment="1">
      <alignment horizontal="right" wrapText="1"/>
    </xf>
    <xf numFmtId="0" fontId="15" fillId="0" borderId="6" xfId="0" applyFont="1" applyBorder="1" applyAlignment="1">
      <alignment vertical="center" wrapText="1"/>
    </xf>
    <xf numFmtId="164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right" wrapText="1"/>
    </xf>
    <xf numFmtId="164" fontId="11" fillId="0" borderId="1" xfId="0" applyNumberFormat="1" applyFont="1" applyBorder="1" applyAlignment="1">
      <alignment horizontal="left" wrapText="1"/>
    </xf>
    <xf numFmtId="164" fontId="1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164" fontId="9" fillId="0" borderId="1" xfId="2" applyFont="1" applyBorder="1" applyAlignment="1">
      <alignment wrapText="1"/>
    </xf>
    <xf numFmtId="164" fontId="11" fillId="0" borderId="1" xfId="0" applyNumberFormat="1" applyFont="1" applyBorder="1" applyAlignment="1">
      <alignment horizontal="right" wrapText="1"/>
    </xf>
    <xf numFmtId="164" fontId="9" fillId="0" borderId="1" xfId="0" applyNumberFormat="1" applyFont="1" applyBorder="1" applyAlignment="1">
      <alignment wrapText="1"/>
    </xf>
    <xf numFmtId="2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left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0" xfId="11" applyNumberFormat="1" applyFont="1" applyAlignment="1">
      <alignment vertical="center" wrapText="1"/>
    </xf>
    <xf numFmtId="0" fontId="11" fillId="0" borderId="0" xfId="0" applyFont="1" applyAlignment="1">
      <alignment horizontal="left" wrapText="1"/>
    </xf>
    <xf numFmtId="165" fontId="9" fillId="0" borderId="1" xfId="2" applyNumberFormat="1" applyFont="1" applyBorder="1" applyAlignment="1">
      <alignment horizontal="right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164" fontId="11" fillId="0" borderId="0" xfId="0" applyNumberFormat="1" applyFont="1" applyAlignment="1">
      <alignment horizontal="left" wrapText="1"/>
    </xf>
    <xf numFmtId="165" fontId="11" fillId="0" borderId="1" xfId="2" applyNumberFormat="1" applyFont="1" applyBorder="1" applyAlignment="1">
      <alignment horizontal="center" vertical="center"/>
    </xf>
    <xf numFmtId="165" fontId="11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18" fillId="2" borderId="1" xfId="2" applyNumberFormat="1" applyFont="1" applyFill="1" applyBorder="1" applyAlignment="1">
      <alignment horizontal="center" vertical="center"/>
    </xf>
    <xf numFmtId="165" fontId="12" fillId="0" borderId="1" xfId="2" applyNumberFormat="1" applyFont="1" applyBorder="1" applyAlignment="1">
      <alignment horizontal="center" vertical="center"/>
    </xf>
    <xf numFmtId="165" fontId="12" fillId="4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right" wrapText="1"/>
    </xf>
    <xf numFmtId="0" fontId="15" fillId="0" borderId="6" xfId="0" applyFont="1" applyBorder="1"/>
    <xf numFmtId="0" fontId="11" fillId="0" borderId="6" xfId="0" applyFont="1" applyBorder="1" applyAlignment="1">
      <alignment horizontal="left" wrapText="1"/>
    </xf>
    <xf numFmtId="0" fontId="11" fillId="5" borderId="6" xfId="0" applyFont="1" applyFill="1" applyBorder="1" applyAlignment="1">
      <alignment horizontal="left" wrapText="1"/>
    </xf>
    <xf numFmtId="0" fontId="11" fillId="6" borderId="6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right" wrapText="1"/>
    </xf>
    <xf numFmtId="165" fontId="26" fillId="0" borderId="1" xfId="2" applyNumberFormat="1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2" fontId="11" fillId="0" borderId="1" xfId="0" applyNumberFormat="1" applyFont="1" applyBorder="1" applyAlignment="1">
      <alignment horizontal="right" wrapText="1"/>
    </xf>
    <xf numFmtId="2" fontId="15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right" vertical="top" wrapText="1"/>
    </xf>
    <xf numFmtId="49" fontId="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vertical="center"/>
    </xf>
    <xf numFmtId="165" fontId="12" fillId="0" borderId="1" xfId="2" applyNumberFormat="1" applyFont="1" applyBorder="1" applyAlignment="1">
      <alignment horizontal="right" vertical="center"/>
    </xf>
    <xf numFmtId="165" fontId="12" fillId="3" borderId="1" xfId="2" applyNumberFormat="1" applyFont="1" applyFill="1" applyBorder="1" applyAlignment="1">
      <alignment horizontal="right" vertical="center"/>
    </xf>
    <xf numFmtId="167" fontId="11" fillId="0" borderId="1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165" fontId="23" fillId="0" borderId="1" xfId="2" applyNumberFormat="1" applyFont="1" applyBorder="1" applyAlignment="1">
      <alignment horizontal="right"/>
    </xf>
    <xf numFmtId="164" fontId="12" fillId="0" borderId="1" xfId="2" applyFont="1" applyBorder="1" applyAlignment="1">
      <alignment horizontal="right"/>
    </xf>
    <xf numFmtId="164" fontId="11" fillId="3" borderId="1" xfId="2" applyFont="1" applyFill="1" applyBorder="1" applyAlignment="1">
      <alignment horizontal="right"/>
    </xf>
    <xf numFmtId="164" fontId="12" fillId="3" borderId="1" xfId="2" applyFont="1" applyFill="1" applyBorder="1" applyAlignment="1">
      <alignment horizontal="right"/>
    </xf>
    <xf numFmtId="0" fontId="17" fillId="0" borderId="4" xfId="0" applyFont="1" applyBorder="1"/>
    <xf numFmtId="2" fontId="11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 applyAlignment="1">
      <alignment horizontal="right" vertical="center" wrapText="1"/>
    </xf>
    <xf numFmtId="0" fontId="18" fillId="2" borderId="4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9" fillId="0" borderId="6" xfId="0" applyFont="1" applyBorder="1" applyAlignment="1">
      <alignment vertical="top"/>
    </xf>
    <xf numFmtId="0" fontId="30" fillId="0" borderId="6" xfId="0" applyFont="1" applyBorder="1" applyAlignment="1">
      <alignment vertical="top"/>
    </xf>
    <xf numFmtId="0" fontId="31" fillId="7" borderId="6" xfId="0" applyFont="1" applyFill="1" applyBorder="1"/>
    <xf numFmtId="0" fontId="33" fillId="8" borderId="6" xfId="0" applyFont="1" applyFill="1" applyBorder="1"/>
    <xf numFmtId="0" fontId="34" fillId="8" borderId="6" xfId="0" applyFont="1" applyFill="1" applyBorder="1"/>
    <xf numFmtId="0" fontId="30" fillId="8" borderId="6" xfId="0" applyFont="1" applyFill="1" applyBorder="1"/>
    <xf numFmtId="0" fontId="35" fillId="8" borderId="9" xfId="0" applyFont="1" applyFill="1" applyBorder="1"/>
    <xf numFmtId="0" fontId="35" fillId="9" borderId="6" xfId="0" applyFont="1" applyFill="1" applyBorder="1"/>
    <xf numFmtId="0" fontId="36" fillId="8" borderId="6" xfId="0" applyFont="1" applyFill="1" applyBorder="1"/>
    <xf numFmtId="0" fontId="37" fillId="8" borderId="6" xfId="0" applyFont="1" applyFill="1" applyBorder="1"/>
    <xf numFmtId="3" fontId="35" fillId="8" borderId="9" xfId="0" applyNumberFormat="1" applyFont="1" applyFill="1" applyBorder="1"/>
    <xf numFmtId="0" fontId="35" fillId="8" borderId="6" xfId="0" applyFont="1" applyFill="1" applyBorder="1"/>
    <xf numFmtId="0" fontId="38" fillId="8" borderId="6" xfId="0" applyFont="1" applyFill="1" applyBorder="1"/>
    <xf numFmtId="0" fontId="29" fillId="8" borderId="6" xfId="0" applyFont="1" applyFill="1" applyBorder="1"/>
    <xf numFmtId="0" fontId="35" fillId="8" borderId="9" xfId="0" quotePrefix="1" applyFont="1" applyFill="1" applyBorder="1"/>
    <xf numFmtId="0" fontId="39" fillId="8" borderId="6" xfId="0" applyFont="1" applyFill="1" applyBorder="1"/>
    <xf numFmtId="0" fontId="40" fillId="8" borderId="6" xfId="0" applyFont="1" applyFill="1" applyBorder="1"/>
    <xf numFmtId="0" fontId="37" fillId="8" borderId="9" xfId="0" applyFont="1" applyFill="1" applyBorder="1"/>
    <xf numFmtId="3" fontId="37" fillId="8" borderId="9" xfId="0" applyNumberFormat="1" applyFont="1" applyFill="1" applyBorder="1"/>
    <xf numFmtId="0" fontId="37" fillId="9" borderId="6" xfId="0" applyFont="1" applyFill="1" applyBorder="1"/>
    <xf numFmtId="0" fontId="35" fillId="9" borderId="9" xfId="0" applyFont="1" applyFill="1" applyBorder="1"/>
    <xf numFmtId="3" fontId="38" fillId="8" borderId="9" xfId="0" applyNumberFormat="1" applyFont="1" applyFill="1" applyBorder="1"/>
    <xf numFmtId="0" fontId="37" fillId="9" borderId="9" xfId="0" applyFont="1" applyFill="1" applyBorder="1"/>
    <xf numFmtId="0" fontId="35" fillId="0" borderId="9" xfId="0" applyFont="1" applyBorder="1"/>
    <xf numFmtId="0" fontId="35" fillId="9" borderId="10" xfId="0" applyFont="1" applyFill="1" applyBorder="1"/>
    <xf numFmtId="0" fontId="41" fillId="0" borderId="6" xfId="0" applyFont="1" applyBorder="1" applyAlignment="1">
      <alignment vertical="top"/>
    </xf>
    <xf numFmtId="0" fontId="42" fillId="0" borderId="6" xfId="0" applyFont="1" applyBorder="1" applyAlignment="1">
      <alignment vertical="top"/>
    </xf>
    <xf numFmtId="0" fontId="43" fillId="0" borderId="1" xfId="0" applyFont="1" applyBorder="1"/>
    <xf numFmtId="0" fontId="43" fillId="0" borderId="1" xfId="0" applyFont="1" applyBorder="1" applyAlignment="1">
      <alignment horizontal="left"/>
    </xf>
    <xf numFmtId="0" fontId="44" fillId="0" borderId="1" xfId="0" applyFont="1" applyBorder="1" applyAlignment="1">
      <alignment horizontal="right"/>
    </xf>
    <xf numFmtId="165" fontId="45" fillId="3" borderId="1" xfId="2" applyNumberFormat="1" applyFont="1" applyFill="1" applyBorder="1" applyAlignment="1">
      <alignment horizontal="right"/>
    </xf>
    <xf numFmtId="0" fontId="43" fillId="0" borderId="1" xfId="0" applyFont="1" applyBorder="1" applyAlignment="1">
      <alignment horizontal="right" wrapText="1"/>
    </xf>
    <xf numFmtId="0" fontId="46" fillId="0" borderId="1" xfId="0" applyFont="1" applyBorder="1"/>
    <xf numFmtId="0" fontId="47" fillId="3" borderId="2" xfId="0" applyFont="1" applyFill="1" applyBorder="1" applyAlignment="1">
      <alignment vertical="center"/>
    </xf>
    <xf numFmtId="0" fontId="47" fillId="0" borderId="1" xfId="0" applyFont="1" applyBorder="1" applyAlignment="1">
      <alignment horizontal="right"/>
    </xf>
    <xf numFmtId="165" fontId="48" fillId="3" borderId="1" xfId="2" applyNumberFormat="1" applyFont="1" applyFill="1" applyBorder="1" applyAlignment="1">
      <alignment horizontal="right"/>
    </xf>
    <xf numFmtId="0" fontId="46" fillId="0" borderId="2" xfId="0" applyFont="1" applyBorder="1" applyAlignment="1">
      <alignment horizontal="left"/>
    </xf>
    <xf numFmtId="0" fontId="46" fillId="0" borderId="3" xfId="0" applyFont="1" applyBorder="1"/>
    <xf numFmtId="0" fontId="47" fillId="0" borderId="5" xfId="0" applyFont="1" applyBorder="1" applyAlignment="1">
      <alignment horizontal="right"/>
    </xf>
    <xf numFmtId="165" fontId="49" fillId="0" borderId="5" xfId="2" applyNumberFormat="1" applyFont="1" applyBorder="1" applyAlignment="1">
      <alignment horizontal="right" wrapText="1"/>
    </xf>
    <xf numFmtId="0" fontId="51" fillId="3" borderId="2" xfId="0" applyFont="1" applyFill="1" applyBorder="1" applyAlignment="1">
      <alignment vertical="center"/>
    </xf>
    <xf numFmtId="0" fontId="51" fillId="3" borderId="3" xfId="0" applyFont="1" applyFill="1" applyBorder="1" applyAlignment="1">
      <alignment vertical="center"/>
    </xf>
    <xf numFmtId="0" fontId="51" fillId="0" borderId="5" xfId="0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right"/>
    </xf>
    <xf numFmtId="0" fontId="51" fillId="3" borderId="5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vertical="center"/>
    </xf>
    <xf numFmtId="0" fontId="53" fillId="0" borderId="3" xfId="0" applyFont="1" applyBorder="1" applyAlignment="1">
      <alignment vertical="center"/>
    </xf>
    <xf numFmtId="0" fontId="53" fillId="0" borderId="5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53" fillId="3" borderId="2" xfId="0" applyFont="1" applyFill="1" applyBorder="1" applyAlignment="1">
      <alignment vertical="center"/>
    </xf>
    <xf numFmtId="0" fontId="53" fillId="3" borderId="3" xfId="0" applyFont="1" applyFill="1" applyBorder="1" applyAlignment="1">
      <alignment vertical="center"/>
    </xf>
    <xf numFmtId="0" fontId="53" fillId="3" borderId="5" xfId="0" applyFont="1" applyFill="1" applyBorder="1" applyAlignment="1">
      <alignment horizontal="center" vertical="center" wrapText="1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4" fillId="0" borderId="1" xfId="0" applyFont="1" applyBorder="1" applyAlignment="1">
      <alignment horizontal="right"/>
    </xf>
    <xf numFmtId="165" fontId="55" fillId="0" borderId="1" xfId="2" applyNumberFormat="1" applyFont="1" applyBorder="1" applyAlignment="1">
      <alignment horizontal="right"/>
    </xf>
    <xf numFmtId="165" fontId="54" fillId="0" borderId="1" xfId="2" applyNumberFormat="1" applyFont="1" applyBorder="1" applyAlignment="1">
      <alignment horizontal="right"/>
    </xf>
    <xf numFmtId="165" fontId="47" fillId="0" borderId="5" xfId="2" applyNumberFormat="1" applyFont="1" applyBorder="1" applyAlignment="1">
      <alignment horizontal="right"/>
    </xf>
    <xf numFmtId="0" fontId="55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 wrapText="1"/>
    </xf>
    <xf numFmtId="165" fontId="55" fillId="0" borderId="1" xfId="2" applyNumberFormat="1" applyFont="1" applyBorder="1" applyAlignment="1">
      <alignment horizontal="right" vertical="center"/>
    </xf>
    <xf numFmtId="165" fontId="52" fillId="3" borderId="1" xfId="2" applyNumberFormat="1" applyFont="1" applyFill="1" applyBorder="1" applyAlignment="1">
      <alignment horizontal="right" vertical="center"/>
    </xf>
    <xf numFmtId="165" fontId="55" fillId="2" borderId="1" xfId="2" applyNumberFormat="1" applyFont="1" applyFill="1" applyBorder="1" applyAlignment="1">
      <alignment horizontal="right" vertical="center" wrapText="1"/>
    </xf>
    <xf numFmtId="0" fontId="50" fillId="0" borderId="1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 wrapText="1"/>
    </xf>
    <xf numFmtId="165" fontId="57" fillId="0" borderId="1" xfId="2" applyNumberFormat="1" applyFont="1" applyBorder="1" applyAlignment="1">
      <alignment horizontal="right"/>
    </xf>
    <xf numFmtId="165" fontId="57" fillId="0" borderId="1" xfId="2" applyNumberFormat="1" applyFont="1" applyBorder="1" applyAlignment="1">
      <alignment horizontal="right" wrapText="1"/>
    </xf>
    <xf numFmtId="0" fontId="56" fillId="0" borderId="1" xfId="0" applyFont="1" applyBorder="1"/>
    <xf numFmtId="0" fontId="57" fillId="4" borderId="1" xfId="0" applyFont="1" applyFill="1" applyBorder="1" applyAlignment="1">
      <alignment horizontal="left" vertical="center"/>
    </xf>
    <xf numFmtId="165" fontId="57" fillId="4" borderId="1" xfId="2" applyNumberFormat="1" applyFont="1" applyFill="1" applyBorder="1" applyAlignment="1">
      <alignment horizontal="right" wrapText="1"/>
    </xf>
    <xf numFmtId="164" fontId="57" fillId="0" borderId="1" xfId="2" applyFont="1" applyBorder="1" applyAlignment="1">
      <alignment horizontal="right"/>
    </xf>
    <xf numFmtId="0" fontId="44" fillId="0" borderId="1" xfId="0" applyFont="1" applyBorder="1" applyAlignment="1">
      <alignment horizontal="left" vertical="center"/>
    </xf>
    <xf numFmtId="165" fontId="45" fillId="0" borderId="1" xfId="2" applyNumberFormat="1" applyFont="1" applyBorder="1" applyAlignment="1">
      <alignment horizontal="right"/>
    </xf>
    <xf numFmtId="165" fontId="45" fillId="0" borderId="1" xfId="2" applyNumberFormat="1" applyFont="1" applyFill="1" applyBorder="1" applyAlignment="1">
      <alignment horizontal="center" vertical="center"/>
    </xf>
    <xf numFmtId="165" fontId="45" fillId="0" borderId="1" xfId="2" applyNumberFormat="1" applyFont="1" applyBorder="1" applyAlignment="1">
      <alignment horizontal="right" wrapText="1"/>
    </xf>
    <xf numFmtId="0" fontId="45" fillId="0" borderId="1" xfId="0" applyFont="1" applyBorder="1" applyAlignment="1">
      <alignment horizontal="left" vertical="center"/>
    </xf>
    <xf numFmtId="165" fontId="45" fillId="0" borderId="1" xfId="2" applyNumberFormat="1" applyFont="1" applyFill="1" applyBorder="1" applyAlignment="1">
      <alignment horizontal="right"/>
    </xf>
    <xf numFmtId="0" fontId="58" fillId="0" borderId="6" xfId="0" applyFont="1" applyBorder="1" applyAlignment="1">
      <alignment wrapText="1"/>
    </xf>
    <xf numFmtId="0" fontId="45" fillId="0" borderId="1" xfId="0" applyFont="1" applyBorder="1" applyAlignment="1">
      <alignment horizontal="left" wrapText="1"/>
    </xf>
    <xf numFmtId="0" fontId="43" fillId="0" borderId="0" xfId="0" applyFont="1"/>
    <xf numFmtId="0" fontId="45" fillId="0" borderId="1" xfId="0" applyFont="1" applyBorder="1" applyAlignment="1">
      <alignment horizontal="right" wrapText="1"/>
    </xf>
    <xf numFmtId="165" fontId="44" fillId="0" borderId="1" xfId="2" applyNumberFormat="1" applyFont="1" applyBorder="1" applyAlignment="1">
      <alignment horizontal="right"/>
    </xf>
    <xf numFmtId="0" fontId="45" fillId="0" borderId="1" xfId="0" applyFont="1" applyBorder="1" applyAlignment="1">
      <alignment horizontal="left" vertical="center" wrapText="1"/>
    </xf>
    <xf numFmtId="165" fontId="57" fillId="3" borderId="1" xfId="2" applyNumberFormat="1" applyFont="1" applyFill="1" applyBorder="1" applyAlignment="1">
      <alignment horizontal="right"/>
    </xf>
    <xf numFmtId="165" fontId="45" fillId="0" borderId="1" xfId="2" applyNumberFormat="1" applyFont="1" applyBorder="1" applyAlignment="1">
      <alignment horizontal="center" vertical="center"/>
    </xf>
    <xf numFmtId="0" fontId="58" fillId="0" borderId="6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58" fillId="0" borderId="6" xfId="0" applyFont="1" applyBorder="1" applyAlignment="1">
      <alignment horizontal="left" vertical="center" wrapText="1"/>
    </xf>
    <xf numFmtId="0" fontId="59" fillId="4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left" vertical="center" wrapText="1"/>
    </xf>
    <xf numFmtId="165" fontId="45" fillId="0" borderId="1" xfId="2" applyNumberFormat="1" applyFont="1" applyBorder="1" applyAlignment="1">
      <alignment horizontal="center"/>
    </xf>
    <xf numFmtId="165" fontId="58" fillId="0" borderId="1" xfId="2" applyNumberFormat="1" applyFont="1" applyBorder="1" applyAlignment="1">
      <alignment horizontal="left" vertical="center" wrapText="1"/>
    </xf>
    <xf numFmtId="165" fontId="44" fillId="0" borderId="1" xfId="2" applyNumberFormat="1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 wrapText="1"/>
    </xf>
    <xf numFmtId="0" fontId="43" fillId="0" borderId="1" xfId="0" applyFont="1" applyBorder="1" applyAlignment="1">
      <alignment vertical="top"/>
    </xf>
    <xf numFmtId="0" fontId="44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165" fontId="45" fillId="0" borderId="1" xfId="2" applyNumberFormat="1" applyFont="1" applyBorder="1" applyAlignment="1">
      <alignment horizontal="right" vertical="top"/>
    </xf>
    <xf numFmtId="165" fontId="45" fillId="3" borderId="1" xfId="2" applyNumberFormat="1" applyFont="1" applyFill="1" applyBorder="1" applyAlignment="1">
      <alignment horizontal="right" vertical="top"/>
    </xf>
    <xf numFmtId="0" fontId="45" fillId="0" borderId="1" xfId="0" applyFont="1" applyBorder="1" applyAlignment="1">
      <alignment horizontal="left" vertical="top" wrapText="1"/>
    </xf>
    <xf numFmtId="0" fontId="60" fillId="4" borderId="1" xfId="0" applyFont="1" applyFill="1" applyBorder="1" applyAlignment="1">
      <alignment horizontal="left" vertical="center"/>
    </xf>
    <xf numFmtId="165" fontId="45" fillId="0" borderId="0" xfId="2" applyNumberFormat="1" applyFont="1" applyAlignment="1">
      <alignment vertical="center" wrapText="1"/>
    </xf>
    <xf numFmtId="165" fontId="57" fillId="0" borderId="1" xfId="2" applyNumberFormat="1" applyFont="1" applyBorder="1" applyAlignment="1">
      <alignment horizontal="right" vertical="center"/>
    </xf>
    <xf numFmtId="165" fontId="57" fillId="3" borderId="1" xfId="2" applyNumberFormat="1" applyFont="1" applyFill="1" applyBorder="1" applyAlignment="1">
      <alignment horizontal="right" vertical="center"/>
    </xf>
    <xf numFmtId="164" fontId="57" fillId="0" borderId="1" xfId="2" applyFont="1" applyBorder="1" applyAlignment="1">
      <alignment horizontal="right" vertical="center"/>
    </xf>
    <xf numFmtId="165" fontId="45" fillId="0" borderId="1" xfId="0" applyNumberFormat="1" applyFont="1" applyBorder="1" applyAlignment="1">
      <alignment horizontal="left" vertical="center" wrapText="1"/>
    </xf>
    <xf numFmtId="0" fontId="56" fillId="0" borderId="1" xfId="1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wrapText="1"/>
    </xf>
    <xf numFmtId="165" fontId="57" fillId="0" borderId="1" xfId="2" applyNumberFormat="1" applyFont="1" applyFill="1" applyBorder="1" applyAlignment="1">
      <alignment horizontal="right"/>
    </xf>
    <xf numFmtId="165" fontId="57" fillId="0" borderId="1" xfId="2" applyNumberFormat="1" applyFont="1" applyFill="1" applyBorder="1" applyAlignment="1">
      <alignment horizontal="right" wrapText="1"/>
    </xf>
    <xf numFmtId="0" fontId="45" fillId="0" borderId="1" xfId="0" applyFont="1" applyBorder="1" applyAlignment="1">
      <alignment vertical="center" wrapText="1"/>
    </xf>
    <xf numFmtId="164" fontId="58" fillId="0" borderId="1" xfId="0" applyNumberFormat="1" applyFont="1" applyBorder="1" applyAlignment="1">
      <alignment horizontal="left" vertical="center" wrapText="1"/>
    </xf>
    <xf numFmtId="0" fontId="45" fillId="0" borderId="1" xfId="0" applyFont="1" applyBorder="1" applyAlignment="1">
      <alignment wrapText="1"/>
    </xf>
    <xf numFmtId="0" fontId="58" fillId="0" borderId="1" xfId="0" applyFont="1" applyBorder="1"/>
    <xf numFmtId="0" fontId="58" fillId="0" borderId="6" xfId="0" applyFont="1" applyBorder="1" applyAlignment="1">
      <alignment horizontal="left" wrapText="1"/>
    </xf>
    <xf numFmtId="0" fontId="58" fillId="0" borderId="6" xfId="0" applyFont="1" applyBorder="1" applyAlignment="1">
      <alignment horizontal="right" wrapText="1"/>
    </xf>
    <xf numFmtId="0" fontId="58" fillId="0" borderId="6" xfId="0" applyFont="1" applyBorder="1"/>
    <xf numFmtId="0" fontId="58" fillId="0" borderId="0" xfId="0" applyFont="1" applyAlignment="1">
      <alignment wrapText="1"/>
    </xf>
    <xf numFmtId="0" fontId="58" fillId="0" borderId="1" xfId="0" applyFont="1" applyBorder="1" applyAlignment="1">
      <alignment horizontal="left" vertical="top" wrapText="1"/>
    </xf>
    <xf numFmtId="165" fontId="55" fillId="0" borderId="1" xfId="2" applyNumberFormat="1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top"/>
    </xf>
    <xf numFmtId="165" fontId="57" fillId="0" borderId="1" xfId="2" applyNumberFormat="1" applyFont="1" applyBorder="1" applyAlignment="1">
      <alignment horizontal="right" vertical="top"/>
    </xf>
    <xf numFmtId="165" fontId="57" fillId="3" borderId="1" xfId="2" applyNumberFormat="1" applyFont="1" applyFill="1" applyBorder="1" applyAlignment="1">
      <alignment horizontal="right" vertical="top"/>
    </xf>
    <xf numFmtId="0" fontId="61" fillId="3" borderId="2" xfId="0" applyFont="1" applyFill="1" applyBorder="1" applyAlignment="1">
      <alignment vertical="center"/>
    </xf>
    <xf numFmtId="0" fontId="61" fillId="3" borderId="3" xfId="0" applyFont="1" applyFill="1" applyBorder="1" applyAlignment="1">
      <alignment vertical="center"/>
    </xf>
    <xf numFmtId="0" fontId="61" fillId="0" borderId="5" xfId="0" applyFont="1" applyBorder="1" applyAlignment="1">
      <alignment horizontal="center" vertical="center"/>
    </xf>
    <xf numFmtId="165" fontId="61" fillId="0" borderId="5" xfId="2" applyNumberFormat="1" applyFont="1" applyBorder="1" applyAlignment="1">
      <alignment horizontal="center" vertical="center"/>
    </xf>
    <xf numFmtId="165" fontId="61" fillId="3" borderId="5" xfId="2" applyNumberFormat="1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/>
    </xf>
    <xf numFmtId="165" fontId="47" fillId="0" borderId="1" xfId="2" applyNumberFormat="1" applyFont="1" applyBorder="1" applyAlignment="1">
      <alignment horizontal="right"/>
    </xf>
    <xf numFmtId="165" fontId="49" fillId="0" borderId="1" xfId="2" applyNumberFormat="1" applyFont="1" applyBorder="1" applyAlignment="1">
      <alignment horizontal="right" wrapText="1"/>
    </xf>
    <xf numFmtId="165" fontId="57" fillId="4" borderId="1" xfId="2" applyNumberFormat="1" applyFont="1" applyFill="1" applyBorder="1" applyAlignment="1">
      <alignment horizontal="right" vertical="center"/>
    </xf>
    <xf numFmtId="0" fontId="44" fillId="0" borderId="1" xfId="0" applyFont="1" applyBorder="1" applyAlignment="1">
      <alignment horizontal="right" wrapText="1"/>
    </xf>
    <xf numFmtId="1" fontId="44" fillId="0" borderId="1" xfId="0" applyNumberFormat="1" applyFont="1" applyBorder="1" applyAlignment="1">
      <alignment horizontal="right" wrapText="1"/>
    </xf>
    <xf numFmtId="1" fontId="30" fillId="0" borderId="11" xfId="0" applyNumberFormat="1" applyFont="1" applyBorder="1" applyProtection="1">
      <protection locked="0"/>
    </xf>
    <xf numFmtId="1" fontId="30" fillId="0" borderId="0" xfId="0" applyNumberFormat="1" applyFont="1" applyProtection="1">
      <protection locked="0"/>
    </xf>
    <xf numFmtId="0" fontId="44" fillId="0" borderId="4" xfId="0" applyFont="1" applyBorder="1" applyAlignment="1">
      <alignment horizontal="right"/>
    </xf>
    <xf numFmtId="0" fontId="44" fillId="0" borderId="0" xfId="0" applyFont="1" applyAlignment="1">
      <alignment horizontal="right"/>
    </xf>
    <xf numFmtId="164" fontId="45" fillId="0" borderId="1" xfId="0" applyNumberFormat="1" applyFont="1" applyBorder="1" applyAlignment="1">
      <alignment horizontal="right" wrapText="1"/>
    </xf>
    <xf numFmtId="164" fontId="58" fillId="0" borderId="1" xfId="0" applyNumberFormat="1" applyFont="1" applyBorder="1" applyAlignment="1">
      <alignment horizontal="right" vertical="center" wrapText="1"/>
    </xf>
    <xf numFmtId="164" fontId="43" fillId="0" borderId="1" xfId="0" applyNumberFormat="1" applyFont="1" applyBorder="1" applyAlignment="1">
      <alignment horizontal="right" wrapText="1"/>
    </xf>
    <xf numFmtId="165" fontId="60" fillId="4" borderId="1" xfId="2" applyNumberFormat="1" applyFont="1" applyFill="1" applyBorder="1" applyAlignment="1">
      <alignment horizontal="right" wrapText="1"/>
    </xf>
    <xf numFmtId="0" fontId="45" fillId="4" borderId="1" xfId="0" applyFont="1" applyFill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vertical="center" wrapText="1"/>
    </xf>
    <xf numFmtId="164" fontId="45" fillId="0" borderId="1" xfId="0" applyNumberFormat="1" applyFont="1" applyBorder="1" applyAlignment="1">
      <alignment vertical="center" wrapText="1"/>
    </xf>
    <xf numFmtId="0" fontId="62" fillId="0" borderId="1" xfId="0" applyFont="1" applyBorder="1"/>
    <xf numFmtId="0" fontId="63" fillId="0" borderId="1" xfId="0" applyFont="1" applyBorder="1"/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 wrapText="1"/>
    </xf>
    <xf numFmtId="165" fontId="57" fillId="0" borderId="0" xfId="2" applyNumberFormat="1" applyFont="1" applyBorder="1" applyAlignment="1">
      <alignment horizontal="right"/>
    </xf>
    <xf numFmtId="165" fontId="57" fillId="3" borderId="0" xfId="2" applyNumberFormat="1" applyFont="1" applyFill="1" applyBorder="1" applyAlignment="1">
      <alignment horizontal="right"/>
    </xf>
    <xf numFmtId="165" fontId="57" fillId="0" borderId="0" xfId="2" applyNumberFormat="1" applyFont="1" applyAlignment="1">
      <alignment horizontal="right"/>
    </xf>
    <xf numFmtId="165" fontId="57" fillId="3" borderId="0" xfId="2" applyNumberFormat="1" applyFont="1" applyFill="1" applyAlignment="1">
      <alignment horizontal="right"/>
    </xf>
    <xf numFmtId="0" fontId="45" fillId="0" borderId="6" xfId="0" applyFont="1" applyBorder="1" applyAlignment="1">
      <alignment wrapText="1"/>
    </xf>
    <xf numFmtId="0" fontId="64" fillId="0" borderId="1" xfId="0" applyFont="1" applyBorder="1"/>
    <xf numFmtId="164" fontId="58" fillId="0" borderId="6" xfId="0" applyNumberFormat="1" applyFont="1" applyBorder="1" applyAlignment="1">
      <alignment vertical="center" wrapText="1"/>
    </xf>
    <xf numFmtId="0" fontId="66" fillId="0" borderId="1" xfId="0" applyFont="1" applyBorder="1"/>
    <xf numFmtId="164" fontId="45" fillId="0" borderId="1" xfId="0" applyNumberFormat="1" applyFont="1" applyBorder="1" applyAlignment="1">
      <alignment horizontal="right" vertical="center" wrapText="1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 wrapText="1"/>
    </xf>
    <xf numFmtId="165" fontId="60" fillId="0" borderId="1" xfId="2" applyNumberFormat="1" applyFont="1" applyBorder="1" applyAlignment="1">
      <alignment horizontal="right"/>
    </xf>
    <xf numFmtId="165" fontId="60" fillId="3" borderId="1" xfId="2" applyNumberFormat="1" applyFont="1" applyFill="1" applyBorder="1" applyAlignment="1">
      <alignment horizontal="right"/>
    </xf>
    <xf numFmtId="0" fontId="67" fillId="0" borderId="1" xfId="0" applyFont="1" applyBorder="1"/>
    <xf numFmtId="164" fontId="47" fillId="3" borderId="5" xfId="0" applyNumberFormat="1" applyFont="1" applyFill="1" applyBorder="1" applyAlignment="1">
      <alignment horizontal="center" vertical="center"/>
    </xf>
    <xf numFmtId="164" fontId="49" fillId="0" borderId="5" xfId="2" applyFont="1" applyBorder="1" applyAlignment="1">
      <alignment horizontal="right" wrapText="1"/>
    </xf>
    <xf numFmtId="164" fontId="53" fillId="0" borderId="5" xfId="0" applyNumberFormat="1" applyFont="1" applyBorder="1" applyAlignment="1">
      <alignment horizontal="center" vertical="center" wrapText="1"/>
    </xf>
    <xf numFmtId="164" fontId="53" fillId="3" borderId="5" xfId="0" applyNumberFormat="1" applyFont="1" applyFill="1" applyBorder="1" applyAlignment="1">
      <alignment horizontal="center" vertical="center" wrapText="1"/>
    </xf>
    <xf numFmtId="164" fontId="55" fillId="2" borderId="1" xfId="2" applyFont="1" applyFill="1" applyBorder="1" applyAlignment="1">
      <alignment horizontal="right" vertical="center" wrapText="1"/>
    </xf>
    <xf numFmtId="164" fontId="57" fillId="0" borderId="1" xfId="2" applyFont="1" applyBorder="1" applyAlignment="1">
      <alignment horizontal="right" wrapText="1"/>
    </xf>
    <xf numFmtId="164" fontId="44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left" wrapText="1"/>
    </xf>
    <xf numFmtId="164" fontId="45" fillId="0" borderId="1" xfId="2" applyFont="1" applyBorder="1" applyAlignment="1">
      <alignment horizontal="left" vertical="top" wrapText="1"/>
    </xf>
    <xf numFmtId="164" fontId="45" fillId="0" borderId="0" xfId="2" applyFont="1" applyAlignment="1">
      <alignment vertical="center" wrapText="1"/>
    </xf>
    <xf numFmtId="164" fontId="45" fillId="0" borderId="8" xfId="11" applyNumberFormat="1" applyFont="1" applyBorder="1" applyAlignment="1">
      <alignment vertical="center" wrapText="1"/>
    </xf>
    <xf numFmtId="164" fontId="45" fillId="0" borderId="0" xfId="11" applyNumberFormat="1" applyFont="1" applyAlignment="1">
      <alignment vertical="center" wrapText="1"/>
    </xf>
    <xf numFmtId="164" fontId="57" fillId="0" borderId="1" xfId="2" applyFont="1" applyFill="1" applyBorder="1" applyAlignment="1">
      <alignment horizontal="right" wrapText="1"/>
    </xf>
    <xf numFmtId="164" fontId="58" fillId="0" borderId="1" xfId="2" applyFont="1" applyBorder="1" applyAlignment="1">
      <alignment horizontal="left" vertical="top" wrapText="1"/>
    </xf>
    <xf numFmtId="164" fontId="58" fillId="0" borderId="1" xfId="2" applyFont="1" applyBorder="1" applyAlignment="1">
      <alignment horizontal="left" vertical="center" wrapText="1"/>
    </xf>
    <xf numFmtId="164" fontId="61" fillId="3" borderId="5" xfId="2" applyFont="1" applyFill="1" applyBorder="1" applyAlignment="1">
      <alignment horizontal="center" vertical="center" wrapText="1"/>
    </xf>
    <xf numFmtId="164" fontId="53" fillId="0" borderId="5" xfId="2" applyFont="1" applyBorder="1" applyAlignment="1">
      <alignment horizontal="center" vertical="center" wrapText="1"/>
    </xf>
    <xf numFmtId="164" fontId="49" fillId="0" borderId="1" xfId="2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/>
    </xf>
    <xf numFmtId="164" fontId="44" fillId="0" borderId="1" xfId="0" applyNumberFormat="1" applyFont="1" applyBorder="1" applyAlignment="1">
      <alignment horizontal="right" wrapText="1"/>
    </xf>
    <xf numFmtId="164" fontId="45" fillId="0" borderId="1" xfId="2" applyFont="1" applyBorder="1" applyAlignment="1">
      <alignment horizontal="center"/>
    </xf>
    <xf numFmtId="164" fontId="65" fillId="0" borderId="1" xfId="2" applyFont="1" applyBorder="1" applyAlignment="1">
      <alignment horizontal="right" wrapText="1" indent="1"/>
    </xf>
    <xf numFmtId="0" fontId="45" fillId="0" borderId="0" xfId="0" applyFont="1" applyAlignment="1">
      <alignment wrapText="1"/>
    </xf>
    <xf numFmtId="164" fontId="45" fillId="0" borderId="0" xfId="0" applyNumberFormat="1" applyFont="1" applyAlignment="1">
      <alignment horizontal="right" wrapText="1"/>
    </xf>
    <xf numFmtId="164" fontId="67" fillId="0" borderId="1" xfId="0" applyNumberFormat="1" applyFont="1" applyBorder="1" applyAlignment="1">
      <alignment horizontal="left" vertical="center" wrapText="1"/>
    </xf>
    <xf numFmtId="164" fontId="67" fillId="0" borderId="1" xfId="0" applyNumberFormat="1" applyFont="1" applyBorder="1"/>
    <xf numFmtId="166" fontId="57" fillId="4" borderId="1" xfId="2" applyNumberFormat="1" applyFont="1" applyFill="1" applyBorder="1" applyAlignment="1">
      <alignment horizontal="right" wrapText="1"/>
    </xf>
    <xf numFmtId="164" fontId="55" fillId="0" borderId="1" xfId="2" applyFont="1" applyBorder="1" applyAlignment="1">
      <alignment horizontal="right"/>
    </xf>
    <xf numFmtId="0" fontId="67" fillId="0" borderId="1" xfId="0" applyFont="1" applyBorder="1" applyAlignment="1">
      <alignment horizontal="left" vertical="top" wrapText="1"/>
    </xf>
    <xf numFmtId="0" fontId="67" fillId="0" borderId="1" xfId="0" applyFont="1" applyBorder="1" applyAlignment="1">
      <alignment horizontal="left" wrapText="1"/>
    </xf>
    <xf numFmtId="0" fontId="58" fillId="0" borderId="0" xfId="0" applyFont="1" applyAlignment="1">
      <alignment vertical="center" wrapText="1"/>
    </xf>
    <xf numFmtId="164" fontId="58" fillId="0" borderId="0" xfId="0" applyNumberFormat="1" applyFont="1" applyAlignment="1">
      <alignment horizontal="left" vertical="center" wrapText="1"/>
    </xf>
    <xf numFmtId="0" fontId="68" fillId="0" borderId="0" xfId="0" applyFont="1"/>
    <xf numFmtId="0" fontId="69" fillId="0" borderId="0" xfId="0" applyFont="1"/>
    <xf numFmtId="17" fontId="68" fillId="0" borderId="0" xfId="0" applyNumberFormat="1" applyFont="1"/>
    <xf numFmtId="0" fontId="68" fillId="0" borderId="8" xfId="3" applyFont="1" applyBorder="1"/>
    <xf numFmtId="0" fontId="68" fillId="0" borderId="0" xfId="3" applyFont="1"/>
    <xf numFmtId="0" fontId="68" fillId="0" borderId="8" xfId="3" applyFont="1" applyBorder="1" applyAlignment="1">
      <alignment horizontal="center"/>
    </xf>
    <xf numFmtId="0" fontId="68" fillId="0" borderId="0" xfId="3" applyFont="1" applyAlignment="1">
      <alignment horizontal="center"/>
    </xf>
    <xf numFmtId="0" fontId="68" fillId="0" borderId="8" xfId="3" applyFont="1" applyBorder="1" applyAlignment="1">
      <alignment vertical="center"/>
    </xf>
    <xf numFmtId="2" fontId="70" fillId="0" borderId="8" xfId="3" applyNumberFormat="1" applyFont="1" applyBorder="1"/>
    <xf numFmtId="1" fontId="70" fillId="0" borderId="8" xfId="3" applyNumberFormat="1" applyFont="1" applyBorder="1"/>
    <xf numFmtId="2" fontId="68" fillId="0" borderId="0" xfId="3" applyNumberFormat="1" applyFont="1"/>
    <xf numFmtId="0" fontId="69" fillId="0" borderId="8" xfId="3" applyFont="1" applyBorder="1" applyAlignment="1">
      <alignment vertical="center"/>
    </xf>
    <xf numFmtId="2" fontId="68" fillId="0" borderId="0" xfId="25" applyNumberFormat="1" applyFont="1"/>
    <xf numFmtId="0" fontId="68" fillId="0" borderId="1" xfId="3" applyFont="1" applyBorder="1"/>
    <xf numFmtId="2" fontId="68" fillId="0" borderId="1" xfId="3" applyNumberFormat="1" applyFont="1" applyBorder="1"/>
    <xf numFmtId="0" fontId="70" fillId="0" borderId="8" xfId="3" applyFont="1" applyBorder="1"/>
    <xf numFmtId="0" fontId="69" fillId="0" borderId="8" xfId="3" applyFont="1" applyBorder="1"/>
    <xf numFmtId="0" fontId="71" fillId="0" borderId="8" xfId="3" applyFont="1" applyBorder="1" applyAlignment="1">
      <alignment vertical="center"/>
    </xf>
    <xf numFmtId="0" fontId="72" fillId="0" borderId="8" xfId="3" applyFont="1" applyBorder="1" applyAlignment="1">
      <alignment vertical="center"/>
    </xf>
    <xf numFmtId="2" fontId="35" fillId="0" borderId="8" xfId="3" applyNumberFormat="1" applyFont="1" applyBorder="1"/>
    <xf numFmtId="1" fontId="35" fillId="0" borderId="8" xfId="3" applyNumberFormat="1" applyFont="1" applyBorder="1"/>
    <xf numFmtId="0" fontId="69" fillId="0" borderId="0" xfId="3" applyFont="1"/>
    <xf numFmtId="0" fontId="73" fillId="0" borderId="8" xfId="3" applyFont="1" applyBorder="1" applyAlignment="1">
      <alignment vertical="center"/>
    </xf>
    <xf numFmtId="0" fontId="74" fillId="0" borderId="8" xfId="3" applyFont="1" applyBorder="1" applyAlignment="1">
      <alignment vertical="center"/>
    </xf>
    <xf numFmtId="0" fontId="74" fillId="0" borderId="8" xfId="3" applyFont="1" applyBorder="1"/>
    <xf numFmtId="2" fontId="70" fillId="0" borderId="8" xfId="3" applyNumberFormat="1" applyFont="1" applyBorder="1" applyAlignment="1">
      <alignment horizontal="right"/>
    </xf>
    <xf numFmtId="1" fontId="68" fillId="0" borderId="0" xfId="3" applyNumberFormat="1" applyFont="1"/>
    <xf numFmtId="1" fontId="75" fillId="0" borderId="8" xfId="3" applyNumberFormat="1" applyFont="1" applyBorder="1"/>
    <xf numFmtId="1" fontId="0" fillId="0" borderId="8" xfId="3" applyNumberFormat="1" applyFont="1" applyBorder="1"/>
    <xf numFmtId="2" fontId="76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68" fillId="0" borderId="0" xfId="0" applyFont="1" applyAlignment="1">
      <alignment horizontal="center"/>
    </xf>
    <xf numFmtId="2" fontId="38" fillId="0" borderId="8" xfId="3" applyNumberFormat="1" applyFont="1" applyBorder="1"/>
    <xf numFmtId="1" fontId="38" fillId="0" borderId="8" xfId="3" applyNumberFormat="1" applyFont="1" applyBorder="1"/>
    <xf numFmtId="1" fontId="8" fillId="0" borderId="8" xfId="3" applyNumberFormat="1" applyFont="1" applyBorder="1"/>
    <xf numFmtId="2" fontId="8" fillId="0" borderId="8" xfId="3" applyNumberFormat="1" applyFont="1" applyBorder="1"/>
    <xf numFmtId="0" fontId="28" fillId="0" borderId="6" xfId="0" applyFont="1" applyBorder="1" applyAlignment="1">
      <alignment horizontal="left" vertical="center" wrapText="1"/>
    </xf>
    <xf numFmtId="0" fontId="71" fillId="0" borderId="8" xfId="3" applyFont="1" applyBorder="1"/>
    <xf numFmtId="2" fontId="78" fillId="0" borderId="8" xfId="3" applyNumberFormat="1" applyFont="1" applyBorder="1"/>
    <xf numFmtId="1" fontId="78" fillId="0" borderId="8" xfId="3" applyNumberFormat="1" applyFont="1" applyBorder="1"/>
    <xf numFmtId="2" fontId="75" fillId="0" borderId="8" xfId="3" applyNumberFormat="1" applyFont="1" applyBorder="1"/>
    <xf numFmtId="0" fontId="73" fillId="0" borderId="8" xfId="3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80" fillId="0" borderId="8" xfId="3" applyNumberFormat="1" applyFont="1" applyBorder="1"/>
    <xf numFmtId="0" fontId="71" fillId="0" borderId="0" xfId="3" applyFont="1"/>
    <xf numFmtId="0" fontId="68" fillId="0" borderId="0" xfId="3" applyFont="1" applyAlignment="1">
      <alignment vertical="center"/>
    </xf>
    <xf numFmtId="0" fontId="82" fillId="2" borderId="8" xfId="3" applyFont="1" applyFill="1" applyBorder="1" applyAlignment="1">
      <alignment horizontal="center"/>
    </xf>
    <xf numFmtId="0" fontId="83" fillId="3" borderId="8" xfId="3" applyFont="1" applyFill="1" applyBorder="1" applyAlignment="1">
      <alignment vertical="center"/>
    </xf>
    <xf numFmtId="0" fontId="83" fillId="3" borderId="12" xfId="3" applyFont="1" applyFill="1" applyBorder="1" applyAlignment="1">
      <alignment horizontal="center" vertical="center"/>
    </xf>
    <xf numFmtId="0" fontId="83" fillId="3" borderId="8" xfId="3" applyFont="1" applyFill="1" applyBorder="1" applyAlignment="1">
      <alignment horizontal="center" vertical="center" wrapText="1"/>
    </xf>
    <xf numFmtId="0" fontId="83" fillId="3" borderId="8" xfId="3" applyFont="1" applyFill="1" applyBorder="1" applyAlignment="1">
      <alignment horizontal="center" vertical="center"/>
    </xf>
    <xf numFmtId="0" fontId="68" fillId="0" borderId="8" xfId="3" applyFont="1" applyBorder="1" applyAlignment="1">
      <alignment wrapText="1"/>
    </xf>
    <xf numFmtId="0" fontId="83" fillId="3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wrapText="1"/>
    </xf>
    <xf numFmtId="0" fontId="28" fillId="0" borderId="8" xfId="3" applyFont="1" applyBorder="1" applyAlignment="1">
      <alignment wrapText="1"/>
    </xf>
    <xf numFmtId="0" fontId="71" fillId="0" borderId="8" xfId="3" applyFont="1" applyBorder="1" applyAlignment="1">
      <alignment wrapText="1"/>
    </xf>
    <xf numFmtId="0" fontId="68" fillId="0" borderId="0" xfId="3" applyFont="1" applyAlignment="1">
      <alignment wrapText="1"/>
    </xf>
    <xf numFmtId="0" fontId="72" fillId="0" borderId="8" xfId="3" applyFont="1" applyBorder="1" applyAlignment="1">
      <alignment wrapText="1"/>
    </xf>
    <xf numFmtId="0" fontId="74" fillId="0" borderId="8" xfId="3" applyFont="1" applyBorder="1" applyAlignment="1">
      <alignment wrapText="1"/>
    </xf>
    <xf numFmtId="0" fontId="82" fillId="10" borderId="8" xfId="3" applyFont="1" applyFill="1" applyBorder="1" applyAlignment="1">
      <alignment vertical="center"/>
    </xf>
    <xf numFmtId="0" fontId="82" fillId="10" borderId="8" xfId="3" applyFont="1" applyFill="1" applyBorder="1"/>
    <xf numFmtId="0" fontId="82" fillId="10" borderId="8" xfId="3" applyFont="1" applyFill="1" applyBorder="1" applyAlignment="1">
      <alignment wrapText="1"/>
    </xf>
    <xf numFmtId="0" fontId="82" fillId="2" borderId="8" xfId="3" applyFont="1" applyFill="1" applyBorder="1" applyAlignment="1">
      <alignment horizontal="center" wrapText="1"/>
    </xf>
    <xf numFmtId="165" fontId="84" fillId="2" borderId="8" xfId="2" applyNumberFormat="1" applyFont="1" applyFill="1" applyBorder="1"/>
    <xf numFmtId="0" fontId="85" fillId="0" borderId="0" xfId="0" applyFont="1"/>
    <xf numFmtId="1" fontId="81" fillId="10" borderId="8" xfId="3" applyNumberFormat="1" applyFont="1" applyFill="1" applyBorder="1"/>
    <xf numFmtId="2" fontId="86" fillId="0" borderId="8" xfId="3" applyNumberFormat="1" applyFont="1" applyBorder="1"/>
    <xf numFmtId="1" fontId="87" fillId="0" borderId="8" xfId="3" applyNumberFormat="1" applyFont="1" applyBorder="1"/>
    <xf numFmtId="0" fontId="74" fillId="0" borderId="0" xfId="3" applyFont="1"/>
    <xf numFmtId="165" fontId="68" fillId="0" borderId="0" xfId="3" applyNumberFormat="1" applyFont="1" applyAlignment="1">
      <alignment vertical="center"/>
    </xf>
    <xf numFmtId="0" fontId="72" fillId="0" borderId="8" xfId="3" applyFont="1" applyBorder="1"/>
    <xf numFmtId="0" fontId="68" fillId="0" borderId="0" xfId="3" applyFont="1" applyAlignment="1">
      <alignment horizontal="center" vertical="center"/>
    </xf>
    <xf numFmtId="0" fontId="68" fillId="0" borderId="1" xfId="3" applyFont="1" applyBorder="1" applyAlignment="1">
      <alignment horizontal="center" vertical="center"/>
    </xf>
    <xf numFmtId="0" fontId="82" fillId="2" borderId="1" xfId="3" applyFont="1" applyFill="1" applyBorder="1" applyAlignment="1">
      <alignment horizontal="center"/>
    </xf>
    <xf numFmtId="0" fontId="69" fillId="0" borderId="1" xfId="3" applyFont="1" applyBorder="1" applyAlignment="1">
      <alignment horizontal="center" vertical="center"/>
    </xf>
    <xf numFmtId="0" fontId="69" fillId="0" borderId="1" xfId="3" applyFont="1" applyBorder="1" applyAlignment="1">
      <alignment vertical="center"/>
    </xf>
    <xf numFmtId="0" fontId="68" fillId="0" borderId="1" xfId="3" applyFont="1" applyBorder="1" applyAlignment="1">
      <alignment vertical="center"/>
    </xf>
    <xf numFmtId="0" fontId="72" fillId="0" borderId="1" xfId="3" applyFont="1" applyBorder="1" applyAlignment="1">
      <alignment vertical="center"/>
    </xf>
    <xf numFmtId="43" fontId="68" fillId="0" borderId="0" xfId="3" applyNumberFormat="1" applyFont="1" applyAlignment="1">
      <alignment horizontal="center"/>
    </xf>
    <xf numFmtId="0" fontId="89" fillId="0" borderId="8" xfId="3" applyFont="1" applyBorder="1" applyAlignment="1">
      <alignment vertical="center"/>
    </xf>
    <xf numFmtId="0" fontId="89" fillId="0" borderId="8" xfId="3" applyFont="1" applyBorder="1"/>
    <xf numFmtId="0" fontId="89" fillId="0" borderId="8" xfId="3" applyFont="1" applyBorder="1" applyAlignment="1">
      <alignment wrapText="1"/>
    </xf>
    <xf numFmtId="2" fontId="90" fillId="0" borderId="8" xfId="3" applyNumberFormat="1" applyFont="1" applyBorder="1"/>
    <xf numFmtId="1" fontId="90" fillId="0" borderId="8" xfId="3" applyNumberFormat="1" applyFont="1" applyBorder="1"/>
    <xf numFmtId="1" fontId="37" fillId="0" borderId="8" xfId="3" applyNumberFormat="1" applyFont="1" applyBorder="1"/>
    <xf numFmtId="0" fontId="28" fillId="0" borderId="8" xfId="3" applyFont="1" applyBorder="1" applyAlignment="1">
      <alignment vertical="center"/>
    </xf>
    <xf numFmtId="0" fontId="28" fillId="0" borderId="8" xfId="3" applyFont="1" applyBorder="1"/>
    <xf numFmtId="2" fontId="37" fillId="0" borderId="8" xfId="3" applyNumberFormat="1" applyFont="1" applyBorder="1"/>
    <xf numFmtId="1" fontId="91" fillId="10" borderId="8" xfId="3" applyNumberFormat="1" applyFont="1" applyFill="1" applyBorder="1"/>
    <xf numFmtId="168" fontId="70" fillId="0" borderId="8" xfId="3" applyNumberFormat="1" applyFont="1" applyBorder="1"/>
    <xf numFmtId="2" fontId="91" fillId="10" borderId="8" xfId="3" applyNumberFormat="1" applyFont="1" applyFill="1" applyBorder="1"/>
    <xf numFmtId="168" fontId="75" fillId="0" borderId="8" xfId="3" applyNumberFormat="1" applyFont="1" applyBorder="1"/>
    <xf numFmtId="2" fontId="79" fillId="0" borderId="8" xfId="3" applyNumberFormat="1" applyFont="1" applyBorder="1" applyAlignment="1">
      <alignment horizontal="right"/>
    </xf>
    <xf numFmtId="0" fontId="71" fillId="0" borderId="6" xfId="0" applyFont="1" applyBorder="1" applyAlignment="1">
      <alignment vertical="center" wrapText="1"/>
    </xf>
    <xf numFmtId="1" fontId="92" fillId="0" borderId="8" xfId="3" applyNumberFormat="1" applyFont="1" applyBorder="1"/>
    <xf numFmtId="0" fontId="28" fillId="0" borderId="0" xfId="3" applyFont="1"/>
    <xf numFmtId="164" fontId="84" fillId="2" borderId="8" xfId="2" applyFont="1" applyFill="1" applyBorder="1"/>
    <xf numFmtId="0" fontId="68" fillId="0" borderId="8" xfId="3" applyFont="1" applyBorder="1" applyAlignment="1">
      <alignment horizontal="left" wrapText="1"/>
    </xf>
    <xf numFmtId="0" fontId="83" fillId="3" borderId="8" xfId="3" applyFont="1" applyFill="1" applyBorder="1" applyAlignment="1">
      <alignment horizontal="left" vertical="center" wrapText="1"/>
    </xf>
    <xf numFmtId="0" fontId="54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horizontal="left" vertical="center" wrapText="1"/>
    </xf>
    <xf numFmtId="2" fontId="94" fillId="3" borderId="8" xfId="3" applyNumberFormat="1" applyFont="1" applyFill="1" applyBorder="1" applyAlignment="1">
      <alignment horizontal="center" vertical="center"/>
    </xf>
    <xf numFmtId="2" fontId="95" fillId="0" borderId="8" xfId="3" applyNumberFormat="1" applyFont="1" applyBorder="1"/>
    <xf numFmtId="0" fontId="69" fillId="0" borderId="1" xfId="3" applyFont="1" applyBorder="1" applyAlignment="1">
      <alignment horizontal="left" vertical="center"/>
    </xf>
    <xf numFmtId="2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vertical="center"/>
    </xf>
    <xf numFmtId="2" fontId="95" fillId="0" borderId="1" xfId="0" applyNumberFormat="1" applyFont="1" applyBorder="1" applyAlignment="1">
      <alignment horizontal="center" vertical="center"/>
    </xf>
    <xf numFmtId="0" fontId="69" fillId="0" borderId="1" xfId="3" applyFont="1" applyBorder="1"/>
    <xf numFmtId="2" fontId="95" fillId="0" borderId="8" xfId="3" applyNumberFormat="1" applyFont="1" applyBorder="1" applyAlignment="1">
      <alignment horizontal="center"/>
    </xf>
    <xf numFmtId="0" fontId="71" fillId="0" borderId="1" xfId="3" applyFont="1" applyBorder="1" applyAlignment="1">
      <alignment vertical="center"/>
    </xf>
    <xf numFmtId="0" fontId="72" fillId="0" borderId="8" xfId="3" applyFont="1" applyBorder="1" applyAlignment="1">
      <alignment horizontal="left" wrapText="1"/>
    </xf>
    <xf numFmtId="2" fontId="97" fillId="0" borderId="8" xfId="3" applyNumberFormat="1" applyFont="1" applyBorder="1" applyAlignment="1">
      <alignment horizontal="center"/>
    </xf>
    <xf numFmtId="0" fontId="74" fillId="0" borderId="1" xfId="3" applyFont="1" applyBorder="1" applyAlignment="1">
      <alignment vertical="center"/>
    </xf>
    <xf numFmtId="0" fontId="74" fillId="0" borderId="1" xfId="3" applyFont="1" applyBorder="1" applyAlignment="1">
      <alignment horizontal="center" vertical="center"/>
    </xf>
    <xf numFmtId="0" fontId="74" fillId="0" borderId="1" xfId="3" applyFont="1" applyBorder="1" applyAlignment="1">
      <alignment horizontal="left" vertical="center"/>
    </xf>
    <xf numFmtId="2" fontId="98" fillId="0" borderId="1" xfId="0" applyNumberFormat="1" applyFont="1" applyBorder="1" applyAlignment="1">
      <alignment horizontal="center" vertical="center"/>
    </xf>
    <xf numFmtId="0" fontId="68" fillId="0" borderId="0" xfId="3" applyFont="1" applyAlignment="1">
      <alignment horizontal="left" vertical="center"/>
    </xf>
    <xf numFmtId="2" fontId="95" fillId="0" borderId="0" xfId="0" applyNumberFormat="1" applyFont="1" applyAlignment="1">
      <alignment horizontal="center" vertical="center"/>
    </xf>
    <xf numFmtId="2" fontId="96" fillId="0" borderId="0" xfId="3" applyNumberFormat="1" applyFont="1"/>
    <xf numFmtId="0" fontId="68" fillId="0" borderId="0" xfId="3" applyFont="1" applyAlignment="1">
      <alignment horizontal="left" wrapText="1"/>
    </xf>
    <xf numFmtId="2" fontId="95" fillId="0" borderId="0" xfId="3" applyNumberFormat="1" applyFont="1"/>
    <xf numFmtId="2" fontId="95" fillId="0" borderId="0" xfId="3" applyNumberFormat="1" applyFont="1" applyAlignment="1">
      <alignment horizontal="center"/>
    </xf>
    <xf numFmtId="0" fontId="68" fillId="0" borderId="0" xfId="3" applyFont="1" applyAlignment="1">
      <alignment horizontal="left"/>
    </xf>
    <xf numFmtId="0" fontId="99" fillId="0" borderId="0" xfId="3" applyFont="1"/>
    <xf numFmtId="0" fontId="99" fillId="0" borderId="0" xfId="3" applyFont="1" applyAlignment="1">
      <alignment vertical="center"/>
    </xf>
    <xf numFmtId="0" fontId="99" fillId="0" borderId="0" xfId="3" applyFont="1" applyAlignment="1">
      <alignment horizontal="center"/>
    </xf>
    <xf numFmtId="0" fontId="99" fillId="0" borderId="0" xfId="3" applyFont="1" applyAlignment="1">
      <alignment horizontal="left" wrapText="1"/>
    </xf>
    <xf numFmtId="0" fontId="56" fillId="0" borderId="1" xfId="3" applyFont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2" fontId="100" fillId="0" borderId="1" xfId="3" applyNumberFormat="1" applyFont="1" applyBorder="1" applyAlignment="1">
      <alignment horizontal="center" vertical="center"/>
    </xf>
    <xf numFmtId="1" fontId="100" fillId="0" borderId="1" xfId="3" applyNumberFormat="1" applyFont="1" applyBorder="1" applyAlignment="1">
      <alignment horizontal="center" vertical="center"/>
    </xf>
    <xf numFmtId="2" fontId="101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/>
    </xf>
    <xf numFmtId="2" fontId="101" fillId="0" borderId="1" xfId="3" applyNumberFormat="1" applyFont="1" applyBorder="1" applyAlignment="1">
      <alignment horizontal="center" vertical="center"/>
    </xf>
    <xf numFmtId="0" fontId="43" fillId="0" borderId="0" xfId="3" applyFont="1"/>
    <xf numFmtId="2" fontId="102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 wrapText="1"/>
    </xf>
    <xf numFmtId="2" fontId="101" fillId="0" borderId="1" xfId="3" applyNumberFormat="1" applyFont="1" applyBorder="1" applyAlignment="1">
      <alignment horizontal="center" vertical="center" wrapText="1"/>
    </xf>
    <xf numFmtId="2" fontId="101" fillId="0" borderId="1" xfId="3" applyNumberFormat="1" applyFont="1" applyBorder="1" applyAlignment="1">
      <alignment horizontal="center" wrapText="1"/>
    </xf>
    <xf numFmtId="0" fontId="67" fillId="0" borderId="1" xfId="3" applyFont="1" applyBorder="1" applyAlignment="1">
      <alignment vertical="center" wrapText="1"/>
    </xf>
    <xf numFmtId="0" fontId="56" fillId="0" borderId="1" xfId="3" applyFont="1" applyBorder="1"/>
    <xf numFmtId="2" fontId="100" fillId="0" borderId="1" xfId="3" applyNumberFormat="1" applyFont="1" applyBorder="1" applyAlignment="1">
      <alignment horizontal="center"/>
    </xf>
    <xf numFmtId="0" fontId="3" fillId="0" borderId="1" xfId="3" applyBorder="1"/>
    <xf numFmtId="2" fontId="102" fillId="0" borderId="1" xfId="3" applyNumberFormat="1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0" xfId="3"/>
    <xf numFmtId="2" fontId="103" fillId="0" borderId="1" xfId="3" applyNumberFormat="1" applyFont="1" applyBorder="1" applyAlignment="1">
      <alignment horizontal="center" vertical="center"/>
    </xf>
    <xf numFmtId="0" fontId="67" fillId="0" borderId="1" xfId="3" applyFont="1" applyBorder="1" applyAlignment="1">
      <alignment vertical="center"/>
    </xf>
    <xf numFmtId="0" fontId="43" fillId="0" borderId="0" xfId="3" applyFont="1" applyAlignment="1">
      <alignment horizontal="center"/>
    </xf>
    <xf numFmtId="2" fontId="101" fillId="0" borderId="1" xfId="3" applyNumberFormat="1" applyFont="1" applyBorder="1" applyAlignment="1">
      <alignment horizontal="left" vertical="center"/>
    </xf>
    <xf numFmtId="1" fontId="101" fillId="0" borderId="1" xfId="3" applyNumberFormat="1" applyFont="1" applyBorder="1" applyAlignment="1">
      <alignment horizontal="left" vertical="center"/>
    </xf>
    <xf numFmtId="0" fontId="43" fillId="0" borderId="0" xfId="3" applyFont="1" applyAlignment="1">
      <alignment horizontal="left" vertical="center"/>
    </xf>
    <xf numFmtId="0" fontId="69" fillId="0" borderId="8" xfId="3" applyFont="1" applyBorder="1" applyAlignment="1">
      <alignment horizontal="center" vertical="center"/>
    </xf>
    <xf numFmtId="0" fontId="69" fillId="0" borderId="8" xfId="3" applyFont="1" applyBorder="1" applyAlignment="1">
      <alignment horizontal="left" vertical="center"/>
    </xf>
    <xf numFmtId="2" fontId="96" fillId="0" borderId="8" xfId="0" applyNumberFormat="1" applyFont="1" applyBorder="1" applyAlignment="1">
      <alignment horizontal="center" vertical="center"/>
    </xf>
    <xf numFmtId="0" fontId="68" fillId="0" borderId="8" xfId="3" applyFont="1" applyBorder="1" applyAlignment="1">
      <alignment horizontal="center" vertical="center"/>
    </xf>
    <xf numFmtId="0" fontId="68" fillId="0" borderId="8" xfId="3" applyFont="1" applyBorder="1" applyAlignment="1">
      <alignment horizontal="left" vertical="center"/>
    </xf>
    <xf numFmtId="2" fontId="95" fillId="0" borderId="8" xfId="0" applyNumberFormat="1" applyFont="1" applyBorder="1" applyAlignment="1">
      <alignment horizontal="center" vertical="center"/>
    </xf>
    <xf numFmtId="0" fontId="72" fillId="0" borderId="8" xfId="3" applyFont="1" applyBorder="1" applyAlignment="1">
      <alignment horizontal="center" vertical="center"/>
    </xf>
    <xf numFmtId="0" fontId="72" fillId="0" borderId="8" xfId="3" applyFont="1" applyBorder="1" applyAlignment="1">
      <alignment horizontal="left" vertical="center"/>
    </xf>
    <xf numFmtId="2" fontId="97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96" fillId="0" borderId="8" xfId="3" applyNumberFormat="1" applyFont="1" applyBorder="1"/>
    <xf numFmtId="0" fontId="2" fillId="0" borderId="1" xfId="3" applyFont="1" applyBorder="1"/>
    <xf numFmtId="1" fontId="100" fillId="0" borderId="1" xfId="3" applyNumberFormat="1" applyFont="1" applyBorder="1" applyAlignment="1">
      <alignment horizontal="center"/>
    </xf>
    <xf numFmtId="1" fontId="95" fillId="0" borderId="1" xfId="0" applyNumberFormat="1" applyFont="1" applyBorder="1" applyAlignment="1">
      <alignment horizontal="center" vertical="center"/>
    </xf>
    <xf numFmtId="1" fontId="95" fillId="0" borderId="8" xfId="3" applyNumberFormat="1" applyFont="1" applyBorder="1"/>
    <xf numFmtId="1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wrapText="1"/>
    </xf>
    <xf numFmtId="0" fontId="83" fillId="3" borderId="1" xfId="3" applyFont="1" applyFill="1" applyBorder="1" applyAlignment="1">
      <alignment vertical="center"/>
    </xf>
    <xf numFmtId="0" fontId="83" fillId="3" borderId="1" xfId="3" applyFont="1" applyFill="1" applyBorder="1" applyAlignment="1">
      <alignment horizontal="left" vertical="center" wrapText="1"/>
    </xf>
    <xf numFmtId="0" fontId="83" fillId="3" borderId="1" xfId="3" applyFont="1" applyFill="1" applyBorder="1" applyAlignment="1">
      <alignment horizontal="center" vertical="center"/>
    </xf>
    <xf numFmtId="0" fontId="68" fillId="0" borderId="1" xfId="3" applyFont="1" applyBorder="1" applyAlignment="1">
      <alignment horizontal="center"/>
    </xf>
    <xf numFmtId="0" fontId="82" fillId="2" borderId="1" xfId="3" applyFont="1" applyFill="1" applyBorder="1" applyAlignment="1">
      <alignment horizontal="center" wrapText="1"/>
    </xf>
    <xf numFmtId="165" fontId="84" fillId="2" borderId="1" xfId="2" applyNumberFormat="1" applyFont="1" applyFill="1" applyBorder="1"/>
    <xf numFmtId="2" fontId="70" fillId="0" borderId="1" xfId="3" applyNumberFormat="1" applyFont="1" applyBorder="1"/>
    <xf numFmtId="2" fontId="95" fillId="0" borderId="1" xfId="3" applyNumberFormat="1" applyFont="1" applyBorder="1"/>
    <xf numFmtId="0" fontId="54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horizontal="left" vertical="center" wrapText="1"/>
    </xf>
    <xf numFmtId="2" fontId="94" fillId="3" borderId="1" xfId="3" applyNumberFormat="1" applyFont="1" applyFill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0" xfId="3" applyFont="1"/>
    <xf numFmtId="0" fontId="2" fillId="0" borderId="1" xfId="3" applyFont="1" applyBorder="1" applyAlignment="1">
      <alignment vertical="center"/>
    </xf>
    <xf numFmtId="0" fontId="2" fillId="0" borderId="0" xfId="3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4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right" wrapText="1"/>
    </xf>
    <xf numFmtId="164" fontId="2" fillId="0" borderId="1" xfId="2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7" xfId="2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top" wrapText="1"/>
    </xf>
    <xf numFmtId="164" fontId="2" fillId="0" borderId="7" xfId="2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4" fontId="2" fillId="0" borderId="1" xfId="2" applyFont="1" applyBorder="1"/>
    <xf numFmtId="0" fontId="2" fillId="0" borderId="1" xfId="0" applyFont="1" applyBorder="1" applyAlignment="1">
      <alignment horizontal="left" vertical="top" wrapText="1"/>
    </xf>
    <xf numFmtId="164" fontId="2" fillId="0" borderId="1" xfId="2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9" applyFont="1" applyBorder="1" applyAlignment="1">
      <alignment horizontal="left" vertical="center"/>
    </xf>
    <xf numFmtId="165" fontId="2" fillId="0" borderId="1" xfId="2" applyNumberFormat="1" applyFont="1" applyBorder="1" applyAlignment="1">
      <alignment horizontal="center" vertical="center"/>
    </xf>
    <xf numFmtId="164" fontId="2" fillId="0" borderId="1" xfId="2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165" fontId="2" fillId="0" borderId="1" xfId="2" applyNumberFormat="1" applyFont="1" applyBorder="1" applyAlignment="1">
      <alignment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68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8" fillId="0" borderId="0" xfId="3" applyNumberFormat="1" applyFont="1" applyAlignment="1">
      <alignment vertical="center"/>
    </xf>
    <xf numFmtId="2" fontId="69" fillId="0" borderId="0" xfId="3" applyNumberFormat="1" applyFont="1" applyAlignment="1">
      <alignment vertical="center"/>
    </xf>
    <xf numFmtId="0" fontId="69" fillId="0" borderId="0" xfId="3" applyFont="1" applyAlignment="1">
      <alignment vertical="center"/>
    </xf>
    <xf numFmtId="1" fontId="0" fillId="0" borderId="0" xfId="0" applyNumberFormat="1"/>
    <xf numFmtId="1" fontId="8" fillId="0" borderId="8" xfId="2" applyNumberFormat="1" applyFont="1" applyBorder="1"/>
    <xf numFmtId="165" fontId="68" fillId="0" borderId="0" xfId="3" applyNumberFormat="1" applyFont="1" applyAlignment="1">
      <alignment horizontal="center" vertical="center"/>
    </xf>
    <xf numFmtId="165" fontId="70" fillId="0" borderId="0" xfId="2" applyNumberFormat="1" applyFont="1" applyAlignment="1">
      <alignment vertical="center"/>
    </xf>
    <xf numFmtId="165" fontId="70" fillId="0" borderId="0" xfId="2" applyNumberFormat="1" applyFont="1"/>
    <xf numFmtId="165" fontId="70" fillId="0" borderId="0" xfId="2" applyNumberFormat="1" applyFont="1" applyAlignment="1">
      <alignment horizontal="center"/>
    </xf>
    <xf numFmtId="165" fontId="70" fillId="0" borderId="0" xfId="3" applyNumberFormat="1" applyFont="1" applyAlignment="1">
      <alignment vertical="center"/>
    </xf>
    <xf numFmtId="0" fontId="70" fillId="0" borderId="0" xfId="3" applyFont="1"/>
    <xf numFmtId="0" fontId="82" fillId="2" borderId="8" xfId="3" applyFont="1" applyFill="1" applyBorder="1" applyAlignment="1">
      <alignment horizontal="center" vertical="center"/>
    </xf>
    <xf numFmtId="0" fontId="68" fillId="0" borderId="8" xfId="0" applyFont="1" applyBorder="1" applyAlignment="1">
      <alignment vertical="center"/>
    </xf>
    <xf numFmtId="0" fontId="28" fillId="0" borderId="8" xfId="3" applyFont="1" applyBorder="1" applyAlignment="1">
      <alignment vertical="center" wrapText="1"/>
    </xf>
    <xf numFmtId="0" fontId="68" fillId="0" borderId="8" xfId="0" applyFont="1" applyBorder="1" applyAlignment="1">
      <alignment vertical="center" wrapText="1"/>
    </xf>
    <xf numFmtId="0" fontId="72" fillId="0" borderId="8" xfId="0" applyFont="1" applyBorder="1" applyAlignment="1">
      <alignment vertical="center"/>
    </xf>
    <xf numFmtId="0" fontId="68" fillId="0" borderId="16" xfId="3" applyFont="1" applyBorder="1" applyAlignment="1">
      <alignment vertical="center"/>
    </xf>
    <xf numFmtId="0" fontId="69" fillId="0" borderId="16" xfId="3" applyFont="1" applyBorder="1" applyAlignment="1">
      <alignment vertical="center"/>
    </xf>
    <xf numFmtId="0" fontId="28" fillId="0" borderId="8" xfId="0" applyFont="1" applyBorder="1" applyAlignment="1">
      <alignment horizontal="left" vertical="center" wrapText="1"/>
    </xf>
    <xf numFmtId="0" fontId="72" fillId="0" borderId="8" xfId="0" applyFont="1" applyBorder="1" applyAlignment="1">
      <alignment vertical="center" wrapText="1"/>
    </xf>
    <xf numFmtId="0" fontId="68" fillId="0" borderId="8" xfId="3" applyFont="1" applyBorder="1" applyAlignment="1">
      <alignment horizontal="left" vertical="center" wrapText="1"/>
    </xf>
    <xf numFmtId="0" fontId="58" fillId="0" borderId="0" xfId="0" applyFont="1"/>
    <xf numFmtId="0" fontId="69" fillId="11" borderId="8" xfId="3" applyFont="1" applyFill="1" applyBorder="1" applyAlignment="1">
      <alignment vertical="center"/>
    </xf>
    <xf numFmtId="0" fontId="69" fillId="11" borderId="8" xfId="3" applyFont="1" applyFill="1" applyBorder="1"/>
    <xf numFmtId="0" fontId="69" fillId="11" borderId="8" xfId="3" applyFont="1" applyFill="1" applyBorder="1" applyAlignment="1">
      <alignment wrapText="1"/>
    </xf>
    <xf numFmtId="2" fontId="75" fillId="11" borderId="8" xfId="3" applyNumberFormat="1" applyFont="1" applyFill="1" applyBorder="1"/>
    <xf numFmtId="1" fontId="75" fillId="11" borderId="8" xfId="3" applyNumberFormat="1" applyFont="1" applyFill="1" applyBorder="1"/>
    <xf numFmtId="2" fontId="8" fillId="11" borderId="8" xfId="3" applyNumberFormat="1" applyFont="1" applyFill="1" applyBorder="1"/>
    <xf numFmtId="1" fontId="8" fillId="11" borderId="8" xfId="3" applyNumberFormat="1" applyFont="1" applyFill="1" applyBorder="1"/>
    <xf numFmtId="0" fontId="71" fillId="11" borderId="8" xfId="3" applyFont="1" applyFill="1" applyBorder="1" applyAlignment="1">
      <alignment vertical="center"/>
    </xf>
    <xf numFmtId="0" fontId="71" fillId="11" borderId="8" xfId="3" applyFont="1" applyFill="1" applyBorder="1"/>
    <xf numFmtId="0" fontId="71" fillId="11" borderId="8" xfId="3" applyFont="1" applyFill="1" applyBorder="1" applyAlignment="1">
      <alignment wrapText="1"/>
    </xf>
    <xf numFmtId="2" fontId="79" fillId="11" borderId="8" xfId="3" applyNumberFormat="1" applyFont="1" applyFill="1" applyBorder="1"/>
    <xf numFmtId="1" fontId="79" fillId="11" borderId="8" xfId="3" applyNumberFormat="1" applyFont="1" applyFill="1" applyBorder="1"/>
    <xf numFmtId="2" fontId="79" fillId="11" borderId="8" xfId="3" applyNumberFormat="1" applyFont="1" applyFill="1" applyBorder="1" applyAlignment="1">
      <alignment horizontal="right"/>
    </xf>
    <xf numFmtId="1" fontId="78" fillId="11" borderId="8" xfId="3" applyNumberFormat="1" applyFont="1" applyFill="1" applyBorder="1"/>
    <xf numFmtId="2" fontId="78" fillId="11" borderId="8" xfId="3" applyNumberFormat="1" applyFont="1" applyFill="1" applyBorder="1"/>
    <xf numFmtId="0" fontId="73" fillId="11" borderId="8" xfId="3" applyFont="1" applyFill="1" applyBorder="1" applyAlignment="1">
      <alignment vertical="center"/>
    </xf>
    <xf numFmtId="0" fontId="73" fillId="11" borderId="8" xfId="3" applyFont="1" applyFill="1" applyBorder="1"/>
    <xf numFmtId="1" fontId="8" fillId="11" borderId="8" xfId="2" applyNumberFormat="1" applyFont="1" applyFill="1" applyBorder="1"/>
    <xf numFmtId="0" fontId="89" fillId="11" borderId="8" xfId="3" applyFont="1" applyFill="1" applyBorder="1" applyAlignment="1">
      <alignment vertical="center"/>
    </xf>
    <xf numFmtId="0" fontId="89" fillId="11" borderId="8" xfId="3" applyFont="1" applyFill="1" applyBorder="1"/>
    <xf numFmtId="0" fontId="89" fillId="11" borderId="8" xfId="3" applyFont="1" applyFill="1" applyBorder="1" applyAlignment="1">
      <alignment wrapText="1"/>
    </xf>
    <xf numFmtId="2" fontId="90" fillId="11" borderId="8" xfId="3" applyNumberFormat="1" applyFont="1" applyFill="1" applyBorder="1"/>
    <xf numFmtId="1" fontId="90" fillId="11" borderId="8" xfId="3" applyNumberFormat="1" applyFont="1" applyFill="1" applyBorder="1"/>
    <xf numFmtId="0" fontId="105" fillId="0" borderId="8" xfId="3" applyFont="1" applyBorder="1" applyAlignment="1">
      <alignment wrapText="1"/>
    </xf>
    <xf numFmtId="0" fontId="106" fillId="0" borderId="8" xfId="3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68" fillId="0" borderId="0" xfId="0" applyNumberFormat="1" applyFont="1"/>
    <xf numFmtId="0" fontId="74" fillId="0" borderId="0" xfId="0" applyFont="1"/>
    <xf numFmtId="2" fontId="74" fillId="0" borderId="0" xfId="0" applyNumberFormat="1" applyFont="1"/>
    <xf numFmtId="0" fontId="68" fillId="11" borderId="0" xfId="0" applyFont="1" applyFill="1"/>
    <xf numFmtId="0" fontId="2" fillId="11" borderId="0" xfId="0" applyFont="1" applyFill="1"/>
    <xf numFmtId="2" fontId="68" fillId="11" borderId="0" xfId="0" applyNumberFormat="1" applyFont="1" applyFill="1"/>
    <xf numFmtId="0" fontId="69" fillId="2" borderId="8" xfId="3" applyFont="1" applyFill="1" applyBorder="1" applyAlignment="1">
      <alignment vertical="center"/>
    </xf>
    <xf numFmtId="0" fontId="71" fillId="2" borderId="8" xfId="3" applyFont="1" applyFill="1" applyBorder="1" applyAlignment="1">
      <alignment vertical="center"/>
    </xf>
    <xf numFmtId="0" fontId="73" fillId="2" borderId="8" xfId="3" applyFont="1" applyFill="1" applyBorder="1" applyAlignment="1">
      <alignment vertical="center"/>
    </xf>
    <xf numFmtId="0" fontId="0" fillId="11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89" fillId="0" borderId="0" xfId="0" applyFont="1" applyAlignment="1">
      <alignment vertical="center" wrapText="1"/>
    </xf>
    <xf numFmtId="0" fontId="0" fillId="2" borderId="1" xfId="0" applyFill="1" applyBorder="1" applyAlignment="1">
      <alignment horizontal="right"/>
    </xf>
    <xf numFmtId="0" fontId="68" fillId="2" borderId="1" xfId="0" applyFont="1" applyFill="1" applyBorder="1" applyAlignment="1">
      <alignment horizontal="right"/>
    </xf>
    <xf numFmtId="0" fontId="68" fillId="11" borderId="1" xfId="0" applyFont="1" applyFill="1" applyBorder="1"/>
    <xf numFmtId="0" fontId="8" fillId="2" borderId="1" xfId="0" applyFont="1" applyFill="1" applyBorder="1"/>
    <xf numFmtId="2" fontId="75" fillId="11" borderId="1" xfId="0" applyNumberFormat="1" applyFont="1" applyFill="1" applyBorder="1"/>
    <xf numFmtId="1" fontId="75" fillId="11" borderId="1" xfId="0" applyNumberFormat="1" applyFont="1" applyFill="1" applyBorder="1"/>
    <xf numFmtId="0" fontId="68" fillId="2" borderId="1" xfId="0" applyFont="1" applyFill="1" applyBorder="1"/>
    <xf numFmtId="0" fontId="68" fillId="11" borderId="1" xfId="0" applyFont="1" applyFill="1" applyBorder="1" applyAlignment="1">
      <alignment horizontal="left"/>
    </xf>
    <xf numFmtId="2" fontId="8" fillId="11" borderId="1" xfId="0" applyNumberFormat="1" applyFont="1" applyFill="1" applyBorder="1"/>
    <xf numFmtId="0" fontId="69" fillId="2" borderId="8" xfId="3" applyFont="1" applyFill="1" applyBorder="1" applyAlignment="1">
      <alignment vertical="center" wrapText="1"/>
    </xf>
    <xf numFmtId="0" fontId="89" fillId="2" borderId="8" xfId="3" applyFont="1" applyFill="1" applyBorder="1" applyAlignment="1">
      <alignment vertical="center"/>
    </xf>
    <xf numFmtId="2" fontId="68" fillId="0" borderId="1" xfId="3" applyNumberFormat="1" applyFont="1" applyBorder="1" applyAlignment="1">
      <alignment vertical="center"/>
    </xf>
    <xf numFmtId="0" fontId="69" fillId="12" borderId="8" xfId="3" applyFont="1" applyFill="1" applyBorder="1" applyAlignment="1">
      <alignment vertical="center"/>
    </xf>
    <xf numFmtId="0" fontId="69" fillId="12" borderId="8" xfId="3" applyFont="1" applyFill="1" applyBorder="1" applyAlignment="1">
      <alignment vertical="center" wrapText="1"/>
    </xf>
    <xf numFmtId="2" fontId="8" fillId="12" borderId="8" xfId="3" applyNumberFormat="1" applyFont="1" applyFill="1" applyBorder="1" applyAlignment="1">
      <alignment vertical="center"/>
    </xf>
    <xf numFmtId="0" fontId="71" fillId="12" borderId="8" xfId="3" applyFont="1" applyFill="1" applyBorder="1" applyAlignment="1">
      <alignment vertical="center"/>
    </xf>
    <xf numFmtId="0" fontId="89" fillId="12" borderId="8" xfId="3" applyFont="1" applyFill="1" applyBorder="1" applyAlignment="1">
      <alignment vertical="center"/>
    </xf>
    <xf numFmtId="169" fontId="107" fillId="3" borderId="8" xfId="2" applyNumberFormat="1" applyFont="1" applyFill="1" applyBorder="1" applyAlignment="1">
      <alignment horizontal="center" vertical="center"/>
    </xf>
    <xf numFmtId="165" fontId="108" fillId="3" borderId="8" xfId="2" applyNumberFormat="1" applyFont="1" applyFill="1" applyBorder="1" applyAlignment="1">
      <alignment horizontal="center" vertical="center"/>
    </xf>
    <xf numFmtId="165" fontId="8" fillId="12" borderId="8" xfId="2" applyNumberFormat="1" applyFont="1" applyFill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0" fontId="82" fillId="2" borderId="8" xfId="3" applyFont="1" applyFill="1" applyBorder="1" applyAlignment="1">
      <alignment horizontal="center" vertical="center" wrapText="1"/>
    </xf>
    <xf numFmtId="0" fontId="68" fillId="0" borderId="16" xfId="3" applyFont="1" applyBorder="1" applyAlignment="1">
      <alignment horizontal="center" vertical="center"/>
    </xf>
    <xf numFmtId="2" fontId="70" fillId="0" borderId="8" xfId="3" applyNumberFormat="1" applyFont="1" applyBorder="1" applyAlignment="1">
      <alignment vertical="center"/>
    </xf>
    <xf numFmtId="1" fontId="70" fillId="0" borderId="8" xfId="3" applyNumberFormat="1" applyFont="1" applyBorder="1" applyAlignment="1">
      <alignment vertical="center"/>
    </xf>
    <xf numFmtId="0" fontId="82" fillId="10" borderId="8" xfId="3" applyFont="1" applyFill="1" applyBorder="1" applyAlignment="1">
      <alignment vertical="center" wrapText="1"/>
    </xf>
    <xf numFmtId="2" fontId="81" fillId="10" borderId="8" xfId="3" applyNumberFormat="1" applyFont="1" applyFill="1" applyBorder="1" applyAlignment="1">
      <alignment vertical="center"/>
    </xf>
    <xf numFmtId="165" fontId="81" fillId="10" borderId="8" xfId="2" applyNumberFormat="1" applyFont="1" applyFill="1" applyBorder="1" applyAlignment="1">
      <alignment vertical="center"/>
    </xf>
    <xf numFmtId="165" fontId="70" fillId="0" borderId="8" xfId="2" applyNumberFormat="1" applyFont="1" applyBorder="1" applyAlignment="1">
      <alignment vertical="center"/>
    </xf>
    <xf numFmtId="2" fontId="75" fillId="2" borderId="8" xfId="3" applyNumberFormat="1" applyFont="1" applyFill="1" applyBorder="1" applyAlignment="1">
      <alignment vertical="center"/>
    </xf>
    <xf numFmtId="165" fontId="75" fillId="2" borderId="8" xfId="2" applyNumberFormat="1" applyFont="1" applyFill="1" applyBorder="1" applyAlignment="1">
      <alignment vertical="center"/>
    </xf>
    <xf numFmtId="1" fontId="0" fillId="0" borderId="16" xfId="3" applyNumberFormat="1" applyFont="1" applyBorder="1" applyAlignment="1">
      <alignment vertical="center"/>
    </xf>
    <xf numFmtId="0" fontId="77" fillId="0" borderId="0" xfId="3" applyFont="1" applyAlignment="1">
      <alignment vertical="center"/>
    </xf>
    <xf numFmtId="0" fontId="72" fillId="0" borderId="8" xfId="3" applyFont="1" applyBorder="1" applyAlignment="1">
      <alignment vertical="center" wrapText="1"/>
    </xf>
    <xf numFmtId="2" fontId="38" fillId="0" borderId="8" xfId="3" applyNumberFormat="1" applyFont="1" applyBorder="1" applyAlignment="1">
      <alignment vertical="center"/>
    </xf>
    <xf numFmtId="165" fontId="38" fillId="0" borderId="8" xfId="2" applyNumberFormat="1" applyFont="1" applyBorder="1" applyAlignment="1">
      <alignment vertical="center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0" fontId="71" fillId="0" borderId="16" xfId="3" applyFont="1" applyBorder="1" applyAlignment="1">
      <alignment vertical="center"/>
    </xf>
    <xf numFmtId="0" fontId="71" fillId="0" borderId="0" xfId="3" applyFont="1" applyAlignment="1">
      <alignment vertical="center"/>
    </xf>
    <xf numFmtId="0" fontId="89" fillId="12" borderId="8" xfId="3" applyFont="1" applyFill="1" applyBorder="1" applyAlignment="1">
      <alignment vertical="center" wrapText="1"/>
    </xf>
    <xf numFmtId="2" fontId="75" fillId="12" borderId="8" xfId="3" applyNumberFormat="1" applyFont="1" applyFill="1" applyBorder="1" applyAlignment="1">
      <alignment vertical="center"/>
    </xf>
    <xf numFmtId="165" fontId="75" fillId="12" borderId="8" xfId="2" applyNumberFormat="1" applyFont="1" applyFill="1" applyBorder="1" applyAlignment="1">
      <alignment vertical="center"/>
    </xf>
    <xf numFmtId="2" fontId="79" fillId="2" borderId="8" xfId="3" applyNumberFormat="1" applyFont="1" applyFill="1" applyBorder="1" applyAlignment="1">
      <alignment horizontal="right" vertical="center"/>
    </xf>
    <xf numFmtId="165" fontId="79" fillId="2" borderId="8" xfId="2" applyNumberFormat="1" applyFont="1" applyFill="1" applyBorder="1" applyAlignment="1">
      <alignment horizontal="right" vertical="center"/>
    </xf>
    <xf numFmtId="0" fontId="71" fillId="12" borderId="8" xfId="3" applyFont="1" applyFill="1" applyBorder="1" applyAlignment="1">
      <alignment vertical="center" wrapText="1"/>
    </xf>
    <xf numFmtId="2" fontId="8" fillId="0" borderId="8" xfId="3" applyNumberFormat="1" applyFont="1" applyBorder="1" applyAlignment="1">
      <alignment vertical="center"/>
    </xf>
    <xf numFmtId="165" fontId="75" fillId="0" borderId="8" xfId="2" applyNumberFormat="1" applyFont="1" applyBorder="1" applyAlignment="1">
      <alignment vertical="center"/>
    </xf>
    <xf numFmtId="2" fontId="76" fillId="0" borderId="8" xfId="3" applyNumberFormat="1" applyFont="1" applyBorder="1" applyAlignment="1">
      <alignment vertical="center"/>
    </xf>
    <xf numFmtId="2" fontId="104" fillId="0" borderId="8" xfId="3" applyNumberFormat="1" applyFont="1" applyBorder="1" applyAlignment="1">
      <alignment vertical="center"/>
    </xf>
    <xf numFmtId="165" fontId="35" fillId="0" borderId="8" xfId="2" applyNumberFormat="1" applyFont="1" applyBorder="1" applyAlignment="1">
      <alignment vertical="center"/>
    </xf>
    <xf numFmtId="2" fontId="80" fillId="0" borderId="8" xfId="3" applyNumberFormat="1" applyFont="1" applyBorder="1" applyAlignment="1">
      <alignment vertical="center"/>
    </xf>
    <xf numFmtId="2" fontId="78" fillId="2" borderId="8" xfId="3" applyNumberFormat="1" applyFont="1" applyFill="1" applyBorder="1" applyAlignment="1">
      <alignment vertical="center"/>
    </xf>
    <xf numFmtId="165" fontId="78" fillId="2" borderId="8" xfId="2" applyNumberFormat="1" applyFont="1" applyFill="1" applyBorder="1" applyAlignment="1">
      <alignment vertical="center"/>
    </xf>
    <xf numFmtId="1" fontId="0" fillId="0" borderId="8" xfId="3" applyNumberFormat="1" applyFont="1" applyBorder="1" applyAlignment="1">
      <alignment vertical="center"/>
    </xf>
    <xf numFmtId="0" fontId="88" fillId="0" borderId="0" xfId="3" applyFont="1" applyAlignment="1">
      <alignment vertical="center"/>
    </xf>
    <xf numFmtId="2" fontId="0" fillId="0" borderId="8" xfId="3" applyNumberFormat="1" applyFont="1" applyBorder="1" applyAlignment="1">
      <alignment horizontal="right" vertical="center"/>
    </xf>
    <xf numFmtId="2" fontId="70" fillId="0" borderId="8" xfId="3" applyNumberFormat="1" applyFont="1" applyBorder="1" applyAlignment="1">
      <alignment horizontal="right" vertical="center"/>
    </xf>
    <xf numFmtId="1" fontId="75" fillId="12" borderId="8" xfId="2" applyNumberFormat="1" applyFont="1" applyFill="1" applyBorder="1" applyAlignment="1">
      <alignment vertical="center"/>
    </xf>
    <xf numFmtId="0" fontId="109" fillId="0" borderId="0" xfId="3" applyFont="1" applyAlignment="1">
      <alignment vertical="center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vertical="center" wrapText="1"/>
    </xf>
    <xf numFmtId="2" fontId="34" fillId="0" borderId="8" xfId="0" applyNumberFormat="1" applyFont="1" applyBorder="1" applyAlignment="1">
      <alignment vertical="center"/>
    </xf>
    <xf numFmtId="165" fontId="34" fillId="0" borderId="8" xfId="2" applyNumberFormat="1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0" xfId="0" applyFont="1" applyAlignment="1">
      <alignment vertical="center"/>
    </xf>
    <xf numFmtId="2" fontId="91" fillId="10" borderId="8" xfId="3" applyNumberFormat="1" applyFont="1" applyFill="1" applyBorder="1" applyAlignment="1">
      <alignment vertical="center"/>
    </xf>
    <xf numFmtId="165" fontId="91" fillId="10" borderId="8" xfId="2" applyNumberFormat="1" applyFont="1" applyFill="1" applyBorder="1" applyAlignment="1">
      <alignment vertical="center"/>
    </xf>
    <xf numFmtId="0" fontId="72" fillId="0" borderId="16" xfId="3" applyFont="1" applyBorder="1" applyAlignment="1">
      <alignment vertical="center"/>
    </xf>
    <xf numFmtId="0" fontId="74" fillId="0" borderId="0" xfId="3" applyFont="1" applyAlignment="1">
      <alignment vertical="center"/>
    </xf>
    <xf numFmtId="2" fontId="79" fillId="12" borderId="8" xfId="3" applyNumberFormat="1" applyFont="1" applyFill="1" applyBorder="1" applyAlignment="1">
      <alignment vertical="center"/>
    </xf>
    <xf numFmtId="165" fontId="79" fillId="12" borderId="8" xfId="2" applyNumberFormat="1" applyFont="1" applyFill="1" applyBorder="1" applyAlignment="1">
      <alignment vertical="center"/>
    </xf>
    <xf numFmtId="2" fontId="37" fillId="0" borderId="8" xfId="3" applyNumberFormat="1" applyFont="1" applyBorder="1" applyAlignment="1">
      <alignment vertical="center"/>
    </xf>
    <xf numFmtId="165" fontId="37" fillId="0" borderId="8" xfId="2" applyNumberFormat="1" applyFont="1" applyBorder="1" applyAlignment="1">
      <alignment vertical="center"/>
    </xf>
    <xf numFmtId="0" fontId="28" fillId="0" borderId="16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72" fillId="0" borderId="0" xfId="3" applyFont="1" applyAlignment="1">
      <alignment vertical="center"/>
    </xf>
    <xf numFmtId="0" fontId="68" fillId="0" borderId="0" xfId="3" applyFont="1" applyAlignment="1">
      <alignment vertical="center" wrapText="1"/>
    </xf>
    <xf numFmtId="1" fontId="0" fillId="0" borderId="0" xfId="3" applyNumberFormat="1" applyFont="1" applyAlignment="1">
      <alignment vertical="center"/>
    </xf>
    <xf numFmtId="0" fontId="68" fillId="13" borderId="0" xfId="3" applyFont="1" applyFill="1" applyAlignment="1">
      <alignment vertical="center"/>
    </xf>
    <xf numFmtId="0" fontId="68" fillId="13" borderId="0" xfId="3" applyFont="1" applyFill="1" applyAlignment="1">
      <alignment horizontal="center" vertical="center"/>
    </xf>
    <xf numFmtId="0" fontId="69" fillId="13" borderId="0" xfId="3" applyFont="1" applyFill="1" applyAlignment="1">
      <alignment vertical="center"/>
    </xf>
    <xf numFmtId="1" fontId="0" fillId="13" borderId="0" xfId="3" applyNumberFormat="1" applyFont="1" applyFill="1" applyAlignment="1">
      <alignment vertical="center"/>
    </xf>
    <xf numFmtId="0" fontId="71" fillId="13" borderId="0" xfId="3" applyFont="1" applyFill="1" applyAlignment="1">
      <alignment vertical="center"/>
    </xf>
    <xf numFmtId="0" fontId="28" fillId="13" borderId="0" xfId="0" applyFont="1" applyFill="1" applyAlignment="1">
      <alignment vertical="center"/>
    </xf>
    <xf numFmtId="0" fontId="72" fillId="13" borderId="0" xfId="3" applyFont="1" applyFill="1" applyAlignment="1">
      <alignment vertical="center"/>
    </xf>
    <xf numFmtId="0" fontId="28" fillId="13" borderId="0" xfId="3" applyFont="1" applyFill="1" applyAlignment="1">
      <alignment vertical="center"/>
    </xf>
    <xf numFmtId="0" fontId="74" fillId="0" borderId="8" xfId="3" applyFont="1" applyBorder="1" applyAlignment="1">
      <alignment vertical="center" wrapText="1"/>
    </xf>
    <xf numFmtId="0" fontId="71" fillId="2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vertical="center" wrapText="1"/>
    </xf>
    <xf numFmtId="0" fontId="89" fillId="2" borderId="8" xfId="3" applyFont="1" applyFill="1" applyBorder="1" applyAlignment="1">
      <alignment vertical="center" wrapText="1"/>
    </xf>
    <xf numFmtId="9" fontId="68" fillId="0" borderId="0" xfId="27" applyFont="1" applyAlignment="1">
      <alignment vertical="center"/>
    </xf>
    <xf numFmtId="165" fontId="108" fillId="3" borderId="8" xfId="2" applyNumberFormat="1" applyFont="1" applyFill="1" applyBorder="1" applyAlignment="1">
      <alignment horizontal="right" vertical="center"/>
    </xf>
    <xf numFmtId="0" fontId="73" fillId="0" borderId="8" xfId="3" applyFont="1" applyBorder="1" applyAlignment="1">
      <alignment vertical="center" wrapText="1"/>
    </xf>
    <xf numFmtId="0" fontId="110" fillId="0" borderId="8" xfId="3" applyFont="1" applyBorder="1" applyAlignment="1">
      <alignment vertical="center" wrapText="1"/>
    </xf>
    <xf numFmtId="0" fontId="89" fillId="14" borderId="8" xfId="3" applyFont="1" applyFill="1" applyBorder="1" applyAlignment="1">
      <alignment vertical="center" wrapText="1"/>
    </xf>
    <xf numFmtId="165" fontId="70" fillId="0" borderId="8" xfId="3" applyNumberFormat="1" applyFont="1" applyBorder="1" applyAlignment="1">
      <alignment vertical="center"/>
    </xf>
    <xf numFmtId="165" fontId="0" fillId="0" borderId="8" xfId="3" applyNumberFormat="1" applyFont="1" applyBorder="1" applyAlignment="1">
      <alignment vertical="center"/>
    </xf>
    <xf numFmtId="164" fontId="0" fillId="0" borderId="0" xfId="0" applyNumberFormat="1"/>
    <xf numFmtId="165" fontId="108" fillId="3" borderId="8" xfId="2" applyNumberFormat="1" applyFont="1" applyFill="1" applyBorder="1" applyAlignment="1">
      <alignment horizontal="left" vertical="center"/>
    </xf>
    <xf numFmtId="0" fontId="68" fillId="0" borderId="1" xfId="0" applyFont="1" applyBorder="1"/>
    <xf numFmtId="0" fontId="68" fillId="0" borderId="1" xfId="0" applyFont="1" applyBorder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112" fillId="0" borderId="0" xfId="0" applyFont="1"/>
    <xf numFmtId="0" fontId="113" fillId="0" borderId="0" xfId="0" applyFont="1"/>
    <xf numFmtId="0" fontId="112" fillId="0" borderId="0" xfId="0" applyFont="1" applyAlignment="1">
      <alignment horizontal="right"/>
    </xf>
    <xf numFmtId="0" fontId="75" fillId="0" borderId="0" xfId="0" applyFont="1"/>
    <xf numFmtId="2" fontId="75" fillId="0" borderId="0" xfId="0" applyNumberFormat="1" applyFont="1"/>
    <xf numFmtId="0" fontId="70" fillId="0" borderId="0" xfId="0" applyFont="1"/>
    <xf numFmtId="2" fontId="70" fillId="0" borderId="0" xfId="0" applyNumberFormat="1" applyFont="1"/>
    <xf numFmtId="0" fontId="114" fillId="15" borderId="8" xfId="0" applyFont="1" applyFill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117" fillId="0" borderId="0" xfId="3" applyFont="1" applyAlignment="1">
      <alignment vertical="center"/>
    </xf>
    <xf numFmtId="0" fontId="111" fillId="3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116" fillId="0" borderId="0" xfId="3" applyFont="1" applyAlignment="1">
      <alignment vertical="center"/>
    </xf>
    <xf numFmtId="0" fontId="117" fillId="0" borderId="0" xfId="3" applyFont="1" applyAlignment="1">
      <alignment vertical="center" wrapText="1"/>
    </xf>
    <xf numFmtId="0" fontId="117" fillId="0" borderId="0" xfId="3" applyFont="1" applyAlignment="1">
      <alignment horizontal="center" vertical="center"/>
    </xf>
    <xf numFmtId="0" fontId="118" fillId="0" borderId="0" xfId="3" applyFont="1" applyAlignment="1">
      <alignment vertical="center"/>
    </xf>
    <xf numFmtId="0" fontId="119" fillId="0" borderId="0" xfId="3" applyFont="1" applyAlignment="1">
      <alignment vertical="center"/>
    </xf>
    <xf numFmtId="0" fontId="115" fillId="0" borderId="0" xfId="3" applyFont="1" applyAlignment="1">
      <alignment vertical="center"/>
    </xf>
    <xf numFmtId="169" fontId="108" fillId="3" borderId="8" xfId="2" applyNumberFormat="1" applyFont="1" applyFill="1" applyBorder="1" applyAlignment="1">
      <alignment horizontal="center" vertical="center"/>
    </xf>
    <xf numFmtId="2" fontId="8" fillId="2" borderId="8" xfId="3" applyNumberFormat="1" applyFont="1" applyFill="1" applyBorder="1" applyAlignment="1">
      <alignment vertical="center"/>
    </xf>
    <xf numFmtId="165" fontId="8" fillId="2" borderId="8" xfId="2" applyNumberFormat="1" applyFont="1" applyFill="1" applyBorder="1" applyAlignment="1">
      <alignment vertical="center"/>
    </xf>
    <xf numFmtId="165" fontId="8" fillId="0" borderId="8" xfId="2" applyNumberFormat="1" applyFont="1" applyBorder="1" applyAlignment="1">
      <alignment vertical="center"/>
    </xf>
    <xf numFmtId="2" fontId="37" fillId="0" borderId="8" xfId="0" applyNumberFormat="1" applyFont="1" applyBorder="1" applyAlignment="1">
      <alignment vertical="center"/>
    </xf>
    <xf numFmtId="164" fontId="108" fillId="3" borderId="8" xfId="2" applyFont="1" applyFill="1" applyBorder="1" applyAlignment="1">
      <alignment horizontal="center" vertical="center"/>
    </xf>
    <xf numFmtId="164" fontId="78" fillId="2" borderId="8" xfId="2" applyFont="1" applyFill="1" applyBorder="1" applyAlignment="1">
      <alignment vertical="center"/>
    </xf>
    <xf numFmtId="0" fontId="29" fillId="0" borderId="1" xfId="30" applyFont="1" applyBorder="1" applyAlignment="1">
      <alignment horizontal="left" vertical="center"/>
    </xf>
    <xf numFmtId="2" fontId="4" fillId="0" borderId="8" xfId="3" applyNumberFormat="1" applyFont="1" applyBorder="1" applyAlignment="1">
      <alignment vertical="center"/>
    </xf>
    <xf numFmtId="165" fontId="4" fillId="0" borderId="8" xfId="2" applyNumberFormat="1" applyFont="1" applyFill="1" applyBorder="1" applyAlignment="1">
      <alignment vertical="center"/>
    </xf>
    <xf numFmtId="0" fontId="120" fillId="0" borderId="6" xfId="0" applyFont="1" applyBorder="1" applyAlignment="1">
      <alignment vertical="center"/>
    </xf>
    <xf numFmtId="0" fontId="120" fillId="0" borderId="6" xfId="0" applyFont="1" applyBorder="1" applyAlignment="1">
      <alignment vertical="center" wrapText="1"/>
    </xf>
    <xf numFmtId="14" fontId="68" fillId="0" borderId="8" xfId="3" applyNumberFormat="1" applyFont="1" applyBorder="1" applyAlignment="1">
      <alignment vertical="center"/>
    </xf>
    <xf numFmtId="0" fontId="121" fillId="0" borderId="1" xfId="0" applyFont="1" applyBorder="1" applyAlignment="1">
      <alignment vertical="center"/>
    </xf>
    <xf numFmtId="0" fontId="69" fillId="0" borderId="1" xfId="0" applyFont="1" applyBorder="1" applyAlignment="1">
      <alignment horizontal="right" vertical="center"/>
    </xf>
    <xf numFmtId="0" fontId="122" fillId="0" borderId="1" xfId="0" applyFont="1" applyBorder="1" applyAlignment="1">
      <alignment horizontal="right" vertical="center"/>
    </xf>
    <xf numFmtId="0" fontId="121" fillId="0" borderId="1" xfId="0" applyFont="1" applyBorder="1" applyAlignment="1">
      <alignment vertical="center" wrapText="1"/>
    </xf>
    <xf numFmtId="170" fontId="121" fillId="0" borderId="1" xfId="0" applyNumberFormat="1" applyFont="1" applyBorder="1" applyAlignment="1">
      <alignment horizontal="center" vertical="center"/>
    </xf>
    <xf numFmtId="170" fontId="121" fillId="0" borderId="1" xfId="0" applyNumberFormat="1" applyFont="1" applyBorder="1" applyAlignment="1">
      <alignment vertical="center"/>
    </xf>
    <xf numFmtId="0" fontId="121" fillId="0" borderId="0" xfId="0" applyFont="1" applyAlignment="1">
      <alignment vertical="center"/>
    </xf>
    <xf numFmtId="0" fontId="121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/>
    </xf>
    <xf numFmtId="170" fontId="124" fillId="3" borderId="1" xfId="0" applyNumberFormat="1" applyFont="1" applyFill="1" applyBorder="1" applyAlignment="1">
      <alignment horizontal="center" vertical="center"/>
    </xf>
    <xf numFmtId="170" fontId="123" fillId="0" borderId="1" xfId="0" applyNumberFormat="1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165" fontId="68" fillId="0" borderId="1" xfId="31" applyNumberFormat="1" applyFont="1" applyFill="1" applyBorder="1" applyAlignment="1">
      <alignment horizontal="center" vertical="center"/>
    </xf>
    <xf numFmtId="0" fontId="125" fillId="0" borderId="1" xfId="0" applyFont="1" applyBorder="1" applyAlignment="1">
      <alignment horizontal="center" vertical="center"/>
    </xf>
    <xf numFmtId="0" fontId="127" fillId="0" borderId="1" xfId="0" applyFont="1" applyBorder="1" applyAlignment="1">
      <alignment horizontal="center" vertical="center"/>
    </xf>
    <xf numFmtId="0" fontId="126" fillId="0" borderId="1" xfId="0" applyFont="1" applyBorder="1" applyAlignment="1">
      <alignment horizontal="right" wrapText="1"/>
    </xf>
    <xf numFmtId="0" fontId="125" fillId="0" borderId="0" xfId="0" applyFont="1" applyAlignment="1">
      <alignment horizontal="center" vertical="center"/>
    </xf>
    <xf numFmtId="0" fontId="123" fillId="0" borderId="1" xfId="0" applyFont="1" applyBorder="1" applyAlignment="1">
      <alignment vertical="center" wrapText="1"/>
    </xf>
    <xf numFmtId="0" fontId="123" fillId="0" borderId="1" xfId="0" applyFont="1" applyBorder="1" applyAlignment="1">
      <alignment vertical="center"/>
    </xf>
    <xf numFmtId="170" fontId="123" fillId="0" borderId="1" xfId="0" applyNumberFormat="1" applyFont="1" applyBorder="1" applyAlignment="1">
      <alignment vertical="center"/>
    </xf>
    <xf numFmtId="0" fontId="122" fillId="16" borderId="1" xfId="0" applyFont="1" applyFill="1" applyBorder="1" applyAlignment="1">
      <alignment horizontal="right" vertical="center"/>
    </xf>
    <xf numFmtId="0" fontId="123" fillId="16" borderId="1" xfId="0" applyFont="1" applyFill="1" applyBorder="1" applyAlignment="1">
      <alignment vertical="center" wrapText="1"/>
    </xf>
    <xf numFmtId="0" fontId="123" fillId="16" borderId="1" xfId="0" applyFont="1" applyFill="1" applyBorder="1" applyAlignment="1">
      <alignment vertical="center"/>
    </xf>
    <xf numFmtId="170" fontId="121" fillId="16" borderId="1" xfId="0" applyNumberFormat="1" applyFont="1" applyFill="1" applyBorder="1" applyAlignment="1">
      <alignment horizontal="center" vertical="center"/>
    </xf>
    <xf numFmtId="170" fontId="128" fillId="0" borderId="1" xfId="0" applyNumberFormat="1" applyFont="1" applyBorder="1" applyAlignment="1">
      <alignment horizontal="center" vertical="center"/>
    </xf>
    <xf numFmtId="170" fontId="129" fillId="0" borderId="1" xfId="0" applyNumberFormat="1" applyFont="1" applyBorder="1" applyAlignment="1">
      <alignment horizontal="center" vertical="center"/>
    </xf>
    <xf numFmtId="170" fontId="130" fillId="0" borderId="1" xfId="0" applyNumberFormat="1" applyFont="1" applyBorder="1" applyAlignment="1">
      <alignment vertical="center"/>
    </xf>
    <xf numFmtId="0" fontId="47" fillId="0" borderId="1" xfId="0" applyFont="1" applyBorder="1" applyAlignment="1">
      <alignment vertical="center"/>
    </xf>
    <xf numFmtId="170" fontId="131" fillId="0" borderId="1" xfId="0" applyNumberFormat="1" applyFont="1" applyBorder="1" applyAlignment="1">
      <alignment vertical="center"/>
    </xf>
    <xf numFmtId="0" fontId="69" fillId="2" borderId="1" xfId="0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vertical="center"/>
    </xf>
    <xf numFmtId="0" fontId="121" fillId="2" borderId="1" xfId="0" applyFont="1" applyFill="1" applyBorder="1" applyAlignment="1">
      <alignment vertical="center"/>
    </xf>
    <xf numFmtId="165" fontId="125" fillId="0" borderId="1" xfId="31" applyNumberFormat="1" applyFont="1" applyFill="1" applyBorder="1" applyAlignment="1">
      <alignment horizontal="center" vertical="center"/>
    </xf>
    <xf numFmtId="170" fontId="125" fillId="0" borderId="1" xfId="0" applyNumberFormat="1" applyFont="1" applyBorder="1" applyAlignment="1">
      <alignment horizontal="center" vertical="center"/>
    </xf>
    <xf numFmtId="170" fontId="125" fillId="2" borderId="1" xfId="0" applyNumberFormat="1" applyFont="1" applyFill="1" applyBorder="1" applyAlignment="1">
      <alignment horizontal="center" vertical="center"/>
    </xf>
    <xf numFmtId="170" fontId="132" fillId="0" borderId="1" xfId="0" applyNumberFormat="1" applyFont="1" applyBorder="1" applyAlignment="1">
      <alignment horizontal="center" vertical="center"/>
    </xf>
    <xf numFmtId="170" fontId="132" fillId="2" borderId="1" xfId="0" applyNumberFormat="1" applyFont="1" applyFill="1" applyBorder="1" applyAlignment="1">
      <alignment horizontal="center" vertical="center"/>
    </xf>
    <xf numFmtId="0" fontId="69" fillId="0" borderId="0" xfId="0" applyFont="1" applyAlignment="1">
      <alignment horizontal="right" vertical="center"/>
    </xf>
    <xf numFmtId="0" fontId="68" fillId="0" borderId="0" xfId="0" applyFont="1" applyAlignment="1">
      <alignment vertical="center" wrapText="1"/>
    </xf>
    <xf numFmtId="170" fontId="121" fillId="0" borderId="0" xfId="0" applyNumberFormat="1" applyFont="1" applyAlignment="1">
      <alignment horizontal="center" vertical="center"/>
    </xf>
    <xf numFmtId="170" fontId="121" fillId="0" borderId="0" xfId="0" applyNumberFormat="1" applyFont="1" applyAlignment="1">
      <alignment vertical="center"/>
    </xf>
    <xf numFmtId="1" fontId="68" fillId="0" borderId="1" xfId="0" applyNumberFormat="1" applyFont="1" applyBorder="1" applyAlignment="1">
      <alignment horizontal="right" vertical="center"/>
    </xf>
    <xf numFmtId="170" fontId="133" fillId="0" borderId="1" xfId="0" applyNumberFormat="1" applyFont="1" applyBorder="1" applyAlignment="1">
      <alignment vertical="center"/>
    </xf>
    <xf numFmtId="170" fontId="133" fillId="0" borderId="1" xfId="0" applyNumberFormat="1" applyFont="1" applyBorder="1" applyAlignment="1">
      <alignment horizontal="center" vertical="center"/>
    </xf>
    <xf numFmtId="43" fontId="91" fillId="0" borderId="0" xfId="7" applyFont="1" applyAlignment="1">
      <alignment vertical="center"/>
    </xf>
    <xf numFmtId="0" fontId="47" fillId="0" borderId="1" xfId="0" applyFont="1" applyBorder="1" applyAlignment="1">
      <alignment vertical="center" wrapText="1"/>
    </xf>
    <xf numFmtId="170" fontId="133" fillId="0" borderId="1" xfId="0" applyNumberFormat="1" applyFont="1" applyBorder="1" applyAlignment="1">
      <alignment vertical="center" wrapText="1"/>
    </xf>
    <xf numFmtId="0" fontId="122" fillId="0" borderId="0" xfId="0" applyFont="1" applyAlignment="1">
      <alignment horizontal="right" vertical="center"/>
    </xf>
    <xf numFmtId="0" fontId="121" fillId="0" borderId="0" xfId="0" applyFont="1" applyAlignment="1">
      <alignment vertical="center" wrapText="1"/>
    </xf>
    <xf numFmtId="0" fontId="82" fillId="10" borderId="8" xfId="3" applyFont="1" applyFill="1" applyBorder="1" applyAlignment="1">
      <alignment horizontal="center" vertical="center"/>
    </xf>
    <xf numFmtId="0" fontId="69" fillId="2" borderId="8" xfId="3" applyFont="1" applyFill="1" applyBorder="1" applyAlignment="1">
      <alignment horizontal="center" vertical="center"/>
    </xf>
    <xf numFmtId="14" fontId="68" fillId="0" borderId="8" xfId="3" applyNumberFormat="1" applyFont="1" applyBorder="1" applyAlignment="1">
      <alignment horizontal="center" vertical="center"/>
    </xf>
    <xf numFmtId="14" fontId="68" fillId="0" borderId="0" xfId="3" applyNumberFormat="1" applyFont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left" vertical="center" wrapText="1"/>
    </xf>
    <xf numFmtId="0" fontId="47" fillId="17" borderId="1" xfId="0" applyFont="1" applyFill="1" applyBorder="1" applyAlignment="1">
      <alignment horizontal="left" vertical="center"/>
    </xf>
    <xf numFmtId="0" fontId="47" fillId="17" borderId="1" xfId="0" applyFont="1" applyFill="1" applyBorder="1" applyAlignment="1">
      <alignment horizontal="left" vertical="center" wrapText="1"/>
    </xf>
    <xf numFmtId="0" fontId="83" fillId="3" borderId="14" xfId="3" applyFont="1" applyFill="1" applyBorder="1" applyAlignment="1">
      <alignment horizontal="center" vertical="center"/>
    </xf>
    <xf numFmtId="0" fontId="83" fillId="3" borderId="15" xfId="3" applyFont="1" applyFill="1" applyBorder="1" applyAlignment="1">
      <alignment horizontal="center" vertical="center"/>
    </xf>
  </cellXfs>
  <cellStyles count="32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Comma 9" xfId="31" xr:uid="{9D37343A-C2A3-4276-8537-FF4F6E2AA200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170 2 2 3 5" xfId="28" xr:uid="{E2E8F931-1A09-4522-81C6-EF9218A13C5A}"/>
    <cellStyle name="Normal 2" xfId="9" xr:uid="{9E5C3A08-B208-402D-8FFE-828530A336D4}"/>
    <cellStyle name="Normal 2 111" xfId="30" xr:uid="{BF3C3A79-D8AD-4AB5-9BE4-DE7FE84441CF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Normal 5" xfId="29" xr:uid="{9288BF0C-E91D-47EB-A104-7E112B2AD194}"/>
    <cellStyle name="Per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50">
    <dxf>
      <fill>
        <patternFill>
          <bgColor rgb="FF00B0F0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2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FD4668C-E43A-491A-8153-FDE075D51E2F}"/>
  <namedSheetView name="View2" id="{A3AF5F7D-A665-45C4-97BB-75CD67F9EBB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D903BF8-6B9E-49A2-BBCC-920D3040DA1D}"/>
  <namedSheetView name="View2" id="{0C7D9C7B-58BF-4302-B446-24EB7A9D1D91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C48DFF-C71D-4A1A-A809-5987F30B7433}"/>
  <namedSheetView name="View2" id="{88EF9149-D34B-4F73-A2A9-7D1EA105B783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1D44687-6928-48B8-A88A-7051EAEA9CA9}"/>
  <namedSheetView name="View2" id="{4A1A7EBE-BD21-4002-AF4E-3D58AC551BAB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CB3AB2-A09C-4C36-BD22-927408252026}"/>
  <namedSheetView name="View2" id="{089F459C-D441-4403-A6F9-7E4C290CBDC5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7EB68D2-9F0D-4B27-B446-E63FD42D9604}"/>
  <namedSheetView name="View2" id="{87A4A214-7FE6-446B-8A11-DC051B68E6FD}">
    <nsvFilter filterId="{57F02A47-1D5F-458C-8847-CD7E7A6C8A72}" ref="B4:W262" tableId="0"/>
  </namedSheetView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B75277-9A05-4E33-B6B8-6377AA044021}"/>
  <namedSheetView name="View2" id="{77FB1416-CEB3-4264-A5CA-20EEAF55EC67}">
    <nsvFilter filterId="{57F02A47-1D5F-458C-8847-CD7E7A6C8A72}" ref="B4:W5" tableId="0"/>
  </namedSheetView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5F9054-57AC-44BC-90C4-DB0EA780F8F4}"/>
  <namedSheetView name="View2" id="{0B375AA6-D960-4151-999D-9F4433C21F60}"/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E97AD57-E476-47C8-9C1D-7618970D249D}"/>
  <namedSheetView name="View2" id="{0B654213-0AF9-4602-9AB3-3DE9198F0FC2}">
    <nsvFilter filterId="{57F02A47-1D5F-458C-8847-CD7E7A6C8A72}" ref="B4:W20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0F8F0C-AE84-485B-B936-6ED1D445713A}"/>
  <namedSheetView name="View2" id="{1FD4EE09-67ED-44BE-9198-D3180318EEFC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1C3CC9B-B462-405A-88A5-316417BAC7F3}">
    <nsvFilter filterId="{25E166A6-C630-4B04-85AE-3B4522A0FD1E}" ref="A5:AG688" tableId="0"/>
  </namedSheetView>
  <namedSheetView name="View2" id="{00A19881-4ED0-43DC-A3D1-357EB4F19046}">
    <nsvFilter filterId="{25E166A6-C630-4B04-85AE-3B4522A0FD1E}" ref="A5:AG688" tableId="0"/>
  </namedSheetView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BF2C01-96A2-4FA3-A9E9-74248189FE84}"/>
  <namedSheetView name="View2" id="{C4AB63B8-4979-4DF5-BA03-D8A1309F1D98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2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2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issy Ninan" id="{B58F46C1-A806-4907-99C0-A92A2BB89B48}" userId="S::nissy.ninan@total-environment.com::f6fc45b8-e624-4fb4-a486-2bafd4e8e2dd" providerId="AD"/>
  <person displayName="Shiyam Shankar C" id="{56F157AF-845F-450E-A7BB-92D4E105C2E5}" userId="S::shiyam.shankar@total-environment.com::b38ee9f3-cd8d-4a3b-a1a9-63f875b60366" providerId="AD"/>
  <person displayName="Ramya C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0072%20AtR%20-%20FY26Q2%20Design%20Goal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178.889876388886" createdVersion="8" refreshedVersion="8" minRefreshableVersion="3" recordCount="649" xr:uid="{EA9EB4F8-426D-46EB-A52C-9DA16632D692}">
  <cacheSource type="worksheet">
    <worksheetSource ref="B556:H556" sheet="Goals FY 26-27Q1" r:id="rId2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40.71019838741196"/>
    </cacheField>
    <cacheField name="Plan - Pkgs" numFmtId="0">
      <sharedItems containsString="0" containsBlank="1" containsNumber="1" containsInteger="1" minValue="0" maxValue="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nison Karnel" refreshedDate="46211.589331597221" createdVersion="8" refreshedVersion="8" minRefreshableVersion="3" recordCount="650" xr:uid="{5EEC6820-F834-44DE-B7D2-7495E697FFC7}">
  <cacheSource type="worksheet">
    <worksheetSource ref="B4:H654" sheet="Goals FY 2026Q2 (Revised Plan)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20.03613465041319"/>
    </cacheField>
    <cacheField name="Plan - Pkgs" numFmtId="0">
      <sharedItems containsString="0" containsBlank="1" containsNumber="1" containsInteger="1" minValue="0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212.530711574072" createdVersion="8" refreshedVersion="8" minRefreshableVersion="3" recordCount="728" xr:uid="{DCFF0D3A-23B1-491E-82D3-11238FE4BF23}">
  <cacheSource type="worksheet">
    <worksheetSource ref="B4:Z25" sheet="Goals FY 26-27Q2"/>
  </cacheSource>
  <cacheFields count="22">
    <cacheField name="Project" numFmtId="0">
      <sharedItems containsBlank="1" count="61">
        <m/>
        <s v="Ongoing Projects"/>
        <s v="AtR"/>
        <s v="AtR - C"/>
        <s v="TMD Ph2"/>
        <s v="PoaRR-Res"/>
        <s v="PoaRR-T08"/>
        <s v="ITQE-Ph1"/>
        <s v="ITQE-Ph2b"/>
        <s v="ItQE-Ph2c [T9]"/>
        <s v="OTR-Ph01"/>
        <s v="TuiG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Nava Raipur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Blue in Green"/>
        <s v="Varthur 52a"/>
        <s v="Vaderahalli"/>
        <s v="Interior Design + Product Development"/>
        <s v="Interior Design"/>
        <s v="Product Launch"/>
        <s v="Personalised Customisation"/>
        <s v="Edesign"/>
        <s v="Default"/>
        <s v="IDPD"/>
        <s v="Experience Homes"/>
        <s v="Product Development"/>
        <s v="Fabric Craft"/>
      </sharedItems>
    </cacheField>
    <cacheField name="Phase" numFmtId="0">
      <sharedItems containsBlank="1"/>
    </cacheField>
    <cacheField name="Discipline" numFmtId="0">
      <sharedItems containsBlank="1" count="8">
        <m/>
        <s v="Architecture"/>
        <s v="Structural"/>
        <s v="MEP"/>
        <s v="Landscape"/>
        <s v="Master Planning"/>
        <s v=" "/>
        <s v="Interior Design"/>
      </sharedItems>
    </cacheField>
    <cacheField name="Design Lead" numFmtId="0">
      <sharedItems containsBlank="1" count="14">
        <m/>
        <s v="Saji A"/>
        <s v="Prakash C"/>
        <s v="Gagan"/>
        <s v="Naveen Y"/>
        <s v="Cijey M"/>
        <s v="Om Prakash"/>
        <s v="Manik G"/>
        <s v="Atul P"/>
        <s v="Navneet K"/>
        <s v="Shweta V"/>
        <s v="Navneet" u="1"/>
        <s v="Atul" u="1"/>
        <s v="Saji" u="1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76.73196464640409"/>
    </cacheField>
    <cacheField name="Plan - Pkgs" numFmtId="0">
      <sharedItems containsString="0" containsBlank="1" containsNumber="1" containsInteger="1" minValue="0" maxValue="28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Design Lead2" numFmtId="0">
      <sharedItems containsBlank="1"/>
    </cacheField>
    <cacheField name="Lead" numFmtId="0">
      <sharedItems containsBlank="1"/>
    </cacheField>
    <cacheField name="Person 1" numFmtId="0">
      <sharedItems containsBlank="1"/>
    </cacheField>
    <cacheField name="Person 2" numFmtId="0">
      <sharedItems containsBlank="1" containsMixedTypes="1" containsNumber="1" containsInteger="1" minValue="0" maxValue="0"/>
    </cacheField>
    <cacheField name="Person 3" numFmtId="0">
      <sharedItems containsBlank="1"/>
    </cacheField>
    <cacheField name="Draftperson" numFmtId="0">
      <sharedItems containsNonDate="0" containsString="0" containsBlank="1"/>
    </cacheField>
    <cacheField name="Remarks" numFmtId="0">
      <sharedItems containsString="0" containsBlank="1" containsNumber="1" containsInteger="1" minValue="0" maxValue="0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Actuals - Billing [Cr.]" numFmtId="0">
      <sharedItems containsString="0" containsBlank="1" containsNumber="1" containsInteger="1" minValue="0" maxValue="0"/>
    </cacheField>
    <cacheField name="Actuals - Pkg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x v="0"/>
    <x v="0"/>
    <m/>
    <m/>
    <m/>
  </r>
  <r>
    <x v="1"/>
    <m/>
    <x v="0"/>
    <x v="0"/>
    <m/>
    <n v="37.131676078588185"/>
    <n v="28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7289022996610157"/>
    <n v="32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9.4268165569364862E-2"/>
    <n v="2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n v="4.6404645614642186E-2"/>
    <n v="1"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1291744999999995"/>
    <n v="15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.04"/>
    <n v="1"/>
  </r>
  <r>
    <x v="5"/>
    <s v="Res"/>
    <x v="4"/>
    <x v="3"/>
    <s v="LOD 350 Amenities &amp; Facilities - Community spaces [Sporting Facilities]"/>
    <n v="0.04"/>
    <n v="1"/>
  </r>
  <r>
    <x v="6"/>
    <s v="T08"/>
    <x v="0"/>
    <x v="0"/>
    <s v="Package Release"/>
    <n v="9.6993299999999945"/>
    <n v="39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67547999999999997"/>
    <n v="10"/>
  </r>
  <r>
    <x v="6"/>
    <s v="T08"/>
    <x v="3"/>
    <x v="3"/>
    <s v="LOD 350 Penthouse Levels"/>
    <n v="8.5739999999999997E-2"/>
    <n v="1"/>
  </r>
  <r>
    <x v="6"/>
    <s v="T08"/>
    <x v="3"/>
    <x v="3"/>
    <s v="LOD 350 Terrace Level"/>
    <n v="8.5739999999999997E-2"/>
    <n v="1"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n v="0.04"/>
    <n v="1"/>
  </r>
  <r>
    <x v="6"/>
    <s v="T08"/>
    <x v="3"/>
    <x v="3"/>
    <s v="LOD 350 Site MEP"/>
    <n v="0.12"/>
    <n v="1"/>
  </r>
  <r>
    <x v="6"/>
    <s v="T08"/>
    <x v="3"/>
    <x v="3"/>
    <s v="LOD 350 L22 Default and It's Variants"/>
    <n v="0.1"/>
    <n v="1"/>
  </r>
  <r>
    <x v="6"/>
    <s v="T08"/>
    <x v="3"/>
    <x v="3"/>
    <s v="LOD 350 R25P Default and It's Variants"/>
    <n v="0.1"/>
    <n v="1"/>
  </r>
  <r>
    <x v="6"/>
    <s v="T08"/>
    <x v="4"/>
    <x v="0"/>
    <s v="Package Release [Complete the project]"/>
    <n v="0.12000000000000001"/>
    <n v="2"/>
  </r>
  <r>
    <x v="6"/>
    <s v="T08"/>
    <x v="4"/>
    <x v="3"/>
    <s v="LOD 350 T08-Clubhouse—Interiors and Facilities"/>
    <n v="0.02"/>
    <n v="1"/>
  </r>
  <r>
    <x v="6"/>
    <s v="T08"/>
    <x v="4"/>
    <x v="3"/>
    <s v="LOD 350 R25P Default and It's Variants"/>
    <n v="0.1"/>
    <n v="1"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47795692392"/>
    <n v="5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6.4518858880000002E-2"/>
    <n v="1"/>
  </r>
  <r>
    <x v="16"/>
    <s v="LGCE Campus"/>
    <x v="2"/>
    <x v="2"/>
    <s v="LoD 200 - Schematic Concept"/>
    <n v="6.4518858880000002E-2"/>
    <n v="1"/>
  </r>
  <r>
    <x v="16"/>
    <s v="LGCE Campus"/>
    <x v="3"/>
    <x v="0"/>
    <s v="Complete LoD 200 by 26'Q2"/>
    <n v="1.7955720160000004E-2"/>
    <n v="1"/>
  </r>
  <r>
    <x v="16"/>
    <s v="LGCE Campus"/>
    <x v="3"/>
    <x v="3"/>
    <s v="LoD 200 - Schematic Concept"/>
    <n v="1.7955720160000004E-2"/>
    <n v="1"/>
  </r>
  <r>
    <x v="16"/>
    <s v="LGCE Campus"/>
    <x v="4"/>
    <x v="0"/>
    <s v="Complete LoD 200 by 26'Q2"/>
    <n v="1.5064544879999999E-2"/>
    <n v="1"/>
  </r>
  <r>
    <x v="16"/>
    <s v="LGCE Campus"/>
    <x v="4"/>
    <x v="3"/>
    <s v="LoD 200 - Schematic Concept"/>
    <n v="1.5064544879999999E-2"/>
    <n v="1"/>
  </r>
  <r>
    <x v="17"/>
    <s v="MT Plano"/>
    <x v="0"/>
    <x v="0"/>
    <s v="Package Release"/>
    <n v="1.2668018749999996"/>
    <n v="13"/>
  </r>
  <r>
    <x v="17"/>
    <s v="MT Plano"/>
    <x v="1"/>
    <x v="0"/>
    <s v="Complete LoD 350 - Foundation and Structure by 26'Q2"/>
    <n v="1.0156737499999999"/>
    <n v="5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n v="0.15625749999999999"/>
    <n v="1"/>
  </r>
  <r>
    <x v="17"/>
    <s v="MT Plano"/>
    <x v="1"/>
    <x v="7"/>
    <s v="LoD 350 - Foundation and Structure"/>
    <n v="0.31251499999999999"/>
    <n v="1"/>
  </r>
  <r>
    <x v="17"/>
    <s v="MT Plano"/>
    <x v="2"/>
    <x v="0"/>
    <s v="Complete LoD 300 by 26'Q2"/>
    <n v="0.14286399999999999"/>
    <n v="2"/>
  </r>
  <r>
    <x v="17"/>
    <s v="MT Plano"/>
    <x v="2"/>
    <x v="7"/>
    <s v="LoD 200 - Schematic Concept"/>
    <n v="7.1431999999999995E-2"/>
    <n v="1"/>
  </r>
  <r>
    <x v="17"/>
    <s v="MT Plano"/>
    <x v="2"/>
    <x v="7"/>
    <s v="LoD 300 - Pre Construction Set"/>
    <n v="7.1431999999999995E-2"/>
    <n v="1"/>
  </r>
  <r>
    <x v="17"/>
    <s v="MT Plano"/>
    <x v="3"/>
    <x v="0"/>
    <s v="Complete LoD 300 by 26'Q2"/>
    <n v="6.0270749999999998E-2"/>
    <n v="3"/>
  </r>
  <r>
    <x v="17"/>
    <s v="MT Plano"/>
    <x v="3"/>
    <x v="7"/>
    <s v="LoD 200 - Schematic Concept"/>
    <n v="2.009025E-2"/>
    <n v="1"/>
  </r>
  <r>
    <x v="17"/>
    <s v="MT Plano"/>
    <x v="3"/>
    <x v="7"/>
    <s v="LoD 200 - Approvals"/>
    <n v="2.009025E-2"/>
    <n v="1"/>
  </r>
  <r>
    <x v="17"/>
    <s v="MT Plano"/>
    <x v="3"/>
    <x v="7"/>
    <s v="LoD 300 - Pre Construction Set"/>
    <n v="2.009025E-2"/>
    <n v="1"/>
  </r>
  <r>
    <x v="17"/>
    <s v="MT Plano"/>
    <x v="4"/>
    <x v="0"/>
    <s v="Complete LoD 300 by 26'Q2"/>
    <n v="4.7993374999999998E-2"/>
    <n v="3"/>
  </r>
  <r>
    <x v="17"/>
    <s v="MT Plano"/>
    <x v="4"/>
    <x v="7"/>
    <s v="LoD 200 - Schematic Concept"/>
    <n v="1.6741875E-2"/>
    <n v="1"/>
  </r>
  <r>
    <x v="17"/>
    <s v="MT Plano"/>
    <x v="4"/>
    <x v="7"/>
    <s v="LoD 200 - Approvals"/>
    <n v="2.009025E-2"/>
    <n v="1"/>
  </r>
  <r>
    <x v="17"/>
    <s v="MT Plano"/>
    <x v="4"/>
    <x v="7"/>
    <s v="LoD 300 - Pre Construction Set"/>
    <n v="1.1161249999999999E-2"/>
    <n v="1"/>
  </r>
  <r>
    <x v="18"/>
    <s v="MS Res"/>
    <x v="0"/>
    <x v="0"/>
    <s v="Package Release"/>
    <n v="9.3600000000000003E-2"/>
    <n v="8"/>
  </r>
  <r>
    <x v="18"/>
    <s v="MS Res"/>
    <x v="1"/>
    <x v="0"/>
    <s v="Complete LoD 200, Approvals by 26'Q2"/>
    <n v="6.3E-2"/>
    <n v="2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n v="1"/>
  </r>
  <r>
    <x v="18"/>
    <s v="MS Res"/>
    <x v="2"/>
    <x v="0"/>
    <s v="Complete LoD 200 by 26'Q2"/>
    <n v="1.9200000000000002E-2"/>
    <n v="2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n v="1"/>
  </r>
  <r>
    <x v="18"/>
    <s v="MS Res"/>
    <x v="3"/>
    <x v="0"/>
    <s v="Complete LoD 200, Approvals by 26'Q2"/>
    <n v="5.4000000000000003E-3"/>
    <n v="2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n v="1"/>
  </r>
  <r>
    <x v="18"/>
    <s v="MS Res"/>
    <x v="4"/>
    <x v="0"/>
    <s v="Complete LoD 200 by 26'Q2"/>
    <n v="6.0000000000000001E-3"/>
    <n v="2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n v="1"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56189180207999989"/>
    <n v="5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8.0449832960000009E-2"/>
    <n v="1"/>
  </r>
  <r>
    <x v="21"/>
    <s v="OTR Mus"/>
    <x v="2"/>
    <x v="2"/>
    <s v="LoD 200 - Schematic Concept"/>
    <n v="8.0449832960000009E-2"/>
    <n v="1"/>
  </r>
  <r>
    <x v="21"/>
    <s v="OTR Mus"/>
    <x v="3"/>
    <x v="0"/>
    <s v="Complete Schematic concept"/>
    <n v="2.2626515519999998E-2"/>
    <n v="1"/>
  </r>
  <r>
    <x v="21"/>
    <s v="OTR Mus"/>
    <x v="3"/>
    <x v="3"/>
    <s v="LoD 200 - Schematic Concept"/>
    <n v="2.2626515519999998E-2"/>
    <n v="1"/>
  </r>
  <r>
    <x v="21"/>
    <s v="OTR Mus"/>
    <x v="4"/>
    <x v="0"/>
    <s v="Complete Schematic concept"/>
    <n v="1.8855429600000001E-2"/>
    <n v="1"/>
  </r>
  <r>
    <x v="21"/>
    <s v="OTR Mus"/>
    <x v="4"/>
    <x v="3"/>
    <s v="LoD 200 - Schematic Concept"/>
    <n v="1.8855429600000001E-2"/>
    <n v="1"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40.71019838741196"/>
    <n v="166"/>
  </r>
  <r>
    <x v="0"/>
    <m/>
    <x v="0"/>
    <x v="0"/>
    <m/>
    <m/>
    <m/>
  </r>
  <r>
    <x v="30"/>
    <s v="Ph 2"/>
    <x v="0"/>
    <x v="0"/>
    <s v="Package Release"/>
    <n v="1.6885800000000002"/>
    <n v="10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.17172000000000001"/>
    <n v="1"/>
  </r>
  <r>
    <x v="30"/>
    <s v="Ph 2"/>
    <x v="2"/>
    <x v="2"/>
    <s v="LoD 200 - Schematic Concept"/>
    <n v="0.17172000000000001"/>
    <n v="1"/>
  </r>
  <r>
    <x v="30"/>
    <s v="Ph 2"/>
    <x v="3"/>
    <x v="0"/>
    <s v="Complete Approvals"/>
    <n v="9.5579999999999998E-2"/>
    <n v="2"/>
  </r>
  <r>
    <x v="30"/>
    <s v="Ph 2"/>
    <x v="3"/>
    <x v="3"/>
    <s v="LoD 200 - Schematic Concept"/>
    <n v="6.3719999999999999E-2"/>
    <n v="1"/>
  </r>
  <r>
    <x v="30"/>
    <s v="Ph 2"/>
    <x v="3"/>
    <x v="3"/>
    <s v="Approvals"/>
    <n v="3.1859999999999999E-2"/>
    <n v="1"/>
  </r>
  <r>
    <x v="30"/>
    <s v="Ph 2"/>
    <x v="4"/>
    <x v="0"/>
    <s v="Complete Approvals"/>
    <n v="7.1279999999999996E-2"/>
    <n v="2"/>
  </r>
  <r>
    <x v="30"/>
    <s v="Ph 2"/>
    <x v="4"/>
    <x v="3"/>
    <s v="LoD 200 - Schematic Concept"/>
    <n v="5.3460000000000001E-2"/>
    <n v="1"/>
  </r>
  <r>
    <x v="30"/>
    <s v="Ph 2"/>
    <x v="4"/>
    <x v="3"/>
    <s v="Approvals"/>
    <n v="1.7819999999999999E-2"/>
    <n v="1"/>
  </r>
  <r>
    <x v="31"/>
    <s v="Ph 3"/>
    <x v="0"/>
    <x v="0"/>
    <s v="Package Release"/>
    <n v="0.62685480000000016"/>
    <n v="5"/>
  </r>
  <r>
    <x v="31"/>
    <s v="Ph 3"/>
    <x v="1"/>
    <x v="0"/>
    <s v="LOD 350 -Tower Habitable levels, MP Pkg 2"/>
    <n v="0.49456000000000011"/>
    <n v="2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n v="0.24728000000000006"/>
    <n v="1"/>
  </r>
  <r>
    <x v="31"/>
    <s v="Ph 3"/>
    <x v="2"/>
    <x v="0"/>
    <s v="LOD 350 -Tower Habitable levels, MP Pkg 2, ISS Pkg 2"/>
    <n v="7.8635040000000003E-2"/>
    <n v="1"/>
  </r>
  <r>
    <x v="31"/>
    <s v="Ph 3"/>
    <x v="2"/>
    <x v="2"/>
    <s v="LoD 200 - Schematic Concept"/>
    <n v="7.8635040000000003E-2"/>
    <n v="1"/>
  </r>
  <r>
    <x v="31"/>
    <s v="Ph 3"/>
    <x v="3"/>
    <x v="0"/>
    <s v="LOD 350 -Tower Habitable levels, MP Pkg 1, ISS Pkg 2"/>
    <n v="2.9179040000000003E-2"/>
    <n v="1"/>
  </r>
  <r>
    <x v="31"/>
    <s v="Ph 3"/>
    <x v="3"/>
    <x v="3"/>
    <s v="LoD 200 - Schematic Concept"/>
    <n v="2.9179040000000003E-2"/>
    <n v="1"/>
  </r>
  <r>
    <x v="31"/>
    <s v="Ph 3"/>
    <x v="4"/>
    <x v="0"/>
    <s v="LOD 350 - MP Pkg 1 "/>
    <n v="2.4480720000000001E-2"/>
    <n v="1"/>
  </r>
  <r>
    <x v="31"/>
    <s v="Ph 3"/>
    <x v="4"/>
    <x v="3"/>
    <s v="LoD 200 - Schematic Concept"/>
    <n v="2.4480720000000001E-2"/>
    <n v="1"/>
  </r>
  <r>
    <x v="32"/>
    <s v="Ph 3a"/>
    <x v="0"/>
    <x v="0"/>
    <s v="Package Release"/>
    <n v="13.33454795889083"/>
    <n v="8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1.2952557286377333"/>
    <n v="3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n v="0.51810229145509312"/>
    <n v="1"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8.105283200000002"/>
    <n v="13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.63024720000000012"/>
    <n v="2"/>
  </r>
  <r>
    <x v="34"/>
    <s v="Srjp - Res"/>
    <x v="4"/>
    <x v="3"/>
    <s v="LoD 200 - Schematic Concept"/>
    <n v="0.47268540000000003"/>
    <n v="1"/>
  </r>
  <r>
    <x v="34"/>
    <s v="Srjp - Res"/>
    <x v="4"/>
    <x v="3"/>
    <s v="LoD 350 - Experience Home + Project Experience"/>
    <n v="0.15756180000000003"/>
    <n v="1"/>
  </r>
  <r>
    <x v="35"/>
    <s v="Srjp - C - SB"/>
    <x v="0"/>
    <x v="0"/>
    <s v="Package Release"/>
    <n v="15.691759513499999"/>
    <n v="8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.86951285400000011"/>
    <n v="2"/>
  </r>
  <r>
    <x v="36"/>
    <s v="Srjp - C - SB"/>
    <x v="3"/>
    <x v="3"/>
    <s v="LoD 200 - Schematic Concept"/>
    <n v="0.43475642700000006"/>
    <n v="1"/>
  </r>
  <r>
    <x v="36"/>
    <s v="Srjp - C - SB"/>
    <x v="3"/>
    <x v="3"/>
    <s v="LoD 200 - Approvals"/>
    <n v="0.43475642700000006"/>
    <n v="1"/>
  </r>
  <r>
    <x v="36"/>
    <s v="Srjp - C - SB"/>
    <x v="4"/>
    <x v="0"/>
    <s v="Complete LoD 200 by 26'Q2"/>
    <n v="0.36475327349999997"/>
    <n v="1"/>
  </r>
  <r>
    <x v="36"/>
    <s v="Srjp - C - SB"/>
    <x v="4"/>
    <x v="3"/>
    <s v="LoD 200 - Schematic Concept"/>
    <n v="0.36475327349999997"/>
    <n v="1"/>
  </r>
  <r>
    <x v="37"/>
    <s v="Srjp - C - NB"/>
    <x v="0"/>
    <x v="0"/>
    <s v="Package Release"/>
    <n v="5.2305865045000006"/>
    <n v="8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.12158442449999998"/>
    <n v="1"/>
  </r>
  <r>
    <x v="38"/>
    <s v="Srjp - C - NB"/>
    <x v="4"/>
    <x v="3"/>
    <s v="LoD 200 - Schematic Concept"/>
    <n v="0.12158442449999998"/>
    <n v="1"/>
  </r>
  <r>
    <x v="26"/>
    <s v="OTF"/>
    <x v="0"/>
    <x v="0"/>
    <s v="Package Release"/>
    <n v="3.8583000000000007"/>
    <n v="18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.1593"/>
    <n v="3"/>
  </r>
  <r>
    <x v="26"/>
    <s v="OTF"/>
    <x v="3"/>
    <x v="3"/>
    <s v="LoD 200 - Schematic Concept"/>
    <n v="3.9824999999999999E-2"/>
    <n v="1"/>
  </r>
  <r>
    <x v="26"/>
    <s v="OTF"/>
    <x v="3"/>
    <x v="3"/>
    <s v="LoD 300 - Pre Construction Set"/>
    <n v="7.9649999999999999E-2"/>
    <n v="1"/>
  </r>
  <r>
    <x v="26"/>
    <s v="OTF"/>
    <x v="3"/>
    <x v="3"/>
    <s v="LoD 350 - Project Entrance"/>
    <n v="3.9824999999999999E-2"/>
    <n v="1"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7.01722"/>
    <n v="14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.40355999999999997"/>
    <n v="3"/>
  </r>
  <r>
    <x v="39"/>
    <s v="Ph 1"/>
    <x v="3"/>
    <x v="3"/>
    <s v="LoD 200 - Schematic Concept"/>
    <n v="0.10088999999999999"/>
    <n v="1"/>
  </r>
  <r>
    <x v="39"/>
    <s v="Ph 1"/>
    <x v="3"/>
    <x v="3"/>
    <s v="Approvals"/>
    <n v="0.20177999999999999"/>
    <n v="1"/>
  </r>
  <r>
    <x v="39"/>
    <s v="Ph 1"/>
    <x v="3"/>
    <x v="3"/>
    <s v="LoD 350 - Project Experience"/>
    <n v="0.10088999999999999"/>
    <n v="1"/>
  </r>
  <r>
    <x v="39"/>
    <s v="Ph 1"/>
    <x v="4"/>
    <x v="0"/>
    <s v="[LOD 200 - Schematic, Approvals, LoD 350 - Exp, LoD 300 -  Pre const]"/>
    <n v="0.33857999999999999"/>
    <n v="3"/>
  </r>
  <r>
    <x v="39"/>
    <s v="Ph 1"/>
    <x v="4"/>
    <x v="3"/>
    <s v="LoD 200 - Schematic Concept"/>
    <n v="0.11286000000000002"/>
    <n v="1"/>
  </r>
  <r>
    <x v="39"/>
    <s v="Ph 1"/>
    <x v="4"/>
    <x v="3"/>
    <s v="Approvals"/>
    <n v="0.16929"/>
    <n v="1"/>
  </r>
  <r>
    <x v="39"/>
    <s v="Ph 1"/>
    <x v="4"/>
    <x v="3"/>
    <s v="LoD 350 - Project Experience"/>
    <n v="5.6430000000000008E-2"/>
    <n v="1"/>
  </r>
  <r>
    <x v="40"/>
    <s v="Ph 1"/>
    <x v="0"/>
    <x v="0"/>
    <s v="Package Release"/>
    <n v="3.3402648260587804"/>
    <n v="12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.27877468296895203"/>
    <n v="3"/>
  </r>
  <r>
    <x v="40"/>
    <s v="Ph 1"/>
    <x v="3"/>
    <x v="3"/>
    <s v="LoD 200 - Schematic Concept"/>
    <n v="5.5754936593790397E-2"/>
    <n v="1"/>
  </r>
  <r>
    <x v="40"/>
    <s v="Ph 1"/>
    <x v="3"/>
    <x v="3"/>
    <s v="LoD 200 - Approvals"/>
    <n v="0.11150987318758079"/>
    <n v="1"/>
  </r>
  <r>
    <x v="40"/>
    <s v="Ph 1"/>
    <x v="3"/>
    <x v="3"/>
    <s v="LoD 300 - Pre Construction Set"/>
    <n v="0.11150987318758079"/>
    <n v="1"/>
  </r>
  <r>
    <x v="40"/>
    <s v="Ph 1"/>
    <x v="4"/>
    <x v="0"/>
    <s v="Package Release [till LoD 300 - Pre Construction Set]"/>
    <n v="0.18710978721305932"/>
    <n v="3"/>
  </r>
  <r>
    <x v="40"/>
    <s v="Ph 1"/>
    <x v="4"/>
    <x v="3"/>
    <s v="LoD 200 - Schematic Concept"/>
    <n v="6.2369929071019771E-2"/>
    <n v="1"/>
  </r>
  <r>
    <x v="40"/>
    <s v="Ph 1"/>
    <x v="4"/>
    <x v="3"/>
    <s v="LoD 200 - Approvals"/>
    <n v="9.3554893606529646E-2"/>
    <n v="1"/>
  </r>
  <r>
    <x v="40"/>
    <s v="Ph 1"/>
    <x v="4"/>
    <x v="3"/>
    <s v="LoD 300 - Pre Construction Set"/>
    <n v="3.1184964535509885E-2"/>
    <n v="1"/>
  </r>
  <r>
    <x v="41"/>
    <s v="Ph 1"/>
    <x v="6"/>
    <x v="0"/>
    <s v="Package Release"/>
    <n v="1.4441669084528455"/>
    <n v="22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26335080373140002"/>
    <n v="5"/>
  </r>
  <r>
    <x v="41"/>
    <s v="Ph 1"/>
    <x v="3"/>
    <x v="3"/>
    <s v="LoD 350 - Project Experience [Sales Lounge, Model Road]"/>
    <n v="3.5924295399299998E-2"/>
    <n v="1"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n v="3.2489501190300002E-2"/>
    <n v="1"/>
  </r>
  <r>
    <x v="41"/>
    <s v="Ph 1"/>
    <x v="4"/>
    <x v="0"/>
    <s v="Package Release [till LoD 350 - Structures - Security Cabin and Entrance]"/>
    <n v="4.0965187887539993E-2"/>
    <n v="5"/>
  </r>
  <r>
    <x v="41"/>
    <s v="Ph 1"/>
    <x v="4"/>
    <x v="3"/>
    <s v="LoD 350 - Project Experience [Sales Lounge, Model Road]"/>
    <n v="8.8620963823079994E-3"/>
    <n v="1"/>
  </r>
  <r>
    <x v="41"/>
    <s v="Ph 1"/>
    <x v="4"/>
    <x v="3"/>
    <s v="LoD 350 - Infra - MEP"/>
    <n v="8.0257728763079988E-3"/>
    <n v="1"/>
  </r>
  <r>
    <x v="41"/>
    <s v="Ph 1"/>
    <x v="4"/>
    <x v="3"/>
    <s v="LoD 350 - BOQ &amp; Technical Specifications"/>
    <n v="8.0257728763079988E-3"/>
    <n v="1"/>
  </r>
  <r>
    <x v="41"/>
    <s v="Ph 1"/>
    <x v="4"/>
    <x v="3"/>
    <s v="LoD 350 - Infra - Coordinated"/>
    <n v="8.0257728763079988E-3"/>
    <n v="1"/>
  </r>
  <r>
    <x v="41"/>
    <s v="Ph 1"/>
    <x v="4"/>
    <x v="3"/>
    <s v="LoD 350 - Structures - Security Cabin and Entrance"/>
    <n v="8.0257728763079988E-3"/>
    <n v="1"/>
  </r>
  <r>
    <x v="42"/>
    <s v="Ph 2"/>
    <x v="6"/>
    <x v="0"/>
    <s v="Package Release"/>
    <n v="0.58598212894570789"/>
    <n v="5"/>
  </r>
  <r>
    <x v="42"/>
    <s v="Ph 2"/>
    <x v="5"/>
    <x v="0"/>
    <s v="Package Release [till LoD 300 - Pre Construction Set]"/>
    <n v="0.47258064750599998"/>
    <n v="2"/>
  </r>
  <r>
    <x v="42"/>
    <s v="Ph 2"/>
    <x v="5"/>
    <x v="3"/>
    <s v="LoD 100 - Contract + Design Brief"/>
    <n v="0.16825145614199999"/>
    <n v="1"/>
  </r>
  <r>
    <x v="42"/>
    <s v="Ph 2"/>
    <x v="5"/>
    <x v="3"/>
    <s v="LoD 200 - Schematic Concept"/>
    <n v="0.304329191364"/>
    <n v="1"/>
  </r>
  <r>
    <x v="42"/>
    <s v="Ph 2"/>
    <x v="2"/>
    <x v="0"/>
    <s v="Package Release [till LoD 300 - Pre Construction Set]"/>
    <n v="7.133861740420798E-2"/>
    <n v="1"/>
  </r>
  <r>
    <x v="42"/>
    <s v="Ph 2"/>
    <x v="2"/>
    <x v="2"/>
    <s v="LoD 200 - Schematic Concept"/>
    <n v="7.133861740420798E-2"/>
    <n v="1"/>
  </r>
  <r>
    <x v="42"/>
    <s v="Ph 2"/>
    <x v="3"/>
    <x v="0"/>
    <s v="Package Release [till LoD 300 - Pre Construction Set]"/>
    <n v="1.9853671824755996E-2"/>
    <n v="1"/>
  </r>
  <r>
    <x v="42"/>
    <s v="Ph 2"/>
    <x v="3"/>
    <x v="3"/>
    <s v="LoD 200 - Schematic Concept"/>
    <n v="1.9853671824755996E-2"/>
    <n v="1"/>
  </r>
  <r>
    <x v="42"/>
    <s v="Ph 2"/>
    <x v="4"/>
    <x v="0"/>
    <s v="Package Release [till LoD 300 - Pre Construction Set]"/>
    <n v="2.2209192210743994E-2"/>
    <n v="1"/>
  </r>
  <r>
    <x v="42"/>
    <s v="Ph 2"/>
    <x v="4"/>
    <x v="3"/>
    <s v="LoD 200 - Schematic Concept"/>
    <n v="2.2209192210743994E-2"/>
    <n v="1"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5.9650000000000007"/>
    <n v="1"/>
  </r>
  <r>
    <x v="45"/>
    <s v="TR Mills "/>
    <x v="1"/>
    <x v="0"/>
    <s v="LOD 300, LOD 350 Exp home"/>
    <n v="5.9650000000000007"/>
    <n v="1"/>
  </r>
  <r>
    <x v="45"/>
    <s v="TR Mills "/>
    <x v="1"/>
    <x v="1"/>
    <s v="LoD 100 - Contract + Design Brief "/>
    <n v="5.9650000000000007"/>
    <n v="1"/>
  </r>
  <r>
    <x v="46"/>
    <s v="KIADB - Mys"/>
    <x v="0"/>
    <x v="0"/>
    <s v="Package Release"/>
    <n v="0"/>
    <n v="8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1"/>
  </r>
  <r>
    <x v="46"/>
    <s v="KIADB - Mys"/>
    <x v="2"/>
    <x v="2"/>
    <s v="LoD 200 - Schematic Concept"/>
    <m/>
    <n v="1"/>
  </r>
  <r>
    <x v="46"/>
    <s v="KIADB - Mys"/>
    <x v="3"/>
    <x v="0"/>
    <s v="Complete the project by Q4"/>
    <n v="0"/>
    <n v="2"/>
  </r>
  <r>
    <x v="46"/>
    <s v="KIADB - Mys"/>
    <x v="3"/>
    <x v="3"/>
    <s v="LoD 200 - Schematic Concept"/>
    <m/>
    <n v="1"/>
  </r>
  <r>
    <x v="46"/>
    <s v="KIADB - Mys"/>
    <x v="3"/>
    <x v="3"/>
    <s v="Approvals"/>
    <m/>
    <n v="1"/>
  </r>
  <r>
    <x v="46"/>
    <s v="KIADB - Mys"/>
    <x v="4"/>
    <x v="0"/>
    <s v="Complete the project by Q4"/>
    <n v="0"/>
    <n v="2"/>
  </r>
  <r>
    <x v="46"/>
    <s v="KIADB - Mys"/>
    <x v="4"/>
    <x v="3"/>
    <s v="LoD 200 - Schematic Concept"/>
    <m/>
    <n v="1"/>
  </r>
  <r>
    <x v="46"/>
    <s v="KIADB - Mys"/>
    <x v="4"/>
    <x v="3"/>
    <s v="Approvals"/>
    <m/>
    <n v="1"/>
  </r>
  <r>
    <x v="47"/>
    <s v="Imgn"/>
    <x v="0"/>
    <x v="0"/>
    <s v="Package Release"/>
    <n v="1.49"/>
    <n v="6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1"/>
  </r>
  <r>
    <x v="47"/>
    <s v="Imgn"/>
    <x v="2"/>
    <x v="2"/>
    <s v="LoD 200 - Schematic Concept"/>
    <n v="0.19"/>
    <n v="1"/>
  </r>
  <r>
    <x v="47"/>
    <s v="Imgn"/>
    <x v="3"/>
    <x v="0"/>
    <s v="Package Release [Complete LoD 200] "/>
    <n v="0.1"/>
    <n v="2"/>
  </r>
  <r>
    <x v="47"/>
    <s v="Imgn"/>
    <x v="3"/>
    <x v="3"/>
    <s v="LoD 200 - Schematic Concept"/>
    <n v="0.05"/>
    <n v="1"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0.19417209600000002"/>
    <n v="8"/>
  </r>
  <r>
    <x v="48"/>
    <s v="OTR OOTA"/>
    <x v="1"/>
    <x v="0"/>
    <s v="Complete Approvals"/>
    <n v="0.153458592"/>
    <n v="3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n v="6.576796800000001E-2"/>
    <n v="1"/>
  </r>
  <r>
    <x v="48"/>
    <s v="OTR OOTA"/>
    <x v="1"/>
    <x v="7"/>
    <s v="Approvals"/>
    <n v="4.3845312000000004E-2"/>
    <n v="1"/>
  </r>
  <r>
    <x v="48"/>
    <s v="OTR OOTA"/>
    <x v="2"/>
    <x v="0"/>
    <s v="Complete Schematic concept"/>
    <n v="2.0043571200000002E-2"/>
    <n v="1"/>
  </r>
  <r>
    <x v="48"/>
    <s v="OTR OOTA"/>
    <x v="2"/>
    <x v="2"/>
    <s v="LoD 200 - Schematic Concept"/>
    <n v="2.0043571200000002E-2"/>
    <n v="1"/>
  </r>
  <r>
    <x v="48"/>
    <s v="OTR OOTA"/>
    <x v="3"/>
    <x v="0"/>
    <s v="Complete Approvals"/>
    <n v="1.1274508799999999E-2"/>
    <n v="2"/>
  </r>
  <r>
    <x v="48"/>
    <s v="OTR OOTA"/>
    <x v="3"/>
    <x v="3"/>
    <s v="LoD 200 - Schematic Concept"/>
    <n v="5.6372543999999997E-3"/>
    <n v="1"/>
  </r>
  <r>
    <x v="48"/>
    <s v="OTR OOTA"/>
    <x v="3"/>
    <x v="3"/>
    <s v="Approvals"/>
    <n v="5.6372543999999997E-3"/>
    <n v="1"/>
  </r>
  <r>
    <x v="48"/>
    <s v="OTR OOTA"/>
    <x v="4"/>
    <x v="0"/>
    <s v="Complete Approvals"/>
    <n v="9.3954239999999994E-3"/>
    <n v="2"/>
  </r>
  <r>
    <x v="48"/>
    <s v="OTR OOTA"/>
    <x v="4"/>
    <x v="3"/>
    <s v="LoD 200 - Schematic Concept"/>
    <n v="4.6977119999999997E-3"/>
    <n v="1"/>
  </r>
  <r>
    <x v="48"/>
    <s v="OTR OOTA"/>
    <x v="4"/>
    <x v="3"/>
    <s v="Approvals"/>
    <n v="4.6977119999999997E-3"/>
    <n v="1"/>
  </r>
  <r>
    <x v="49"/>
    <s v="DP"/>
    <x v="0"/>
    <x v="0"/>
    <s v="Package Release"/>
    <n v="7.2666828000000008"/>
    <n v="9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1"/>
  </r>
  <r>
    <x v="49"/>
    <s v="DP"/>
    <x v="2"/>
    <x v="2"/>
    <s v="LoD 200 - Schematic Concept .v7 [Rework]"/>
    <n v="1.0864152"/>
    <n v="1"/>
  </r>
  <r>
    <x v="49"/>
    <s v="DP"/>
    <x v="3"/>
    <x v="0"/>
    <s v="LOD 350 -MP, ISS, CH, Tower Habitable levels"/>
    <n v="0.6047028000000001"/>
    <n v="2"/>
  </r>
  <r>
    <x v="49"/>
    <s v="DP"/>
    <x v="3"/>
    <x v="3"/>
    <s v="LoD 200 - Schematic Concept"/>
    <n v="0.40313520000000003"/>
    <n v="1"/>
  </r>
  <r>
    <x v="49"/>
    <s v="DP"/>
    <x v="3"/>
    <x v="3"/>
    <s v="Approvals"/>
    <n v="0.20156760000000001"/>
    <n v="1"/>
  </r>
  <r>
    <x v="49"/>
    <s v="DP"/>
    <x v="4"/>
    <x v="0"/>
    <s v="LOD 350 -MP, ISS, CH, Tower Habitable levels"/>
    <n v="0.45096479999999994"/>
    <n v="2"/>
  </r>
  <r>
    <x v="49"/>
    <s v="DP"/>
    <x v="4"/>
    <x v="3"/>
    <s v="LoD 200 - Schematic Concept"/>
    <n v="0.33822359999999996"/>
    <n v="1"/>
  </r>
  <r>
    <x v="49"/>
    <s v="DP"/>
    <x v="4"/>
    <x v="3"/>
    <s v="Approvals"/>
    <n v="0.11274119999999999"/>
    <n v="1"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34.856697651063755"/>
    <n v="9"/>
  </r>
  <r>
    <x v="51"/>
    <s v="Vdrhl-Res"/>
    <x v="1"/>
    <x v="0"/>
    <s v="LoD 200 - Schematic Concept"/>
    <n v="12.642074948250002"/>
    <n v="2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n v="1"/>
  </r>
  <r>
    <x v="51"/>
    <s v="Vdrhl-Plotted Dev"/>
    <x v="5"/>
    <x v="0"/>
    <s v="LoD 200 - Schematic Concept"/>
    <n v="12.642074948250002"/>
    <n v="2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n v="1"/>
  </r>
  <r>
    <x v="51"/>
    <s v="Vdrhl-Cmrcl"/>
    <x v="1"/>
    <x v="0"/>
    <s v="LoD 200 - Schematic Concept"/>
    <n v="2.8090376572500002"/>
    <n v="2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n v="1.4045188286250001"/>
    <n v="1"/>
  </r>
  <r>
    <x v="51"/>
    <s v="Vdrhl"/>
    <x v="2"/>
    <x v="0"/>
    <s v="LoD 200 - Schematic Concept"/>
    <n v="4.0201798335435006"/>
    <n v="1"/>
  </r>
  <r>
    <x v="51"/>
    <s v="Vdrhl"/>
    <x v="2"/>
    <x v="2"/>
    <s v="LoD 200 - Schematic Concept"/>
    <n v="4.0201798335435006"/>
    <n v="1"/>
  </r>
  <r>
    <x v="51"/>
    <s v="Vdrhl"/>
    <x v="3"/>
    <x v="0"/>
    <s v="LoD 200 - Schematic Concept"/>
    <n v="1.4917648438935003"/>
    <n v="1"/>
  </r>
  <r>
    <x v="51"/>
    <s v="Vdrhl"/>
    <x v="3"/>
    <x v="3"/>
    <s v="LoD 200 - Schematic Concept"/>
    <n v="1.4917648438935003"/>
    <n v="1"/>
  </r>
  <r>
    <x v="51"/>
    <s v="Vdrhl"/>
    <x v="4"/>
    <x v="0"/>
    <s v="LoD 200 - Schematic Concept"/>
    <n v="1.2515654198767503"/>
    <n v="1"/>
  </r>
  <r>
    <x v="51"/>
    <s v="Vdrhl"/>
    <x v="4"/>
    <x v="3"/>
    <s v="LoD 200 - Schematic Concept"/>
    <n v="1.251565419876750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m/>
    <x v="0"/>
    <x v="0"/>
    <m/>
    <m/>
    <m/>
  </r>
  <r>
    <x v="1"/>
    <m/>
    <x v="0"/>
    <x v="0"/>
    <m/>
    <n v="35.454419905973523"/>
    <n v="25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6824976540463736"/>
    <n v="31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4.7863519954722676E-2"/>
    <n v="1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m/>
    <m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0891744999999995"/>
    <n v="14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"/>
    <n v="0"/>
  </r>
  <r>
    <x v="5"/>
    <s v="Res"/>
    <x v="4"/>
    <x v="3"/>
    <s v="LOD 350 Amenities &amp; Facilities - Community spaces [Sporting Facilities]"/>
    <m/>
    <m/>
  </r>
  <r>
    <x v="6"/>
    <s v="T08"/>
    <x v="0"/>
    <x v="0"/>
    <s v="Package Release"/>
    <n v="9.0478499999999986"/>
    <n v="31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14400000000000002"/>
    <n v="4"/>
  </r>
  <r>
    <x v="6"/>
    <s v="T08"/>
    <x v="3"/>
    <x v="3"/>
    <s v="LOD 350 Penthouse Levels"/>
    <m/>
    <m/>
  </r>
  <r>
    <x v="6"/>
    <s v="T08"/>
    <x v="3"/>
    <x v="3"/>
    <s v="LOD 350 Terrace Level"/>
    <m/>
    <m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m/>
    <m/>
  </r>
  <r>
    <x v="6"/>
    <s v="T08"/>
    <x v="3"/>
    <x v="3"/>
    <s v="LOD 350 Site MEP"/>
    <m/>
    <m/>
  </r>
  <r>
    <x v="6"/>
    <s v="T08"/>
    <x v="3"/>
    <x v="3"/>
    <s v="LOD 350 L22 Default and It's Variants"/>
    <m/>
    <m/>
  </r>
  <r>
    <x v="6"/>
    <s v="T08"/>
    <x v="3"/>
    <x v="3"/>
    <s v="LOD 350 R25P Default and It's Variants"/>
    <m/>
    <m/>
  </r>
  <r>
    <x v="6"/>
    <s v="T08"/>
    <x v="4"/>
    <x v="0"/>
    <s v="Package Release [Complete the project]"/>
    <n v="0"/>
    <n v="0"/>
  </r>
  <r>
    <x v="6"/>
    <s v="T08"/>
    <x v="4"/>
    <x v="3"/>
    <s v="LOD 350 T08-Clubhouse—Interiors and Facilities"/>
    <m/>
    <m/>
  </r>
  <r>
    <x v="6"/>
    <s v="T08"/>
    <x v="4"/>
    <x v="3"/>
    <s v="LOD 350 R25P Default and It's Variants"/>
    <m/>
    <m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38041780000000003"/>
    <n v="2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0"/>
    <n v="0"/>
  </r>
  <r>
    <x v="16"/>
    <s v="LGCE Campus"/>
    <x v="2"/>
    <x v="2"/>
    <s v="LoD 200 - Schematic Concept"/>
    <m/>
    <m/>
  </r>
  <r>
    <x v="16"/>
    <s v="LGCE Campus"/>
    <x v="3"/>
    <x v="0"/>
    <s v="Complete LoD 200 by 26'Q2"/>
    <n v="0"/>
    <n v="0"/>
  </r>
  <r>
    <x v="16"/>
    <s v="LGCE Campus"/>
    <x v="3"/>
    <x v="3"/>
    <s v="LoD 200 - Schematic Concept"/>
    <m/>
    <m/>
  </r>
  <r>
    <x v="16"/>
    <s v="LGCE Campus"/>
    <x v="4"/>
    <x v="0"/>
    <s v="Complete LoD 200 by 26'Q2"/>
    <n v="0"/>
    <n v="0"/>
  </r>
  <r>
    <x v="16"/>
    <s v="LGCE Campus"/>
    <x v="4"/>
    <x v="3"/>
    <s v="LoD 200 - Schematic Concept"/>
    <m/>
    <m/>
  </r>
  <r>
    <x v="17"/>
    <s v="MT Plano"/>
    <x v="0"/>
    <x v="0"/>
    <s v="Package Release"/>
    <n v="0.54690124999999989"/>
    <n v="3"/>
  </r>
  <r>
    <x v="17"/>
    <s v="MT Plano"/>
    <x v="1"/>
    <x v="0"/>
    <s v="Complete LoD 350 - Foundation and Structure by 26'Q2"/>
    <n v="0.54690124999999989"/>
    <n v="3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m/>
    <m/>
  </r>
  <r>
    <x v="17"/>
    <s v="MT Plano"/>
    <x v="1"/>
    <x v="7"/>
    <s v="LoD 350 - Foundation and Structure"/>
    <m/>
    <m/>
  </r>
  <r>
    <x v="17"/>
    <s v="MT Plano"/>
    <x v="2"/>
    <x v="0"/>
    <s v="Complete LoD 300 by 26'Q2"/>
    <n v="0"/>
    <n v="0"/>
  </r>
  <r>
    <x v="17"/>
    <s v="MT Plano"/>
    <x v="2"/>
    <x v="7"/>
    <s v="LoD 200 - Schematic Concept"/>
    <m/>
    <m/>
  </r>
  <r>
    <x v="17"/>
    <s v="MT Plano"/>
    <x v="2"/>
    <x v="7"/>
    <s v="LoD 300 - Pre Construction Set"/>
    <m/>
    <m/>
  </r>
  <r>
    <x v="17"/>
    <s v="MT Plano"/>
    <x v="3"/>
    <x v="0"/>
    <s v="Complete LoD 300 by 26'Q2"/>
    <n v="0"/>
    <n v="0"/>
  </r>
  <r>
    <x v="17"/>
    <s v="MT Plano"/>
    <x v="3"/>
    <x v="7"/>
    <s v="LoD 200 - Schematic Concept"/>
    <m/>
    <m/>
  </r>
  <r>
    <x v="17"/>
    <s v="MT Plano"/>
    <x v="3"/>
    <x v="7"/>
    <s v="LoD 200 - Approvals"/>
    <m/>
    <m/>
  </r>
  <r>
    <x v="17"/>
    <s v="MT Plano"/>
    <x v="3"/>
    <x v="7"/>
    <s v="LoD 300 - Pre Construction Set"/>
    <m/>
    <m/>
  </r>
  <r>
    <x v="17"/>
    <s v="MT Plano"/>
    <x v="4"/>
    <x v="0"/>
    <s v="Complete LoD 300 by 26'Q2"/>
    <n v="0"/>
    <n v="0"/>
  </r>
  <r>
    <x v="17"/>
    <s v="MT Plano"/>
    <x v="4"/>
    <x v="7"/>
    <s v="LoD 200 - Schematic Concept"/>
    <m/>
    <m/>
  </r>
  <r>
    <x v="17"/>
    <s v="MT Plano"/>
    <x v="4"/>
    <x v="7"/>
    <s v="LoD 200 - Approvals"/>
    <m/>
    <m/>
  </r>
  <r>
    <x v="17"/>
    <s v="MT Plano"/>
    <x v="4"/>
    <x v="7"/>
    <s v="LoD 300 - Pre Construction Set"/>
    <m/>
    <m/>
  </r>
  <r>
    <x v="18"/>
    <s v="MS Res"/>
    <x v="0"/>
    <x v="0"/>
    <s v="Package Release"/>
    <n v="9.3600000000000003E-2"/>
    <n v="4"/>
  </r>
  <r>
    <x v="18"/>
    <s v="MS Res"/>
    <x v="1"/>
    <x v="0"/>
    <s v="Complete LoD 200, Approvals by 26'Q2"/>
    <n v="6.3E-2"/>
    <n v="1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m/>
  </r>
  <r>
    <x v="18"/>
    <s v="MS Res"/>
    <x v="2"/>
    <x v="0"/>
    <s v="Complete LoD 200 by 26'Q2"/>
    <n v="1.9200000000000002E-2"/>
    <n v="1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m/>
  </r>
  <r>
    <x v="18"/>
    <s v="MS Res"/>
    <x v="3"/>
    <x v="0"/>
    <s v="Complete LoD 200, Approvals by 26'Q2"/>
    <n v="5.4000000000000003E-3"/>
    <n v="1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m/>
  </r>
  <r>
    <x v="18"/>
    <s v="MS Res"/>
    <x v="4"/>
    <x v="0"/>
    <s v="Complete LoD 200 by 26'Q2"/>
    <n v="6.0000000000000001E-3"/>
    <n v="1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m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43996002400000001"/>
    <n v="2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0"/>
    <n v="0"/>
  </r>
  <r>
    <x v="21"/>
    <s v="OTR Mus"/>
    <x v="2"/>
    <x v="2"/>
    <s v="LoD 200 - Schematic Concept"/>
    <m/>
    <m/>
  </r>
  <r>
    <x v="21"/>
    <s v="OTR Mus"/>
    <x v="3"/>
    <x v="0"/>
    <s v="Complete Schematic concept"/>
    <n v="0"/>
    <n v="0"/>
  </r>
  <r>
    <x v="21"/>
    <s v="OTR Mus"/>
    <x v="3"/>
    <x v="3"/>
    <s v="LoD 200 - Schematic Concept"/>
    <m/>
    <m/>
  </r>
  <r>
    <x v="21"/>
    <s v="OTR Mus"/>
    <x v="4"/>
    <x v="0"/>
    <s v="Complete Schematic concept"/>
    <n v="0"/>
    <n v="0"/>
  </r>
  <r>
    <x v="21"/>
    <s v="OTR Mus"/>
    <x v="4"/>
    <x v="3"/>
    <s v="LoD 200 - Schematic Concept"/>
    <m/>
    <m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20.03613465041319"/>
    <n v="97"/>
  </r>
  <r>
    <x v="0"/>
    <m/>
    <x v="0"/>
    <x v="0"/>
    <m/>
    <m/>
    <m/>
  </r>
  <r>
    <x v="30"/>
    <s v="Ph 2"/>
    <x v="0"/>
    <x v="0"/>
    <s v="Package Release"/>
    <n v="1.35"/>
    <n v="5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"/>
    <n v="0"/>
  </r>
  <r>
    <x v="30"/>
    <s v="Ph 2"/>
    <x v="2"/>
    <x v="2"/>
    <s v="LoD 200 - Schematic Concept"/>
    <m/>
    <m/>
  </r>
  <r>
    <x v="30"/>
    <s v="Ph 2"/>
    <x v="3"/>
    <x v="0"/>
    <s v="Complete Approvals"/>
    <n v="0"/>
    <n v="0"/>
  </r>
  <r>
    <x v="30"/>
    <s v="Ph 2"/>
    <x v="3"/>
    <x v="3"/>
    <s v="LoD 200 - Schematic Concept"/>
    <m/>
    <m/>
  </r>
  <r>
    <x v="30"/>
    <s v="Ph 2"/>
    <x v="3"/>
    <x v="3"/>
    <s v="Approvals"/>
    <m/>
    <m/>
  </r>
  <r>
    <x v="30"/>
    <s v="Ph 2"/>
    <x v="4"/>
    <x v="0"/>
    <s v="Complete Approvals"/>
    <n v="0"/>
    <n v="0"/>
  </r>
  <r>
    <x v="30"/>
    <s v="Ph 2"/>
    <x v="4"/>
    <x v="3"/>
    <s v="LoD 200 - Schematic Concept"/>
    <m/>
    <m/>
  </r>
  <r>
    <x v="30"/>
    <s v="Ph 2"/>
    <x v="4"/>
    <x v="3"/>
    <s v="Approvals"/>
    <m/>
    <m/>
  </r>
  <r>
    <x v="31"/>
    <s v="Ph 3"/>
    <x v="0"/>
    <x v="0"/>
    <s v="Package Release"/>
    <n v="0.24728000000000006"/>
    <n v="1"/>
  </r>
  <r>
    <x v="31"/>
    <s v="Ph 3"/>
    <x v="1"/>
    <x v="0"/>
    <s v="LOD 350 -Tower Habitable levels, MP Pkg 2"/>
    <n v="0.24728000000000006"/>
    <n v="1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m/>
    <m/>
  </r>
  <r>
    <x v="31"/>
    <s v="Ph 3"/>
    <x v="2"/>
    <x v="0"/>
    <s v="LOD 350 -Tower Habitable levels, MP Pkg 2, ISS Pkg 2"/>
    <n v="0"/>
    <n v="0"/>
  </r>
  <r>
    <x v="31"/>
    <s v="Ph 3"/>
    <x v="2"/>
    <x v="2"/>
    <s v="LoD 200 - Schematic Concept"/>
    <m/>
    <m/>
  </r>
  <r>
    <x v="31"/>
    <s v="Ph 3"/>
    <x v="3"/>
    <x v="0"/>
    <s v="LOD 350 -Tower Habitable levels, MP Pkg 1, ISS Pkg 2"/>
    <n v="0"/>
    <n v="0"/>
  </r>
  <r>
    <x v="31"/>
    <s v="Ph 3"/>
    <x v="3"/>
    <x v="3"/>
    <s v="LoD 200 - Schematic Concept"/>
    <m/>
    <m/>
  </r>
  <r>
    <x v="31"/>
    <s v="Ph 3"/>
    <x v="4"/>
    <x v="0"/>
    <s v="LOD 350 - MP Pkg 1 "/>
    <n v="0"/>
    <n v="0"/>
  </r>
  <r>
    <x v="31"/>
    <s v="Ph 3"/>
    <x v="4"/>
    <x v="3"/>
    <s v="LoD 200 - Schematic Concept"/>
    <m/>
    <m/>
  </r>
  <r>
    <x v="32"/>
    <s v="Ph 3a"/>
    <x v="0"/>
    <x v="0"/>
    <s v="Package Release"/>
    <n v="12.816445667435737"/>
    <n v="7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0.77715343718264007"/>
    <n v="2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m/>
    <m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7.475036000000003"/>
    <n v="11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"/>
    <n v="0"/>
  </r>
  <r>
    <x v="34"/>
    <s v="Srjp - Res"/>
    <x v="4"/>
    <x v="3"/>
    <s v="LoD 200 - Schematic Concept"/>
    <m/>
    <m/>
  </r>
  <r>
    <x v="34"/>
    <s v="Srjp - Res"/>
    <x v="4"/>
    <x v="3"/>
    <s v="LoD 350 - Experience Home + Project Experience"/>
    <m/>
    <m/>
  </r>
  <r>
    <x v="35"/>
    <s v="Srjp - C - SB"/>
    <x v="0"/>
    <x v="0"/>
    <s v="Package Release"/>
    <n v="14.457493385999999"/>
    <n v="5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"/>
    <n v="0"/>
  </r>
  <r>
    <x v="36"/>
    <s v="Srjp - C - SB"/>
    <x v="3"/>
    <x v="3"/>
    <s v="LoD 200 - Schematic Concept"/>
    <m/>
    <m/>
  </r>
  <r>
    <x v="36"/>
    <s v="Srjp - C - SB"/>
    <x v="3"/>
    <x v="3"/>
    <s v="LoD 200 - Approvals"/>
    <m/>
    <m/>
  </r>
  <r>
    <x v="36"/>
    <s v="Srjp - C - SB"/>
    <x v="4"/>
    <x v="0"/>
    <s v="Complete LoD 200 by 26'Q2"/>
    <n v="0"/>
    <n v="0"/>
  </r>
  <r>
    <x v="36"/>
    <s v="Srjp - C - SB"/>
    <x v="4"/>
    <x v="3"/>
    <s v="LoD 200 - Schematic Concept"/>
    <m/>
    <m/>
  </r>
  <r>
    <x v="37"/>
    <s v="Srjp - C - NB"/>
    <x v="0"/>
    <x v="0"/>
    <s v="Package Release"/>
    <n v="5.1090020800000007"/>
    <n v="7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"/>
    <n v="0"/>
  </r>
  <r>
    <x v="38"/>
    <s v="Srjp - C - NB"/>
    <x v="4"/>
    <x v="3"/>
    <s v="LoD 200 - Schematic Concept"/>
    <m/>
    <m/>
  </r>
  <r>
    <x v="26"/>
    <s v="OTF"/>
    <x v="0"/>
    <x v="0"/>
    <s v="Package Release"/>
    <n v="3.6990000000000007"/>
    <n v="15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"/>
    <n v="0"/>
  </r>
  <r>
    <x v="26"/>
    <s v="OTF"/>
    <x v="3"/>
    <x v="3"/>
    <s v="LoD 200 - Schematic Concept"/>
    <m/>
    <m/>
  </r>
  <r>
    <x v="26"/>
    <s v="OTF"/>
    <x v="3"/>
    <x v="3"/>
    <s v="LoD 300 - Pre Construction Set"/>
    <m/>
    <m/>
  </r>
  <r>
    <x v="26"/>
    <s v="OTF"/>
    <x v="3"/>
    <x v="3"/>
    <s v="LoD 350 - Project Entrance"/>
    <m/>
    <m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6.27508"/>
    <n v="8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"/>
    <n v="0"/>
  </r>
  <r>
    <x v="39"/>
    <s v="Ph 1"/>
    <x v="3"/>
    <x v="3"/>
    <s v="LoD 200 - Schematic Concept"/>
    <m/>
    <m/>
  </r>
  <r>
    <x v="39"/>
    <s v="Ph 1"/>
    <x v="3"/>
    <x v="3"/>
    <s v="Approvals"/>
    <m/>
    <m/>
  </r>
  <r>
    <x v="39"/>
    <s v="Ph 1"/>
    <x v="3"/>
    <x v="3"/>
    <s v="LoD 350 - Project Experience"/>
    <m/>
    <m/>
  </r>
  <r>
    <x v="39"/>
    <s v="Ph 1"/>
    <x v="4"/>
    <x v="0"/>
    <s v="[LOD 200 - Schematic, Approvals, LoD 350 - Exp, LoD 300 -  Pre const]"/>
    <n v="0"/>
    <n v="0"/>
  </r>
  <r>
    <x v="39"/>
    <s v="Ph 1"/>
    <x v="4"/>
    <x v="3"/>
    <s v="LoD 200 - Schematic Concept"/>
    <m/>
    <m/>
  </r>
  <r>
    <x v="39"/>
    <s v="Ph 1"/>
    <x v="4"/>
    <x v="3"/>
    <s v="Approvals"/>
    <m/>
    <m/>
  </r>
  <r>
    <x v="39"/>
    <s v="Ph 1"/>
    <x v="4"/>
    <x v="3"/>
    <s v="LoD 350 - Project Experience"/>
    <m/>
    <m/>
  </r>
  <r>
    <x v="40"/>
    <s v="Ph 1"/>
    <x v="0"/>
    <x v="0"/>
    <s v="Package Release"/>
    <n v="2.8743803558767693"/>
    <n v="6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"/>
    <n v="0"/>
  </r>
  <r>
    <x v="40"/>
    <s v="Ph 1"/>
    <x v="3"/>
    <x v="3"/>
    <s v="LoD 200 - Schematic Concept"/>
    <m/>
    <m/>
  </r>
  <r>
    <x v="40"/>
    <s v="Ph 1"/>
    <x v="3"/>
    <x v="3"/>
    <s v="LoD 200 - Approvals"/>
    <m/>
    <m/>
  </r>
  <r>
    <x v="40"/>
    <s v="Ph 1"/>
    <x v="3"/>
    <x v="3"/>
    <s v="LoD 300 - Pre Construction Set"/>
    <m/>
    <m/>
  </r>
  <r>
    <x v="40"/>
    <s v="Ph 1"/>
    <x v="4"/>
    <x v="0"/>
    <s v="Package Release [till LoD 300 - Pre Construction Set]"/>
    <n v="0"/>
    <n v="0"/>
  </r>
  <r>
    <x v="40"/>
    <s v="Ph 1"/>
    <x v="4"/>
    <x v="3"/>
    <s v="LoD 200 - Schematic Concept"/>
    <m/>
    <m/>
  </r>
  <r>
    <x v="40"/>
    <s v="Ph 1"/>
    <x v="4"/>
    <x v="3"/>
    <s v="LoD 200 - Approvals"/>
    <m/>
    <m/>
  </r>
  <r>
    <x v="40"/>
    <s v="Ph 1"/>
    <x v="4"/>
    <x v="3"/>
    <s v="LoD 300 - Pre Construction Set"/>
    <m/>
    <m/>
  </r>
  <r>
    <x v="41"/>
    <s v="Ph 1"/>
    <x v="6"/>
    <x v="0"/>
    <s v="Package Release"/>
    <n v="1.3347879239757054"/>
    <n v="15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19493700714180001"/>
    <n v="3"/>
  </r>
  <r>
    <x v="41"/>
    <s v="Ph 1"/>
    <x v="3"/>
    <x v="3"/>
    <s v="LoD 350 - Project Experience [Sales Lounge, Model Road]"/>
    <m/>
    <m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m/>
    <m/>
  </r>
  <r>
    <x v="41"/>
    <s v="Ph 1"/>
    <x v="4"/>
    <x v="0"/>
    <s v="Package Release [till LoD 350 - Structures - Security Cabin and Entrance]"/>
    <n v="0"/>
    <n v="0"/>
  </r>
  <r>
    <x v="41"/>
    <s v="Ph 1"/>
    <x v="4"/>
    <x v="3"/>
    <s v="LoD 350 - Project Experience [Sales Lounge, Model Road]"/>
    <m/>
    <m/>
  </r>
  <r>
    <x v="41"/>
    <s v="Ph 1"/>
    <x v="4"/>
    <x v="3"/>
    <s v="LoD 350 - Infra - MEP"/>
    <m/>
    <m/>
  </r>
  <r>
    <x v="41"/>
    <s v="Ph 1"/>
    <x v="4"/>
    <x v="3"/>
    <s v="LoD 350 - BOQ &amp; Technical Specifications"/>
    <m/>
    <m/>
  </r>
  <r>
    <x v="41"/>
    <s v="Ph 1"/>
    <x v="4"/>
    <x v="3"/>
    <s v="LoD 350 - Infra - Coordinated"/>
    <m/>
    <m/>
  </r>
  <r>
    <x v="41"/>
    <s v="Ph 1"/>
    <x v="4"/>
    <x v="3"/>
    <s v="LoD 350 - Structures - Security Cabin and Entrance"/>
    <m/>
    <m/>
  </r>
  <r>
    <x v="42"/>
    <s v="Ph 2"/>
    <x v="6"/>
    <x v="0"/>
    <s v="Package Release"/>
    <n v="0"/>
    <n v="0"/>
  </r>
  <r>
    <x v="42"/>
    <s v="Ph 2"/>
    <x v="5"/>
    <x v="0"/>
    <s v="Package Release [till LoD 300 - Pre Construction Set]"/>
    <n v="0"/>
    <n v="0"/>
  </r>
  <r>
    <x v="42"/>
    <s v="Ph 2"/>
    <x v="5"/>
    <x v="3"/>
    <s v="LoD 100 - Contract + Design Brief"/>
    <m/>
    <m/>
  </r>
  <r>
    <x v="42"/>
    <s v="Ph 2"/>
    <x v="5"/>
    <x v="3"/>
    <s v="LoD 200 - Schematic Concept"/>
    <m/>
    <m/>
  </r>
  <r>
    <x v="42"/>
    <s v="Ph 2"/>
    <x v="2"/>
    <x v="0"/>
    <s v="Package Release [till LoD 300 - Pre Construction Set]"/>
    <n v="0"/>
    <n v="0"/>
  </r>
  <r>
    <x v="42"/>
    <s v="Ph 2"/>
    <x v="2"/>
    <x v="2"/>
    <s v="LoD 200 - Schematic Concept"/>
    <m/>
    <m/>
  </r>
  <r>
    <x v="42"/>
    <s v="Ph 2"/>
    <x v="3"/>
    <x v="0"/>
    <s v="Package Release [till LoD 300 - Pre Construction Set]"/>
    <n v="0"/>
    <n v="0"/>
  </r>
  <r>
    <x v="42"/>
    <s v="Ph 2"/>
    <x v="3"/>
    <x v="3"/>
    <s v="LoD 200 - Schematic Concept"/>
    <m/>
    <m/>
  </r>
  <r>
    <x v="42"/>
    <s v="Ph 2"/>
    <x v="4"/>
    <x v="0"/>
    <s v="Package Release [till LoD 300 - Pre Construction Set]"/>
    <n v="0"/>
    <n v="0"/>
  </r>
  <r>
    <x v="42"/>
    <s v="Ph 2"/>
    <x v="4"/>
    <x v="3"/>
    <s v="LoD 200 - Schematic Concept"/>
    <m/>
    <m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0"/>
    <n v="0"/>
  </r>
  <r>
    <x v="45"/>
    <s v="TR Mills "/>
    <x v="1"/>
    <x v="0"/>
    <s v="LOD 300, LOD 350 Exp home"/>
    <n v="0"/>
    <n v="0"/>
  </r>
  <r>
    <x v="45"/>
    <s v="TR Mills "/>
    <x v="1"/>
    <x v="1"/>
    <s v="LoD 100 - Contract + Design Brief "/>
    <m/>
    <m/>
  </r>
  <r>
    <x v="46"/>
    <s v="KIADB - Mys"/>
    <x v="0"/>
    <x v="0"/>
    <s v="Package Release"/>
    <n v="0"/>
    <n v="3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0"/>
  </r>
  <r>
    <x v="46"/>
    <s v="KIADB - Mys"/>
    <x v="2"/>
    <x v="2"/>
    <s v="LoD 200 - Schematic Concept"/>
    <m/>
    <m/>
  </r>
  <r>
    <x v="46"/>
    <s v="KIADB - Mys"/>
    <x v="3"/>
    <x v="0"/>
    <s v="Complete the project by Q4"/>
    <n v="0"/>
    <n v="0"/>
  </r>
  <r>
    <x v="46"/>
    <s v="KIADB - Mys"/>
    <x v="3"/>
    <x v="3"/>
    <s v="LoD 200 - Schematic Concept"/>
    <m/>
    <m/>
  </r>
  <r>
    <x v="46"/>
    <s v="KIADB - Mys"/>
    <x v="3"/>
    <x v="3"/>
    <s v="Approvals"/>
    <m/>
    <m/>
  </r>
  <r>
    <x v="46"/>
    <s v="KIADB - Mys"/>
    <x v="4"/>
    <x v="0"/>
    <s v="Complete the project by Q4"/>
    <n v="0"/>
    <n v="0"/>
  </r>
  <r>
    <x v="46"/>
    <s v="KIADB - Mys"/>
    <x v="4"/>
    <x v="3"/>
    <s v="LoD 200 - Schematic Concept"/>
    <m/>
    <m/>
  </r>
  <r>
    <x v="46"/>
    <s v="KIADB - Mys"/>
    <x v="4"/>
    <x v="3"/>
    <s v="Approvals"/>
    <m/>
    <m/>
  </r>
  <r>
    <x v="47"/>
    <s v="Imgn"/>
    <x v="0"/>
    <x v="0"/>
    <s v="Package Release"/>
    <n v="1.44"/>
    <n v="4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0"/>
  </r>
  <r>
    <x v="47"/>
    <s v="Imgn"/>
    <x v="2"/>
    <x v="2"/>
    <s v="LoD 200 - Schematic Concept"/>
    <n v="0.19"/>
    <m/>
  </r>
  <r>
    <x v="47"/>
    <s v="Imgn"/>
    <x v="3"/>
    <x v="0"/>
    <s v="Package Release [Complete LoD 200] "/>
    <n v="0.05"/>
    <n v="1"/>
  </r>
  <r>
    <x v="47"/>
    <s v="Imgn"/>
    <x v="3"/>
    <x v="3"/>
    <s v="LoD 200 - Schematic Concept"/>
    <m/>
    <m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4.3845312000000004E-2"/>
    <n v="1"/>
  </r>
  <r>
    <x v="48"/>
    <s v="OTR OOTA"/>
    <x v="1"/>
    <x v="0"/>
    <s v="Complete Approvals"/>
    <n v="4.3845312000000004E-2"/>
    <n v="1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m/>
    <m/>
  </r>
  <r>
    <x v="48"/>
    <s v="OTR OOTA"/>
    <x v="1"/>
    <x v="7"/>
    <s v="Approvals"/>
    <m/>
    <m/>
  </r>
  <r>
    <x v="48"/>
    <s v="OTR OOTA"/>
    <x v="2"/>
    <x v="0"/>
    <s v="Complete Schematic concept"/>
    <n v="0"/>
    <n v="0"/>
  </r>
  <r>
    <x v="48"/>
    <s v="OTR OOTA"/>
    <x v="2"/>
    <x v="2"/>
    <s v="LoD 200 - Schematic Concept"/>
    <m/>
    <m/>
  </r>
  <r>
    <x v="48"/>
    <s v="OTR OOTA"/>
    <x v="3"/>
    <x v="0"/>
    <s v="Complete Approvals"/>
    <n v="0"/>
    <n v="0"/>
  </r>
  <r>
    <x v="48"/>
    <s v="OTR OOTA"/>
    <x v="3"/>
    <x v="3"/>
    <s v="LoD 200 - Schematic Concept"/>
    <m/>
    <m/>
  </r>
  <r>
    <x v="48"/>
    <s v="OTR OOTA"/>
    <x v="3"/>
    <x v="3"/>
    <s v="Approvals"/>
    <m/>
    <m/>
  </r>
  <r>
    <x v="48"/>
    <s v="OTR OOTA"/>
    <x v="4"/>
    <x v="0"/>
    <s v="Complete Approvals"/>
    <n v="0"/>
    <n v="0"/>
  </r>
  <r>
    <x v="48"/>
    <s v="OTR OOTA"/>
    <x v="4"/>
    <x v="3"/>
    <s v="LoD 200 - Schematic Concept"/>
    <m/>
    <m/>
  </r>
  <r>
    <x v="48"/>
    <s v="OTR OOTA"/>
    <x v="4"/>
    <x v="3"/>
    <s v="Approvals"/>
    <m/>
    <m/>
  </r>
  <r>
    <x v="49"/>
    <s v="DP"/>
    <x v="0"/>
    <x v="0"/>
    <s v="Package Release"/>
    <n v="6.2110152000000003"/>
    <n v="4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0"/>
  </r>
  <r>
    <x v="49"/>
    <s v="DP"/>
    <x v="2"/>
    <x v="2"/>
    <s v="LoD 200 - Schematic Concept .v7 [Rework]"/>
    <n v="1.0864152"/>
    <m/>
  </r>
  <r>
    <x v="49"/>
    <s v="DP"/>
    <x v="3"/>
    <x v="0"/>
    <s v="LOD 350 -MP, ISS, CH, Tower Habitable levels"/>
    <n v="0"/>
    <n v="0"/>
  </r>
  <r>
    <x v="49"/>
    <s v="DP"/>
    <x v="3"/>
    <x v="3"/>
    <s v="LoD 200 - Schematic Concept"/>
    <m/>
    <m/>
  </r>
  <r>
    <x v="49"/>
    <s v="DP"/>
    <x v="3"/>
    <x v="3"/>
    <s v="Approvals"/>
    <m/>
    <m/>
  </r>
  <r>
    <x v="49"/>
    <s v="DP"/>
    <x v="4"/>
    <x v="0"/>
    <s v="LOD 350 -MP, ISS, CH, Tower Habitable levels"/>
    <n v="0"/>
    <n v="0"/>
  </r>
  <r>
    <x v="49"/>
    <s v="DP"/>
    <x v="4"/>
    <x v="3"/>
    <s v="LoD 200 - Schematic Concept"/>
    <m/>
    <m/>
  </r>
  <r>
    <x v="49"/>
    <s v="DP"/>
    <x v="4"/>
    <x v="3"/>
    <s v="Approvals"/>
    <m/>
    <m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26.688668725125005"/>
    <n v="3"/>
  </r>
  <r>
    <x v="51"/>
    <s v="Vdrhl-Res"/>
    <x v="1"/>
    <x v="0"/>
    <s v="LoD 200 - Schematic Concept"/>
    <n v="12.642074948250002"/>
    <n v="1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m/>
  </r>
  <r>
    <x v="51"/>
    <s v="Vdrhl-Plotted Dev"/>
    <x v="5"/>
    <x v="0"/>
    <s v="LoD 200 - Schematic Concept"/>
    <n v="12.642074948250002"/>
    <n v="1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m/>
  </r>
  <r>
    <x v="51"/>
    <s v="Vdrhl-Cmrcl"/>
    <x v="1"/>
    <x v="0"/>
    <s v="LoD 200 - Schematic Concept"/>
    <n v="1.4045188286250001"/>
    <n v="1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m/>
    <m/>
  </r>
  <r>
    <x v="51"/>
    <s v="Vdrhl"/>
    <x v="2"/>
    <x v="0"/>
    <s v="LoD 200 - Schematic Concept"/>
    <n v="0"/>
    <n v="0"/>
  </r>
  <r>
    <x v="51"/>
    <s v="Vdrhl"/>
    <x v="2"/>
    <x v="2"/>
    <s v="LoD 200 - Schematic Concept"/>
    <m/>
    <m/>
  </r>
  <r>
    <x v="51"/>
    <s v="Vdrhl"/>
    <x v="3"/>
    <x v="0"/>
    <s v="LoD 200 - Schematic Concept"/>
    <n v="0"/>
    <n v="0"/>
  </r>
  <r>
    <x v="51"/>
    <s v="Vdrhl"/>
    <x v="3"/>
    <x v="3"/>
    <s v="LoD 200 - Schematic Concept"/>
    <m/>
    <m/>
  </r>
  <r>
    <x v="51"/>
    <s v="Vdrhl"/>
    <x v="4"/>
    <x v="0"/>
    <s v="LoD 200 - Schematic Concept"/>
    <n v="0"/>
    <n v="0"/>
  </r>
  <r>
    <x v="51"/>
    <s v="Vdrhl"/>
    <x v="4"/>
    <x v="3"/>
    <s v="LoD 200 - Schematic Concept"/>
    <m/>
    <m/>
  </r>
  <r>
    <x v="0"/>
    <m/>
    <x v="0"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m/>
    <x v="0"/>
    <x v="0"/>
    <m/>
    <m/>
    <m/>
    <m/>
    <m/>
    <m/>
    <m/>
    <m/>
    <m/>
    <m/>
    <m/>
    <m/>
    <m/>
    <m/>
    <m/>
    <m/>
    <m/>
    <m/>
  </r>
  <r>
    <x v="1"/>
    <m/>
    <x v="0"/>
    <x v="0"/>
    <m/>
    <n v="36.532568864061062"/>
    <n v="28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"/>
    <s v="Ph 1, 2a, 2b, 2c"/>
    <x v="0"/>
    <x v="0"/>
    <s v="Package Release"/>
    <n v="0.39330311867795664"/>
    <n v="7"/>
    <m/>
    <m/>
    <m/>
    <m/>
    <m/>
    <m/>
    <m/>
    <m/>
    <m/>
    <m/>
    <m/>
    <m/>
    <m/>
    <n v="0"/>
    <n v="0"/>
  </r>
  <r>
    <x v="2"/>
    <s v="Ph 1, 2a, 2b, 2c"/>
    <x v="1"/>
    <x v="0"/>
    <s v="Package Release [Complete LoD 350 ]"/>
    <n v="0.35761529836000006"/>
    <n v="3"/>
    <m/>
    <m/>
    <m/>
    <m/>
    <m/>
    <m/>
    <m/>
    <m/>
    <m/>
    <m/>
    <m/>
    <m/>
    <m/>
    <n v="0"/>
    <n v="0"/>
  </r>
  <r>
    <x v="2"/>
    <s v="Ph 1, 2a, 2b"/>
    <x v="1"/>
    <x v="1"/>
    <s v="LoD 350 - Clubhouse + Amenities - Clubhouse—Interiors and Facilities"/>
    <n v="0.27"/>
    <n v="1"/>
    <m/>
    <m/>
    <m/>
    <s v="Saji A"/>
    <s v="Ayesha"/>
    <s v="Shreelekha"/>
    <m/>
    <m/>
    <m/>
    <m/>
    <m/>
    <m/>
    <m/>
    <n v="0"/>
    <m/>
  </r>
  <r>
    <x v="2"/>
    <s v="Ph 1, 2a, 2b"/>
    <x v="1"/>
    <x v="1"/>
    <s v="LoD 350 - Clubhouse + Amenities - Community spaces [Staff Lounge, Children play area]"/>
    <n v="4.5377035860000005E-2"/>
    <n v="1"/>
    <m/>
    <m/>
    <m/>
    <s v="Saji A"/>
    <s v="Shreenivasa"/>
    <s v="Kishore"/>
    <m/>
    <m/>
    <m/>
    <m/>
    <m/>
    <m/>
    <m/>
    <n v="0"/>
    <m/>
  </r>
  <r>
    <x v="2"/>
    <s v="Ph 2c"/>
    <x v="1"/>
    <x v="1"/>
    <s v="LoD 350 - Master Plan - Site MEP"/>
    <n v="4.2238262499999998E-2"/>
    <n v="1"/>
    <m/>
    <m/>
    <m/>
    <s v="Saji A"/>
    <s v="Shreenivasa"/>
    <s v="Kishore"/>
    <m/>
    <m/>
    <m/>
    <m/>
    <m/>
    <m/>
    <m/>
    <n v="0"/>
    <m/>
  </r>
  <r>
    <x v="2"/>
    <s v="Ph 1, 2a, 2b, 2c"/>
    <x v="2"/>
    <x v="0"/>
    <s v="Package Release [Complete LoD 350 ]"/>
    <n v="2.1350947217956596E-2"/>
    <n v="3"/>
    <m/>
    <m/>
    <m/>
    <m/>
    <m/>
    <m/>
    <m/>
    <m/>
    <m/>
    <m/>
    <m/>
    <m/>
    <m/>
    <n v="0"/>
    <n v="0"/>
  </r>
  <r>
    <x v="2"/>
    <s v="Ph 1, 2a, 2b"/>
    <x v="2"/>
    <x v="2"/>
    <s v="LoD 350 - Clubhouse + Amenities - Community spaces [Staff Lounge, Children play area]"/>
    <n v="5.2867302539999998E-3"/>
    <n v="1"/>
    <m/>
    <m/>
    <m/>
    <s v="Prakash C"/>
    <s v="Satish H"/>
    <s v="Alwin"/>
    <s v="Aniket P"/>
    <s v="Ambika"/>
    <m/>
    <m/>
    <m/>
    <m/>
    <m/>
    <n v="0"/>
    <m/>
  </r>
  <r>
    <x v="2"/>
    <s v="Ph 2c"/>
    <x v="2"/>
    <x v="2"/>
    <s v="LoD 350 - Master Plan - Site MEP"/>
    <n v="1.0861267500000001E-2"/>
    <n v="1"/>
    <m/>
    <m/>
    <m/>
    <s v="Prakash C"/>
    <s v="Satish H"/>
    <s v="Ajmal/Shahnawaz"/>
    <s v="Atharv"/>
    <s v="Prasad"/>
    <m/>
    <m/>
    <m/>
    <m/>
    <m/>
    <n v="0"/>
    <m/>
  </r>
  <r>
    <x v="2"/>
    <s v="Ph 2c"/>
    <x v="2"/>
    <x v="2"/>
    <s v="LoD 350 - Clubhouse + Amenities - Sporting Facilities"/>
    <n v="5.2029494639565963E-3"/>
    <n v="1"/>
    <m/>
    <m/>
    <m/>
    <s v="Prakash C"/>
    <s v="Satish H"/>
    <s v="Alwin"/>
    <s v="Aniket P"/>
    <s v="Prasad"/>
    <m/>
    <m/>
    <m/>
    <m/>
    <m/>
    <n v="0"/>
    <m/>
  </r>
  <r>
    <x v="2"/>
    <s v="Ph 1, 2a, 2b, 2c"/>
    <x v="3"/>
    <x v="0"/>
    <s v="Package Release [Complete LoD 350 ]"/>
    <n v="1.4336873100000001E-2"/>
    <n v="1"/>
    <m/>
    <m/>
    <m/>
    <m/>
    <m/>
    <m/>
    <m/>
    <m/>
    <m/>
    <m/>
    <m/>
    <m/>
    <m/>
    <n v="0"/>
    <n v="0"/>
  </r>
  <r>
    <x v="2"/>
    <s v="Ph 2c"/>
    <x v="3"/>
    <x v="3"/>
    <s v="LoD 350 - Master Plan - Site MEP"/>
    <n v="1.4336873100000001E-2"/>
    <n v="1"/>
    <m/>
    <m/>
    <m/>
    <s v="Gagan"/>
    <s v="Salomi"/>
    <s v="Eranna_x000a_Praveen_x000a_Hareesha"/>
    <s v="Avinash_x000a_Deepu_x000a_Shreedhar_x000a_Mahadev"/>
    <m/>
    <m/>
    <m/>
    <m/>
    <m/>
    <m/>
    <n v="0"/>
    <m/>
  </r>
  <r>
    <x v="2"/>
    <s v="Ph 3"/>
    <x v="0"/>
    <x v="0"/>
    <s v="Package Release"/>
    <n v="2.2740741702306244"/>
    <n v="39"/>
    <m/>
    <m/>
    <m/>
    <m/>
    <m/>
    <m/>
    <m/>
    <m/>
    <m/>
    <m/>
    <m/>
    <m/>
    <m/>
    <n v="0"/>
    <n v="0"/>
  </r>
  <r>
    <x v="2"/>
    <s v="Ph 3"/>
    <x v="1"/>
    <x v="0"/>
    <s v="Package Release [Complete LoD 350]"/>
    <n v="1.5631324216209741"/>
    <n v="15"/>
    <m/>
    <m/>
    <m/>
    <m/>
    <m/>
    <m/>
    <m/>
    <m/>
    <m/>
    <m/>
    <m/>
    <m/>
    <m/>
    <n v="0"/>
    <n v="0"/>
  </r>
  <r>
    <x v="2"/>
    <s v="Ph 3"/>
    <x v="1"/>
    <x v="1"/>
    <s v="LoD 300 - Pre Construction Set"/>
    <n v="0.27398366869616486"/>
    <n v="1"/>
    <m/>
    <m/>
    <m/>
    <s v="Saji A"/>
    <s v="Ayesha"/>
    <s v="Guruprasad"/>
    <s v="Kishore"/>
    <m/>
    <m/>
    <m/>
    <m/>
    <m/>
    <m/>
    <n v="0"/>
    <m/>
  </r>
  <r>
    <x v="2"/>
    <s v="Ph 3"/>
    <x v="1"/>
    <x v="1"/>
    <s v="LoD 350 - Home Products - V45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Home Products - V80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Villa Block 33 - Foundations and Sub-Grade Structure"/>
    <n v="4.3982695586700871E-2"/>
    <n v="1"/>
    <m/>
    <m/>
    <m/>
    <s v="Saji A"/>
    <s v="Ayesha"/>
    <s v="Kishore"/>
    <m/>
    <m/>
    <m/>
    <m/>
    <m/>
    <m/>
    <m/>
    <n v="0"/>
    <m/>
  </r>
  <r>
    <x v="2"/>
    <s v="Ph 3"/>
    <x v="1"/>
    <x v="1"/>
    <s v="LoD 350 - Villa Block 34 - Foundations and Sub-Grade Structure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29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29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1 - Building Envelope + Plot Development "/>
    <n v="1.466089852890029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2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3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4 - Building Envelope + Plot Development 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Master Plan - Master Plan"/>
    <n v="0.05"/>
    <n v="1"/>
    <m/>
    <m/>
    <m/>
    <s v="Saji A"/>
    <s v="Shreenivasa"/>
    <s v="Kishore"/>
    <m/>
    <m/>
    <m/>
    <m/>
    <m/>
    <m/>
    <m/>
    <n v="0"/>
    <m/>
  </r>
  <r>
    <x v="2"/>
    <s v="Ph 3"/>
    <x v="1"/>
    <x v="1"/>
    <s v="LoD 350 - Site Development - 02 Road Works"/>
    <n v="0.05"/>
    <n v="1"/>
    <m/>
    <m/>
    <m/>
    <s v="Saji A"/>
    <s v="Shreenivasa"/>
    <s v="Kishore"/>
    <m/>
    <m/>
    <m/>
    <m/>
    <m/>
    <m/>
    <m/>
    <n v="0"/>
    <m/>
  </r>
  <r>
    <x v="2"/>
    <s v="Ph 3"/>
    <x v="2"/>
    <x v="0"/>
    <s v="Package Release [Complete LoD 350  ]"/>
    <n v="0.33962724008299344"/>
    <n v="16"/>
    <m/>
    <m/>
    <m/>
    <m/>
    <m/>
    <m/>
    <m/>
    <m/>
    <m/>
    <m/>
    <m/>
    <m/>
    <m/>
    <n v="0"/>
    <n v="0"/>
  </r>
  <r>
    <x v="2"/>
    <s v="Ph 3"/>
    <x v="2"/>
    <x v="2"/>
    <s v="LoD 300 - Preconstruction Set"/>
    <n v="9.342160389020137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1 - Building Envelope + Plot Development "/>
    <n v="1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2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Super Structure  "/>
    <n v="2.1106865436972894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Building Envelope + Plot Development "/>
    <n v="3.517810906162149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Site Development - 02 Road Works"/>
    <n v="0.04"/>
    <n v="1"/>
    <m/>
    <m/>
    <m/>
    <s v="Prakash C"/>
    <s v="Satish H"/>
    <s v="Mohith"/>
    <m/>
    <s v="Prasad"/>
    <m/>
    <m/>
    <m/>
    <m/>
    <m/>
    <n v="0"/>
    <m/>
  </r>
  <r>
    <x v="2"/>
    <s v="Ph 3"/>
    <x v="3"/>
    <x v="0"/>
    <s v="Package Release [Complete LoD 350  ]"/>
    <n v="0.27704634295729169"/>
    <n v="6"/>
    <m/>
    <m/>
    <m/>
    <m/>
    <m/>
    <m/>
    <m/>
    <m/>
    <m/>
    <m/>
    <m/>
    <m/>
    <m/>
    <n v="0"/>
    <n v="0"/>
  </r>
  <r>
    <x v="2"/>
    <s v="Ph 3"/>
    <x v="3"/>
    <x v="3"/>
    <s v="LoD 300 - Preconstruction Set"/>
    <n v="2.1499694035440806E-2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3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4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45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80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Master Plan - Master Plan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4"/>
    <x v="0"/>
    <s v="Package Release [Complete LoD 350  ]"/>
    <n v="9.4268165569364862E-2"/>
    <n v="2"/>
    <m/>
    <m/>
    <m/>
    <m/>
    <m/>
    <m/>
    <m/>
    <m/>
    <m/>
    <m/>
    <m/>
    <m/>
    <m/>
    <n v="0"/>
    <n v="0"/>
  </r>
  <r>
    <x v="2"/>
    <s v="Ph 3"/>
    <x v="4"/>
    <x v="3"/>
    <s v="LoD 300 - Preconstruction Set"/>
    <n v="4.786351995472267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45 Default"/>
    <n v="4.640464561464218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80 Default and it's variants"/>
    <n v="4.6404645614642186E-2"/>
    <n v="1"/>
    <m/>
    <m/>
    <m/>
    <s v="Gagan"/>
    <s v="Lajja"/>
    <s v="Anisha "/>
    <s v="Chetan_x000a_Anupa"/>
    <m/>
    <m/>
    <m/>
    <m/>
    <m/>
    <m/>
    <n v="0"/>
    <m/>
  </r>
  <r>
    <x v="3"/>
    <s v="Com"/>
    <x v="0"/>
    <x v="0"/>
    <s v="Package Release"/>
    <n v="1.3329594248000751"/>
    <n v="10"/>
    <m/>
    <m/>
    <m/>
    <m/>
    <m/>
    <m/>
    <m/>
    <m/>
    <m/>
    <m/>
    <m/>
    <m/>
    <m/>
    <n v="0"/>
    <n v="0"/>
  </r>
  <r>
    <x v="3"/>
    <s v="Com"/>
    <x v="1"/>
    <x v="0"/>
    <s v="Package Release [Complete LoD 350 ]"/>
    <n v="0.3642147722995997"/>
    <n v="3"/>
    <m/>
    <m/>
    <m/>
    <m/>
    <m/>
    <m/>
    <m/>
    <m/>
    <m/>
    <m/>
    <m/>
    <m/>
    <m/>
    <n v="0"/>
    <n v="0"/>
  </r>
  <r>
    <x v="3"/>
    <s v="Com"/>
    <x v="1"/>
    <x v="4"/>
    <s v="LoD 350 - Master Plan - Site Development"/>
    <n v="0.13658053961234987"/>
    <n v="1"/>
    <m/>
    <m/>
    <m/>
    <s v="Naveen Y"/>
    <s v="Naveen KL"/>
    <s v="Vasudha C"/>
    <m/>
    <m/>
    <m/>
    <m/>
    <m/>
    <m/>
    <m/>
    <n v="0"/>
    <m/>
  </r>
  <r>
    <x v="3"/>
    <s v="Com"/>
    <x v="1"/>
    <x v="4"/>
    <s v="LoD 350 - Master Plan - Site MEP"/>
    <n v="0.18210738614979985"/>
    <n v="1"/>
    <m/>
    <m/>
    <m/>
    <s v="Naveen Y"/>
    <s v="Naveen KL"/>
    <s v="Sathvika D"/>
    <m/>
    <m/>
    <m/>
    <m/>
    <m/>
    <m/>
    <m/>
    <n v="0"/>
    <m/>
  </r>
  <r>
    <x v="3"/>
    <s v="Com"/>
    <x v="1"/>
    <x v="4"/>
    <s v="LoD 350 - Master Plan - Landscaping"/>
    <n v="4.5526846537449962E-2"/>
    <n v="1"/>
    <m/>
    <m/>
    <m/>
    <s v="Naveen Y"/>
    <s v="Naveen KL"/>
    <s v="Arshad"/>
    <m/>
    <m/>
    <m/>
    <m/>
    <m/>
    <m/>
    <m/>
    <n v="0"/>
    <m/>
  </r>
  <r>
    <x v="3"/>
    <s v="Com"/>
    <x v="2"/>
    <x v="0"/>
    <s v="Package Release [Complete LoD 350 except Habitable Level 6-10 and Terrace Level ]"/>
    <n v="0.8012391689004752"/>
    <n v="5"/>
    <m/>
    <m/>
    <m/>
    <m/>
    <m/>
    <m/>
    <m/>
    <m/>
    <m/>
    <m/>
    <m/>
    <m/>
    <m/>
    <n v="0"/>
    <n v="0"/>
  </r>
  <r>
    <x v="3"/>
    <s v="Com"/>
    <x v="2"/>
    <x v="2"/>
    <s v="LoD 350 - Tower-[Commercial] - Habitable Level 3-5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Habitable Level 6-10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Terrace Level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Master Plan - Site Development"/>
    <n v="1.4486092893899998E-2"/>
    <n v="1"/>
    <m/>
    <m/>
    <m/>
    <s v="Prakash C"/>
    <s v="Vineetha"/>
    <s v="Dhirender+_x000a_Shrishail"/>
    <s v="Rohit"/>
    <m/>
    <m/>
    <m/>
    <m/>
    <m/>
    <m/>
    <n v="0"/>
    <m/>
  </r>
  <r>
    <x v="3"/>
    <s v="Com"/>
    <x v="2"/>
    <x v="2"/>
    <s v="LoD 350 - Master Plan - Site MEP"/>
    <n v="1.2071744078249999E-2"/>
    <n v="1"/>
    <m/>
    <m/>
    <m/>
    <s v="Prakash C"/>
    <s v="Vineetha"/>
    <s v="Sagar+Rajath"/>
    <s v="Namrath"/>
    <m/>
    <m/>
    <m/>
    <m/>
    <m/>
    <m/>
    <n v="0"/>
    <m/>
  </r>
  <r>
    <x v="3"/>
    <s v="Com"/>
    <x v="3"/>
    <x v="0"/>
    <s v="Package Release [Complete LoD 350 ]"/>
    <n v="0.16750548359999998"/>
    <n v="2"/>
    <m/>
    <m/>
    <m/>
    <m/>
    <m/>
    <m/>
    <m/>
    <m/>
    <m/>
    <m/>
    <m/>
    <m/>
    <m/>
    <n v="0"/>
    <n v="0"/>
  </r>
  <r>
    <x v="3"/>
    <s v="Com"/>
    <x v="3"/>
    <x v="3"/>
    <s v="LoD 350 - Master Plan - Master Plan"/>
    <n v="3.8655111599999993E-2"/>
    <n v="1"/>
    <m/>
    <m/>
    <m/>
    <s v="Gagan"/>
    <s v="Salomi"/>
    <s v="Eranna_x000a_Praveen"/>
    <s v="Avinash_x000a_Deepu"/>
    <m/>
    <m/>
    <m/>
    <m/>
    <m/>
    <m/>
    <n v="0"/>
    <m/>
  </r>
  <r>
    <x v="3"/>
    <s v="Com"/>
    <x v="3"/>
    <x v="3"/>
    <s v="LoD 350 - Master Plan - Site MEP"/>
    <n v="0.12885037199999999"/>
    <n v="1"/>
    <m/>
    <m/>
    <m/>
    <s v="Gagan"/>
    <s v="Salomi"/>
    <s v="Eranna_x000a_Praveen"/>
    <s v="Avinash_x000a_Deepu"/>
    <m/>
    <m/>
    <m/>
    <m/>
    <m/>
    <m/>
    <n v="0"/>
    <m/>
  </r>
  <r>
    <x v="4"/>
    <s v="Ph 2"/>
    <x v="0"/>
    <x v="0"/>
    <s v="Package Release"/>
    <n v="0"/>
    <n v="0"/>
    <m/>
    <m/>
    <m/>
    <m/>
    <m/>
    <m/>
    <m/>
    <m/>
    <m/>
    <m/>
    <m/>
    <m/>
    <m/>
    <n v="0"/>
    <n v="0"/>
  </r>
  <r>
    <x v="4"/>
    <s v="Ph 2"/>
    <x v="0"/>
    <x v="0"/>
    <s v="LoD 350 - Childern play area "/>
    <n v="0"/>
    <n v="0"/>
    <m/>
    <m/>
    <m/>
    <m/>
    <m/>
    <m/>
    <m/>
    <m/>
    <m/>
    <m/>
    <m/>
    <m/>
    <m/>
    <n v="0"/>
    <n v="0"/>
  </r>
  <r>
    <x v="0"/>
    <m/>
    <x v="0"/>
    <x v="0"/>
    <s v="Play equipment selection pending"/>
    <m/>
    <m/>
    <m/>
    <m/>
    <m/>
    <m/>
    <m/>
    <m/>
    <m/>
    <m/>
    <m/>
    <m/>
    <m/>
    <m/>
    <m/>
    <m/>
    <m/>
  </r>
  <r>
    <x v="5"/>
    <s v="Res"/>
    <x v="0"/>
    <x v="0"/>
    <s v="Package Release"/>
    <n v="4.1269914999999999"/>
    <n v="14"/>
    <m/>
    <m/>
    <m/>
    <m/>
    <m/>
    <m/>
    <m/>
    <m/>
    <m/>
    <m/>
    <m/>
    <m/>
    <m/>
    <n v="0"/>
    <n v="0"/>
  </r>
  <r>
    <x v="5"/>
    <s v="Res"/>
    <x v="1"/>
    <x v="0"/>
    <s v="Complete the project"/>
    <n v="3.3658999999999999"/>
    <n v="8"/>
    <m/>
    <m/>
    <m/>
    <m/>
    <m/>
    <m/>
    <m/>
    <m/>
    <m/>
    <m/>
    <m/>
    <m/>
    <m/>
    <n v="0"/>
    <n v="0"/>
  </r>
  <r>
    <x v="5"/>
    <s v="Res"/>
    <x v="1"/>
    <x v="1"/>
    <s v="LOD 350 Villa Cluster 3 - All Level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illa Cluster 3 - Building Envelope and Common Area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40 Default and it's variants"/>
    <n v="1.18"/>
    <n v="1"/>
    <m/>
    <m/>
    <m/>
    <s v="Saji A"/>
    <s v="Nirupama"/>
    <m/>
    <m/>
    <m/>
    <m/>
    <m/>
    <m/>
    <m/>
    <m/>
    <n v="0"/>
    <m/>
  </r>
  <r>
    <x v="5"/>
    <s v="Res"/>
    <x v="1"/>
    <x v="1"/>
    <s v="LOD 350 ISS Building Envelope and Common Areas"/>
    <n v="1.0659000000000001"/>
    <n v="1"/>
    <m/>
    <m/>
    <m/>
    <s v="Saji A"/>
    <s v="Arshad"/>
    <s v="Latha"/>
    <m/>
    <m/>
    <m/>
    <m/>
    <m/>
    <m/>
    <m/>
    <n v="0"/>
    <m/>
  </r>
  <r>
    <x v="5"/>
    <s v="Res"/>
    <x v="1"/>
    <x v="1"/>
    <s v="LOD 350 Residential - Site Development"/>
    <n v="0.4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Site MEP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Landscaping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Amenities &amp; Facilities - Sporting Facilities"/>
    <n v="0.03"/>
    <n v="1"/>
    <m/>
    <m/>
    <m/>
    <s v="Saji A"/>
    <s v="Sathwik"/>
    <s v="Abdul"/>
    <m/>
    <m/>
    <m/>
    <m/>
    <m/>
    <m/>
    <m/>
    <n v="0"/>
    <m/>
  </r>
  <r>
    <x v="5"/>
    <s v="Res"/>
    <x v="2"/>
    <x v="0"/>
    <s v="Complete the project"/>
    <n v="0.36"/>
    <n v="3"/>
    <m/>
    <m/>
    <m/>
    <m/>
    <m/>
    <m/>
    <m/>
    <m/>
    <m/>
    <m/>
    <m/>
    <m/>
    <m/>
    <n v="0"/>
    <n v="0"/>
  </r>
  <r>
    <x v="5"/>
    <s v="Res"/>
    <x v="2"/>
    <x v="2"/>
    <s v="LOD 350 Site Development"/>
    <n v="0.19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ite MEP"/>
    <n v="0.16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porting Facilities"/>
    <n v="0.01"/>
    <n v="1"/>
    <m/>
    <m/>
    <m/>
    <s v="Prakash C"/>
    <s v="Lincy"/>
    <s v="Subrahmanya"/>
    <s v="Abhishek"/>
    <s v="Darshan"/>
    <m/>
    <m/>
    <m/>
    <m/>
    <m/>
    <n v="0"/>
    <m/>
  </r>
  <r>
    <x v="5"/>
    <s v="Res"/>
    <x v="3"/>
    <x v="0"/>
    <s v="Complete the project"/>
    <n v="0.36109150000000001"/>
    <n v="2"/>
    <m/>
    <m/>
    <m/>
    <m/>
    <m/>
    <m/>
    <m/>
    <m/>
    <m/>
    <m/>
    <m/>
    <m/>
    <m/>
    <n v="0"/>
    <n v="0"/>
  </r>
  <r>
    <x v="5"/>
    <s v="Res"/>
    <x v="3"/>
    <x v="3"/>
    <s v="LOD 350 Site MEP"/>
    <n v="0.36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3"/>
    <x v="3"/>
    <s v="LOD 350 Sporting Facilities"/>
    <n v="1.0915E-3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4"/>
    <x v="0"/>
    <s v="Complete the project"/>
    <n v="0.04"/>
    <n v="1"/>
    <m/>
    <m/>
    <m/>
    <m/>
    <m/>
    <m/>
    <m/>
    <m/>
    <m/>
    <m/>
    <m/>
    <m/>
    <m/>
    <n v="0"/>
    <n v="0"/>
  </r>
  <r>
    <x v="5"/>
    <s v="Res"/>
    <x v="4"/>
    <x v="3"/>
    <s v="LOD 350 Amenities &amp; Facilities - Community spaces [Sporting Facilities]"/>
    <n v="0.04"/>
    <n v="1"/>
    <m/>
    <m/>
    <m/>
    <s v="Gagan"/>
    <s v="Lajja"/>
    <s v="Apoorva"/>
    <m/>
    <m/>
    <m/>
    <m/>
    <m/>
    <m/>
    <m/>
    <n v="0"/>
    <m/>
  </r>
  <r>
    <x v="6"/>
    <s v="T08"/>
    <x v="0"/>
    <x v="0"/>
    <s v="Package Release"/>
    <n v="8.5082896199999958"/>
    <n v="37"/>
    <m/>
    <m/>
    <m/>
    <m/>
    <m/>
    <m/>
    <m/>
    <m/>
    <m/>
    <m/>
    <m/>
    <m/>
    <m/>
    <n v="0"/>
    <n v="0"/>
  </r>
  <r>
    <x v="6"/>
    <s v="T08"/>
    <x v="1"/>
    <x v="0"/>
    <s v="Package Release [Complete the project]"/>
    <n v="5.9438499999999976"/>
    <n v="17"/>
    <m/>
    <m/>
    <m/>
    <m/>
    <m/>
    <m/>
    <m/>
    <m/>
    <m/>
    <m/>
    <m/>
    <m/>
    <m/>
    <n v="0"/>
    <n v="0"/>
  </r>
  <r>
    <x v="6"/>
    <s v="T08"/>
    <x v="1"/>
    <x v="1"/>
    <s v="LOD 350 ISS - Foundations &amp; Grade Slab"/>
    <n v="0.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arking Level Subgrade"/>
    <n v="0.4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odium Slab"/>
    <n v="0.6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Building Envelope and Common Areas"/>
    <n v="0.8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Habitable Level 01"/>
    <n v="0.48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Building Envelope and Common Areas [Typical Tower Levels]"/>
    <n v="0.9638500000000001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22 Default and variants"/>
    <n v="0.52"/>
    <n v="1"/>
    <m/>
    <m/>
    <m/>
    <s v="Saji A"/>
    <s v="Mononita"/>
    <s v="Shahbazz"/>
    <m/>
    <m/>
    <m/>
    <m/>
    <m/>
    <m/>
    <m/>
    <n v="0"/>
    <m/>
  </r>
  <r>
    <x v="6"/>
    <s v="T08"/>
    <x v="1"/>
    <x v="1"/>
    <s v="LOD 350 R25 Default [Modification for Dry Wall]"/>
    <n v="0.52"/>
    <n v="1"/>
    <m/>
    <m/>
    <m/>
    <s v="Saji A"/>
    <s v="Aardra"/>
    <m/>
    <m/>
    <m/>
    <m/>
    <m/>
    <m/>
    <m/>
    <m/>
    <m/>
    <m/>
  </r>
  <r>
    <x v="6"/>
    <s v="T08"/>
    <x v="1"/>
    <x v="1"/>
    <s v="LOD 350 L20 Default [Modification for Dry Wall]"/>
    <n v="0.52"/>
    <n v="1"/>
    <m/>
    <m/>
    <m/>
    <s v="Saji A"/>
    <s v="Aardra"/>
    <s v="Komal"/>
    <m/>
    <m/>
    <m/>
    <m/>
    <m/>
    <m/>
    <m/>
    <n v="0"/>
    <m/>
  </r>
  <r>
    <x v="6"/>
    <s v="T08"/>
    <x v="1"/>
    <x v="1"/>
    <s v="LOD 350 D35 Default [Modification for Dry Wall]"/>
    <n v="0.52"/>
    <n v="1"/>
    <m/>
    <m/>
    <m/>
    <s v="Saji A"/>
    <s v="Komal"/>
    <s v="Aardra"/>
    <m/>
    <m/>
    <m/>
    <m/>
    <m/>
    <m/>
    <m/>
    <n v="0"/>
    <m/>
  </r>
  <r>
    <x v="6"/>
    <s v="T08"/>
    <x v="1"/>
    <x v="1"/>
    <s v="LOD 350 Master Plan"/>
    <n v="0.17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Interiors and Facilities"/>
    <n v="0.02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andscape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MEP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Outdoor Spaces and Pool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ommunity spaces [Board Walk, Children play area]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Development"/>
    <n v="0.1"/>
    <n v="1"/>
    <m/>
    <m/>
    <m/>
    <s v="Saji A"/>
    <s v="Vivek"/>
    <s v="Komal"/>
    <m/>
    <m/>
    <m/>
    <m/>
    <m/>
    <m/>
    <m/>
    <n v="0"/>
    <m/>
  </r>
  <r>
    <x v="6"/>
    <s v="T08"/>
    <x v="2"/>
    <x v="0"/>
    <s v="Complete the project"/>
    <n v="1.7000000000000002"/>
    <n v="7"/>
    <m/>
    <m/>
    <m/>
    <m/>
    <m/>
    <m/>
    <m/>
    <m/>
    <m/>
    <m/>
    <m/>
    <m/>
    <m/>
    <n v="0"/>
    <n v="0"/>
  </r>
  <r>
    <x v="6"/>
    <s v="T08"/>
    <x v="2"/>
    <x v="2"/>
    <s v="LOD 350 Penthouse Levels"/>
    <n v="0.2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errace Level"/>
    <n v="0.4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08 - ISS - Foundations &amp; Grade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odium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arking Level Subgrade"/>
    <n v="0.43"/>
    <n v="1"/>
    <m/>
    <m/>
    <m/>
    <s v="Prakash C"/>
    <s v="Lincy"/>
    <s v="Nadeem"/>
    <s v="Subrahmanya"/>
    <s v="Karthik"/>
    <m/>
    <m/>
    <m/>
    <m/>
    <m/>
    <n v="0"/>
    <m/>
  </r>
  <r>
    <x v="6"/>
    <s v="T08"/>
    <x v="2"/>
    <x v="2"/>
    <s v="LOD 350 Site Development"/>
    <n v="0.02"/>
    <n v="1"/>
    <m/>
    <m/>
    <m/>
    <s v="Prakash C"/>
    <s v="Lincy"/>
    <s v="Subrahmanya"/>
    <s v="-"/>
    <s v="Karthik"/>
    <m/>
    <m/>
    <m/>
    <m/>
    <m/>
    <n v="0"/>
    <m/>
  </r>
  <r>
    <x v="6"/>
    <s v="T08"/>
    <x v="2"/>
    <x v="2"/>
    <s v="LOD 350 Site MEP"/>
    <n v="0.01"/>
    <n v="1"/>
    <m/>
    <m/>
    <m/>
    <s v="Prakash C"/>
    <s v="Lincy"/>
    <s v="Subrahmanya"/>
    <s v="-"/>
    <s v="Karthik"/>
    <m/>
    <m/>
    <m/>
    <m/>
    <m/>
    <n v="0"/>
    <m/>
  </r>
  <r>
    <x v="6"/>
    <s v="T08"/>
    <x v="3"/>
    <x v="0"/>
    <s v="Package Release [Complete the project]"/>
    <n v="0.65547999999999995"/>
    <n v="9"/>
    <m/>
    <m/>
    <m/>
    <m/>
    <m/>
    <m/>
    <m/>
    <m/>
    <m/>
    <m/>
    <m/>
    <m/>
    <m/>
    <n v="0"/>
    <n v="0"/>
  </r>
  <r>
    <x v="6"/>
    <s v="T08"/>
    <x v="3"/>
    <x v="3"/>
    <s v="LOD 350 Penthouse Levels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Terrace Level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0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D35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Clubhouse—Interiors and Facilities"/>
    <n v="4.0000000000000001E-3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Master Plan"/>
    <n v="0.04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Site MEP"/>
    <n v="0.1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2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R25P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4"/>
    <x v="0"/>
    <s v="Package Release [Complete the project]"/>
    <n v="0.20895962000000001"/>
    <n v="4"/>
    <m/>
    <m/>
    <m/>
    <m/>
    <m/>
    <m/>
    <m/>
    <m/>
    <m/>
    <m/>
    <m/>
    <m/>
    <m/>
    <n v="0"/>
    <n v="0"/>
  </r>
  <r>
    <x v="6"/>
    <s v="T08"/>
    <x v="4"/>
    <x v="3"/>
    <s v="LOD 350 T08-Clubhouse—Interiors and Facilities"/>
    <n v="0.02"/>
    <n v="1"/>
    <m/>
    <m/>
    <m/>
    <s v="Gagan"/>
    <s v="Lajja"/>
    <s v="Apoorva"/>
    <m/>
    <m/>
    <m/>
    <m/>
    <m/>
    <m/>
    <m/>
    <n v="0"/>
    <m/>
  </r>
  <r>
    <x v="6"/>
    <s v="T08"/>
    <x v="4"/>
    <x v="3"/>
    <s v="LOD 350 T08-Clubhouse—Outdoor Spaces and Pool"/>
    <n v="3.8959620000000007E-2"/>
    <n v="1"/>
    <m/>
    <m/>
    <m/>
    <s v="Gagan"/>
    <s v="Lajja"/>
    <m/>
    <m/>
    <m/>
    <m/>
    <m/>
    <m/>
    <m/>
    <m/>
    <n v="0"/>
    <m/>
  </r>
  <r>
    <x v="6"/>
    <s v="T08"/>
    <x v="4"/>
    <x v="3"/>
    <s v="LOD 350 T08-Community spaces [Board Walk, Children play area]"/>
    <n v="0.05"/>
    <n v="1"/>
    <m/>
    <m/>
    <m/>
    <s v="Gagan"/>
    <s v="Lajja"/>
    <m/>
    <m/>
    <m/>
    <m/>
    <m/>
    <m/>
    <m/>
    <m/>
    <n v="0"/>
    <m/>
  </r>
  <r>
    <x v="6"/>
    <s v="T08"/>
    <x v="4"/>
    <x v="3"/>
    <s v="LOD 350 R25P Default and It's Variants"/>
    <n v="0.1"/>
    <n v="1"/>
    <m/>
    <m/>
    <m/>
    <s v="Gagan"/>
    <s v="Lajja"/>
    <s v="Apoorva"/>
    <m/>
    <m/>
    <m/>
    <m/>
    <m/>
    <m/>
    <m/>
    <n v="0"/>
    <m/>
  </r>
  <r>
    <x v="7"/>
    <s v="Ph 1"/>
    <x v="0"/>
    <x v="0"/>
    <s v="Package Release"/>
    <n v="2.3823562255988601E-2"/>
    <n v="2"/>
    <m/>
    <m/>
    <m/>
    <m/>
    <m/>
    <s v="Aishwarya Hegde"/>
    <s v="Sheethal Prabhu"/>
    <s v="Anand Thoppil"/>
    <m/>
    <m/>
    <m/>
    <m/>
    <m/>
    <n v="0"/>
    <n v="0"/>
  </r>
  <r>
    <x v="7"/>
    <s v="Ph 1"/>
    <x v="2"/>
    <x v="0"/>
    <s v="Complete the project"/>
    <n v="2.3823562255988601E-2"/>
    <n v="2"/>
    <m/>
    <m/>
    <m/>
    <m/>
    <m/>
    <m/>
    <m/>
    <m/>
    <m/>
    <m/>
    <m/>
    <m/>
    <m/>
    <n v="0"/>
    <n v="0"/>
  </r>
  <r>
    <x v="7"/>
    <s v="Ph 1"/>
    <x v="2"/>
    <x v="2"/>
    <s v="LoD 350 - Amenities &amp; Facilities |  Clubhouse—Outdoor Spaces and Pool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2"/>
    <x v="2"/>
    <s v="LoD 350 - Amenities &amp; Facilities |  Community spaces 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4"/>
    <x v="0"/>
    <m/>
    <n v="0"/>
    <n v="0"/>
    <m/>
    <m/>
    <m/>
    <m/>
    <m/>
    <m/>
    <m/>
    <m/>
    <m/>
    <m/>
    <m/>
    <m/>
    <m/>
    <n v="0"/>
    <n v="0"/>
  </r>
  <r>
    <x v="7"/>
    <s v="Ph 1"/>
    <x v="4"/>
    <x v="3"/>
    <s v="Tree Avenue details, Play equipment selection pending"/>
    <m/>
    <m/>
    <m/>
    <m/>
    <m/>
    <m/>
    <m/>
    <m/>
    <m/>
    <m/>
    <m/>
    <m/>
    <m/>
    <m/>
    <m/>
    <m/>
    <m/>
  </r>
  <r>
    <x v="8"/>
    <s v="Ph 2b"/>
    <x v="0"/>
    <x v="0"/>
    <s v="Package Release"/>
    <n v="2.6399999999999997"/>
    <n v="20"/>
    <m/>
    <m/>
    <m/>
    <m/>
    <m/>
    <m/>
    <m/>
    <m/>
    <m/>
    <m/>
    <m/>
    <m/>
    <m/>
    <n v="0"/>
    <n v="0"/>
  </r>
  <r>
    <x v="8"/>
    <s v="Ph 2b"/>
    <x v="1"/>
    <x v="0"/>
    <s v="Complete the project"/>
    <n v="1.9100000000000001"/>
    <n v="11"/>
    <m/>
    <m/>
    <m/>
    <m/>
    <m/>
    <m/>
    <m/>
    <m/>
    <m/>
    <m/>
    <m/>
    <m/>
    <m/>
    <n v="0"/>
    <n v="0"/>
  </r>
  <r>
    <x v="8"/>
    <s v="Ph 2b"/>
    <x v="1"/>
    <x v="5"/>
    <s v="LoD 350 - Tower—05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5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Master Plan "/>
    <n v="0.0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Development"/>
    <n v="0.0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MEP"/>
    <n v="0.01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5&amp;6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7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2"/>
    <x v="0"/>
    <s v="Complete the project"/>
    <n v="0.71000000000000008"/>
    <n v="8"/>
    <m/>
    <m/>
    <m/>
    <m/>
    <m/>
    <m/>
    <m/>
    <m/>
    <m/>
    <m/>
    <m/>
    <m/>
    <m/>
    <n v="0"/>
    <n v="0"/>
  </r>
  <r>
    <x v="8"/>
    <s v="Ph 2b"/>
    <x v="2"/>
    <x v="2"/>
    <s v="LoD 350 - Tower 05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6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7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ISS5&amp;6 |Foundations &amp; Grade Slab"/>
    <n v="0.18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 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Development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MEP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3"/>
    <x v="0"/>
    <s v="Complete the project"/>
    <n v="0.02"/>
    <n v="1"/>
    <m/>
    <m/>
    <m/>
    <m/>
    <m/>
    <m/>
    <m/>
    <m/>
    <m/>
    <m/>
    <m/>
    <m/>
    <m/>
    <n v="0"/>
    <n v="0"/>
  </r>
  <r>
    <x v="8"/>
    <s v="Ph 2b"/>
    <x v="3"/>
    <x v="3"/>
    <s v="LoD 350 - Master Plan | Site MEP"/>
    <n v="0.02"/>
    <n v="1"/>
    <m/>
    <m/>
    <m/>
    <s v="Gagan"/>
    <s v="Salomi"/>
    <s v="Antony"/>
    <m/>
    <s v="Harshitha"/>
    <m/>
    <n v="0"/>
    <m/>
    <m/>
    <m/>
    <n v="0"/>
    <m/>
  </r>
  <r>
    <x v="9"/>
    <s v="Ph 2c"/>
    <x v="0"/>
    <x v="0"/>
    <s v="Package Release"/>
    <n v="0.65298114171514998"/>
    <n v="10"/>
    <m/>
    <m/>
    <m/>
    <m/>
    <m/>
    <m/>
    <m/>
    <m/>
    <m/>
    <m/>
    <m/>
    <m/>
    <m/>
    <n v="0"/>
    <n v="0"/>
  </r>
  <r>
    <x v="9"/>
    <s v="Ph 2c"/>
    <x v="1"/>
    <x v="0"/>
    <s v="LoD 350 - T09 [Foundation &amp; Grade Slab, Parking Lvl Sub Grade], ISS09 [[Foundation &amp; Grade Slab]"/>
    <n v="0.30105801900000001"/>
    <n v="3"/>
    <m/>
    <m/>
    <m/>
    <m/>
    <m/>
    <m/>
    <m/>
    <m/>
    <m/>
    <m/>
    <m/>
    <m/>
    <m/>
    <n v="0"/>
    <n v="0"/>
  </r>
  <r>
    <x v="9"/>
    <s v="Ph 2c"/>
    <x v="1"/>
    <x v="5"/>
    <s v="LoD 350 - Tower 9 | Foundation and Grade Slab"/>
    <n v="0.1306035900000000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Tower 9 | Parking Level-Sub grade"/>
    <n v="7.8362154000000003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ISS 9 | Foundations &amp; Grade Slab"/>
    <n v="9.2092275000000001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2"/>
    <x v="0"/>
    <s v="LoD 350 - T09 [Foundation &amp; Grade Slab, Parking Lvl Sub Grade], ISS09 [[Foundation &amp; Grade Slab]"/>
    <n v="0.28480034280014982"/>
    <n v="4"/>
    <m/>
    <m/>
    <m/>
    <m/>
    <m/>
    <m/>
    <m/>
    <m/>
    <m/>
    <m/>
    <m/>
    <m/>
    <m/>
    <n v="0"/>
    <n v="0"/>
  </r>
  <r>
    <x v="9"/>
    <s v="Ph 2c"/>
    <x v="2"/>
    <x v="2"/>
    <s v="LoD 350 - Tower 9 | Foundation and Grade Slab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Tower 9 | Parking Level-Sub grade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ISS 9 | Earthwork"/>
    <n v="9.7617811500000009E-3"/>
    <n v="1"/>
    <m/>
    <m/>
    <m/>
    <s v="Prakash C"/>
    <m/>
    <s v="Outsourced"/>
    <m/>
    <m/>
    <m/>
    <n v="0"/>
    <m/>
    <m/>
    <m/>
    <n v="0"/>
    <m/>
  </r>
  <r>
    <x v="9"/>
    <s v="Ph 2c"/>
    <x v="2"/>
    <x v="2"/>
    <s v="LoD 350 - ISS 9 | Foundations &amp; Grade Slab"/>
    <n v="3.9047124600000004E-2"/>
    <n v="1"/>
    <m/>
    <m/>
    <m/>
    <s v="Prakash C"/>
    <m/>
    <s v="Outsourced"/>
    <m/>
    <m/>
    <m/>
    <n v="0"/>
    <m/>
    <m/>
    <m/>
    <n v="0"/>
    <m/>
  </r>
  <r>
    <x v="9"/>
    <s v="Ph 2c"/>
    <x v="3"/>
    <x v="0"/>
    <s v="LoD 350 - T09 [Foundation &amp; Grade Slab], ISS09 [[Foundation &amp; Grade Slab]"/>
    <n v="6.7122779915E-2"/>
    <n v="3"/>
    <m/>
    <m/>
    <m/>
    <m/>
    <m/>
    <m/>
    <m/>
    <m/>
    <m/>
    <m/>
    <m/>
    <m/>
    <m/>
    <n v="0"/>
    <n v="0"/>
  </r>
  <r>
    <x v="9"/>
    <s v="Ph 2c"/>
    <x v="3"/>
    <x v="3"/>
    <s v="LoD 350 - Tower 9 | Foundation and Grade Slab"/>
    <n v="3.0822447240000002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Tower 9 | Parking Level-Sub grade"/>
    <n v="0.0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ISS 9 | Foundations &amp; Grade Slab"/>
    <n v="1.6300332674999998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10"/>
    <s v="Ph 1"/>
    <x v="0"/>
    <x v="0"/>
    <s v="Package Release"/>
    <n v="0.7300000000000002"/>
    <n v="7"/>
    <m/>
    <m/>
    <m/>
    <m/>
    <m/>
    <m/>
    <m/>
    <m/>
    <m/>
    <m/>
    <m/>
    <m/>
    <m/>
    <n v="0"/>
    <n v="0"/>
  </r>
  <r>
    <x v="10"/>
    <s v="Ph 1"/>
    <x v="1"/>
    <x v="0"/>
    <s v="Complete the project"/>
    <n v="0.39"/>
    <n v="2"/>
    <m/>
    <m/>
    <m/>
    <m/>
    <m/>
    <m/>
    <m/>
    <m/>
    <m/>
    <m/>
    <m/>
    <m/>
    <m/>
    <n v="0"/>
    <n v="0"/>
  </r>
  <r>
    <x v="10"/>
    <s v="Ph 1"/>
    <x v="1"/>
    <x v="5"/>
    <s v="LoD 350 - Villa Block | Building Envelope + Plot Development"/>
    <n v="0.3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1"/>
    <x v="5"/>
    <s v="LoD 350 - Master Plan | Master Plan "/>
    <n v="0.09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2"/>
    <x v="0"/>
    <s v="Complete the project"/>
    <n v="0.30000000000000004"/>
    <n v="4"/>
    <m/>
    <m/>
    <m/>
    <m/>
    <m/>
    <m/>
    <m/>
    <m/>
    <m/>
    <m/>
    <m/>
    <m/>
    <m/>
    <n v="0"/>
    <n v="0"/>
  </r>
  <r>
    <x v="10"/>
    <s v="Ph 1"/>
    <x v="2"/>
    <x v="2"/>
    <s v="LoD 350 - Villa Block | Super Structure"/>
    <n v="0.17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Development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MEP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LoD 350 - Amenities &amp; Facilities | Community spaces [Board Walk, Children play area]"/>
    <n v="7.0000000000000007E-2"/>
    <n v="1"/>
    <m/>
    <m/>
    <m/>
    <s v="Prakash C"/>
    <s v="Satish H"/>
    <s v="Mazhar"/>
    <m/>
    <s v="Samyukta"/>
    <m/>
    <n v="0"/>
    <m/>
    <m/>
    <m/>
    <n v="0"/>
    <m/>
  </r>
  <r>
    <x v="10"/>
    <s v="Ph 1"/>
    <x v="3"/>
    <x v="0"/>
    <s v="Complete the project"/>
    <n v="0.04"/>
    <n v="1"/>
    <m/>
    <m/>
    <m/>
    <m/>
    <m/>
    <m/>
    <m/>
    <m/>
    <m/>
    <m/>
    <m/>
    <m/>
    <m/>
    <n v="0"/>
    <n v="0"/>
  </r>
  <r>
    <x v="10"/>
    <s v="Ph 1"/>
    <x v="3"/>
    <x v="3"/>
    <s v="LoD 350 - Master Plan | Site MEP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11"/>
    <s v="TuiG"/>
    <x v="0"/>
    <x v="0"/>
    <s v="Package Release"/>
    <n v="2.5530097777740015"/>
    <n v="8"/>
    <m/>
    <m/>
    <m/>
    <m/>
    <m/>
    <m/>
    <m/>
    <m/>
    <m/>
    <m/>
    <m/>
    <m/>
    <m/>
    <n v="0"/>
    <n v="0"/>
  </r>
  <r>
    <x v="11"/>
    <s v="TuiG"/>
    <x v="1"/>
    <x v="0"/>
    <s v="Package Release [LoD 350 - CH structure &amp; envelope, Interiors]"/>
    <n v="1.547754763030085"/>
    <n v="4"/>
    <m/>
    <m/>
    <m/>
    <m/>
    <m/>
    <m/>
    <m/>
    <m/>
    <m/>
    <m/>
    <m/>
    <m/>
    <m/>
    <n v="0"/>
    <n v="0"/>
  </r>
  <r>
    <x v="11"/>
    <s v="TuiG"/>
    <x v="1"/>
    <x v="6"/>
    <s v="LoD 350 - Clubhouse—Structure and Envelope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Clubhouse—Interiors and Facilities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Sporting Facilities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Clubhouse—Outdoor Spaces and Pool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2"/>
    <x v="0"/>
    <s v="Package Release [LoD 350 - Site dev, Site MEP, CH structure &amp; Envelope]"/>
    <n v="1.005255014743917"/>
    <n v="4"/>
    <m/>
    <m/>
    <m/>
    <m/>
    <m/>
    <m/>
    <m/>
    <m/>
    <m/>
    <m/>
    <m/>
    <m/>
    <m/>
    <n v="0"/>
    <n v="0"/>
  </r>
  <r>
    <x v="11"/>
    <s v="TuiG"/>
    <x v="2"/>
    <x v="2"/>
    <s v="LoD 350 - Site Development"/>
    <n v="0.40295193575893268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Site MEP"/>
    <n v="0.33579327979911056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Clubhouse—Structure and Envelope"/>
    <n v="0.21693581286679067"/>
    <n v="1"/>
    <m/>
    <m/>
    <m/>
    <s v="Prakash C"/>
    <s v="Satish H"/>
    <s v="Saurav"/>
    <m/>
    <s v="Shivaraj"/>
    <m/>
    <n v="0"/>
    <m/>
    <m/>
    <m/>
    <n v="0"/>
    <m/>
  </r>
  <r>
    <x v="11"/>
    <s v="TuiG"/>
    <x v="2"/>
    <x v="2"/>
    <s v="LoD 350 - Clubhouse—Outdoor Spaces and Pool"/>
    <n v="4.9573986319083066E-2"/>
    <n v="1"/>
    <m/>
    <m/>
    <m/>
    <s v="Prakash C"/>
    <s v="Satish H"/>
    <s v="Saurav"/>
    <m/>
    <s v="Shivaraj"/>
    <m/>
    <n v="0"/>
    <m/>
    <m/>
    <m/>
    <n v="0"/>
    <m/>
  </r>
  <r>
    <x v="12"/>
    <s v="DBTW"/>
    <x v="0"/>
    <x v="0"/>
    <s v="Package Release"/>
    <n v="7.8892099773439286"/>
    <n v="31"/>
    <m/>
    <m/>
    <m/>
    <m/>
    <m/>
    <m/>
    <m/>
    <m/>
    <m/>
    <m/>
    <m/>
    <m/>
    <m/>
    <n v="0"/>
    <n v="0"/>
  </r>
  <r>
    <x v="12"/>
    <s v="DBTW"/>
    <x v="1"/>
    <x v="0"/>
    <s v="Complete the project "/>
    <n v="5.7305795176560004"/>
    <n v="11"/>
    <m/>
    <m/>
    <m/>
    <m/>
    <m/>
    <m/>
    <m/>
    <m/>
    <m/>
    <m/>
    <m/>
    <m/>
    <m/>
    <n v="0"/>
    <n v="0"/>
  </r>
  <r>
    <x v="12"/>
    <s v="DBTW"/>
    <x v="1"/>
    <x v="6"/>
    <s v="LoD 350 - Master Plan - Site Development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Site MEP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Landscaping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Tower 06 - Foundation and Grade Slab"/>
    <n v="6.4031962499999998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Foundations &amp; Grade Slab"/>
    <n v="0.5499495518400000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Podium Slab"/>
    <n v="0.27497477592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0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5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L21 Default and it's variants"/>
    <m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Structure and Envelope"/>
    <n v="0.112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Outdoor Spaces and Pool"/>
    <n v="3.7499999999999999E-2"/>
    <n v="1"/>
    <m/>
    <m/>
    <m/>
    <s v="Om Prakash"/>
    <s v="CB Raman"/>
    <s v="Balaji R"/>
    <s v="Anitha K"/>
    <m/>
    <m/>
    <m/>
    <m/>
    <m/>
    <m/>
    <n v="0"/>
    <m/>
  </r>
  <r>
    <x v="12"/>
    <s v="DBTW"/>
    <x v="2"/>
    <x v="0"/>
    <s v="Complete the project "/>
    <n v="2.1217771248000008"/>
    <n v="19"/>
    <m/>
    <m/>
    <m/>
    <m/>
    <m/>
    <m/>
    <m/>
    <m/>
    <m/>
    <m/>
    <m/>
    <m/>
    <m/>
    <n v="0"/>
    <n v="0"/>
  </r>
  <r>
    <x v="12"/>
    <s v="DBTW"/>
    <x v="2"/>
    <x v="2"/>
    <s v="LoD 350 - ISS - Foundations &amp; Grade Slab"/>
    <n v="0.5295810499200001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ISS -Parking Level Slab - Sub grade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ISS - Podium Slab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Tower-1-Habitable Level - Even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1-Habitable Level - Odd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4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4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5-Foundation and Grade Slab"/>
    <n v="0.10833933000000003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Foundation and Grade Slab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Parking Level-Sub grade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01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Even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Odd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3"/>
    <x v="0"/>
    <s v="Complete the project "/>
    <n v="3.6853334887931043E-2"/>
    <n v="1"/>
    <m/>
    <m/>
    <m/>
    <m/>
    <m/>
    <m/>
    <m/>
    <m/>
    <m/>
    <m/>
    <m/>
    <m/>
    <m/>
    <n v="0"/>
    <n v="0"/>
  </r>
  <r>
    <x v="12"/>
    <s v="DBTW"/>
    <x v="3"/>
    <x v="3"/>
    <s v="LoD 350 - Master Plan- Master Plan"/>
    <n v="3.6853334887931043E-2"/>
    <n v="1"/>
    <m/>
    <m/>
    <m/>
    <s v="Gagan"/>
    <s v="Salomi"/>
    <s v="Bhavya_x000a_Hareesha"/>
    <s v="Viresh_x000a_Matsarambabu_x000a_Byahattimath_x000a_Hanumanthraya"/>
    <m/>
    <m/>
    <m/>
    <m/>
    <m/>
    <m/>
    <n v="0"/>
    <m/>
  </r>
  <r>
    <x v="13"/>
    <s v="SftW"/>
    <x v="0"/>
    <x v="0"/>
    <s v="Package Release"/>
    <n v="1.0950933246486447"/>
    <n v="15"/>
    <m/>
    <m/>
    <m/>
    <m/>
    <m/>
    <m/>
    <m/>
    <m/>
    <m/>
    <m/>
    <m/>
    <m/>
    <m/>
    <n v="0"/>
    <n v="0"/>
  </r>
  <r>
    <x v="13"/>
    <s v="SftW"/>
    <x v="1"/>
    <x v="0"/>
    <s v="Complete LoD 350 [Podium, Clubhouse &amp; Masterplan] by 26'Q2"/>
    <n v="0.72823846611302523"/>
    <n v="7"/>
    <m/>
    <m/>
    <m/>
    <m/>
    <m/>
    <m/>
    <m/>
    <m/>
    <m/>
    <m/>
    <m/>
    <m/>
    <m/>
    <n v="0"/>
    <n v="0"/>
  </r>
  <r>
    <x v="13"/>
    <s v="SftW"/>
    <x v="1"/>
    <x v="6"/>
    <s v="LoD 350 - ISS 01 - Podium Slab"/>
    <n v="0.25575333042562204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Structure and Envelope"/>
    <n v="8.1564148364617506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Master Plan"/>
    <n v="0.18696938245168926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Outdoor Spaces and Pool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Development"/>
    <n v="0.11218162947101355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MEP"/>
    <n v="3.7393876490337853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Landscaping"/>
    <m/>
    <m/>
    <m/>
    <m/>
    <m/>
    <s v="Om Prakash"/>
    <m/>
    <m/>
    <m/>
    <m/>
    <m/>
    <m/>
    <m/>
    <m/>
    <m/>
    <m/>
    <m/>
  </r>
  <r>
    <x v="13"/>
    <s v="SftW"/>
    <x v="1"/>
    <x v="6"/>
    <s v="LoD 350: Clubhouse + Amenities - Sporting Facilities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Tower 02: Terrace Level"/>
    <m/>
    <m/>
    <m/>
    <m/>
    <m/>
    <s v="Om Prakash"/>
    <m/>
    <m/>
    <m/>
    <m/>
    <m/>
    <m/>
    <m/>
    <m/>
    <m/>
    <m/>
    <m/>
  </r>
  <r>
    <x v="13"/>
    <s v="SftW"/>
    <x v="2"/>
    <x v="0"/>
    <s v="Complete LoD 350 [Clubhouse &amp; Masterplan] by 26'Q2"/>
    <n v="0.34545700083561953"/>
    <n v="6"/>
    <m/>
    <m/>
    <m/>
    <m/>
    <m/>
    <m/>
    <m/>
    <m/>
    <m/>
    <m/>
    <m/>
    <m/>
    <m/>
    <n v="0"/>
    <n v="0"/>
  </r>
  <r>
    <x v="13"/>
    <s v="SftW"/>
    <x v="2"/>
    <x v="2"/>
    <s v="LoD 350 - Tower 2: Terrace Level"/>
    <n v="0.20115878538561949"/>
    <n v="1"/>
    <m/>
    <m/>
    <m/>
    <s v="Prakash C"/>
    <s v="Vineetha"/>
    <s v="Shrishail"/>
    <s v="Rohit"/>
    <s v="Arun"/>
    <m/>
    <n v="0"/>
    <m/>
    <m/>
    <m/>
    <n v="0"/>
    <m/>
  </r>
  <r>
    <x v="13"/>
    <s v="SftW"/>
    <x v="2"/>
    <x v="2"/>
    <s v="LoD 350 - Master Plan: Site Development"/>
    <n v="5.8456730700000001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Master Plan: Site MEP"/>
    <n v="4.8713942250000003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Clubhouse: Structure and Envelope"/>
    <n v="2.5989279749999997E-2"/>
    <n v="1"/>
    <m/>
    <m/>
    <m/>
    <s v="Prakash C"/>
    <s v="Satish H"/>
    <s v="Shubham"/>
    <m/>
    <s v="Vinay"/>
    <m/>
    <n v="0"/>
    <m/>
    <m/>
    <m/>
    <n v="0"/>
    <m/>
  </r>
  <r>
    <x v="13"/>
    <s v="SftW"/>
    <x v="2"/>
    <x v="2"/>
    <s v="LoD 350 - Clubhouse: Outdoor Spaces and Pool"/>
    <n v="3.7127542499999998E-3"/>
    <n v="1"/>
    <m/>
    <m/>
    <m/>
    <s v="Prakash C"/>
    <s v="Satish H"/>
    <s v="Raghavendra"/>
    <m/>
    <s v="Vinay"/>
    <m/>
    <n v="0"/>
    <m/>
    <m/>
    <m/>
    <n v="0"/>
    <m/>
  </r>
  <r>
    <x v="13"/>
    <s v="SftW"/>
    <x v="2"/>
    <x v="2"/>
    <s v="LoD 350: Clubhouse + Amenities - Sporting Facilities"/>
    <n v="7.4255085000000005E-3"/>
    <n v="1"/>
    <m/>
    <m/>
    <m/>
    <s v="Prakash C"/>
    <s v="Satish H"/>
    <s v="Shubam(after finishing clubhouse)"/>
    <m/>
    <s v="Vinay"/>
    <m/>
    <n v="0"/>
    <m/>
    <m/>
    <m/>
    <n v="0"/>
    <m/>
  </r>
  <r>
    <x v="13"/>
    <s v="SftW"/>
    <x v="3"/>
    <x v="0"/>
    <s v="Complete LoD 350 [Clubhouse &amp; Masterplan] by 26'Q2"/>
    <n v="2.1397857699999998E-2"/>
    <n v="2"/>
    <m/>
    <m/>
    <m/>
    <m/>
    <m/>
    <m/>
    <m/>
    <m/>
    <m/>
    <m/>
    <m/>
    <m/>
    <m/>
    <n v="0"/>
    <n v="0"/>
  </r>
  <r>
    <x v="13"/>
    <s v="SftW"/>
    <x v="3"/>
    <x v="3"/>
    <s v="LoD 350 - Master Plan: Site MEP"/>
    <n v="2.0842521999999999E-2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3"/>
    <s v="SftW"/>
    <x v="3"/>
    <x v="3"/>
    <s v="LoD 350: Clubhouse + Amenities - Sporting Facilities"/>
    <n v="5.5533570000000003E-4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4"/>
    <s v="LGCE Campus"/>
    <x v="0"/>
    <x v="0"/>
    <s v="Package Release"/>
    <n v="0.47795692392"/>
    <n v="5"/>
    <m/>
    <m/>
    <m/>
    <m/>
    <m/>
    <m/>
    <m/>
    <m/>
    <m/>
    <m/>
    <m/>
    <m/>
    <m/>
    <n v="0"/>
    <n v="0"/>
  </r>
  <r>
    <x v="14"/>
    <s v="LGCE Campus"/>
    <x v="1"/>
    <x v="0"/>
    <s v="Complete LoD 200 by 26'Q2"/>
    <n v="0.38041780000000003"/>
    <n v="2"/>
    <m/>
    <m/>
    <m/>
    <m/>
    <m/>
    <m/>
    <m/>
    <m/>
    <m/>
    <m/>
    <m/>
    <m/>
    <m/>
    <n v="0"/>
    <n v="0"/>
  </r>
  <r>
    <x v="14"/>
    <s v="LGCE Campus"/>
    <x v="1"/>
    <x v="6"/>
    <s v="LoD 100 - Design Brief"/>
    <n v="0.15216712000000002"/>
    <n v="1"/>
    <m/>
    <m/>
    <m/>
    <s v="Om Prakash"/>
    <s v="Veeresh N"/>
    <s v="Ankita Macha"/>
    <m/>
    <m/>
    <m/>
    <m/>
    <m/>
    <m/>
    <m/>
    <n v="0"/>
    <m/>
  </r>
  <r>
    <x v="14"/>
    <s v="LGCE Campus"/>
    <x v="1"/>
    <x v="6"/>
    <s v="LoD 200 - Schematic Concept"/>
    <n v="0.22825067999999998"/>
    <n v="1"/>
    <m/>
    <m/>
    <m/>
    <s v="Om Prakash"/>
    <s v="Veeresh N"/>
    <s v="Ankita Macha"/>
    <m/>
    <m/>
    <m/>
    <m/>
    <m/>
    <m/>
    <m/>
    <n v="0"/>
    <m/>
  </r>
  <r>
    <x v="14"/>
    <s v="LGCE Campus"/>
    <x v="2"/>
    <x v="0"/>
    <s v="Complete LoD 200 by 26'Q2"/>
    <n v="6.4518858880000002E-2"/>
    <n v="1"/>
    <m/>
    <m/>
    <m/>
    <m/>
    <m/>
    <m/>
    <m/>
    <m/>
    <m/>
    <m/>
    <m/>
    <m/>
    <m/>
    <n v="0"/>
    <n v="0"/>
  </r>
  <r>
    <x v="14"/>
    <s v="LGCE Campus"/>
    <x v="2"/>
    <x v="2"/>
    <s v="LoD 200 - Schematic Concept"/>
    <n v="6.4518858880000002E-2"/>
    <n v="1"/>
    <m/>
    <m/>
    <m/>
    <s v="Prakash C"/>
    <s v="Vineetha"/>
    <s v="Sagar"/>
    <s v="Rohit"/>
    <s v="Karthik"/>
    <m/>
    <n v="0"/>
    <m/>
    <m/>
    <m/>
    <n v="0"/>
    <m/>
  </r>
  <r>
    <x v="14"/>
    <s v="LGCE Campus"/>
    <x v="3"/>
    <x v="0"/>
    <s v="Complete LoD 200 by 26'Q2"/>
    <n v="1.7955720160000004E-2"/>
    <n v="1"/>
    <m/>
    <m/>
    <m/>
    <m/>
    <m/>
    <m/>
    <m/>
    <m/>
    <m/>
    <m/>
    <m/>
    <m/>
    <m/>
    <n v="0"/>
    <n v="0"/>
  </r>
  <r>
    <x v="14"/>
    <s v="LGCE Campus"/>
    <x v="3"/>
    <x v="3"/>
    <s v="LoD 200 - Schematic Concept"/>
    <n v="1.7955720160000004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4"/>
    <s v="LGCE Campus"/>
    <x v="4"/>
    <x v="0"/>
    <s v="Complete LoD 200 by 26'Q2"/>
    <n v="1.5064544879999999E-2"/>
    <n v="1"/>
    <m/>
    <m/>
    <m/>
    <m/>
    <m/>
    <m/>
    <m/>
    <m/>
    <m/>
    <m/>
    <m/>
    <m/>
    <m/>
    <n v="0"/>
    <n v="0"/>
  </r>
  <r>
    <x v="14"/>
    <s v="LGCE Campus"/>
    <x v="4"/>
    <x v="3"/>
    <s v="LoD 200 - Schematic Concept"/>
    <n v="1.5064544879999999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5"/>
    <s v="MT Plano"/>
    <x v="0"/>
    <x v="0"/>
    <s v="Package Release"/>
    <n v="1.2668018749999996"/>
    <n v="13"/>
    <m/>
    <m/>
    <m/>
    <m/>
    <m/>
    <m/>
    <m/>
    <m/>
    <m/>
    <m/>
    <m/>
    <m/>
    <m/>
    <n v="0"/>
    <n v="0"/>
  </r>
  <r>
    <x v="15"/>
    <s v="MT Plano"/>
    <x v="1"/>
    <x v="0"/>
    <s v="Complete LoD 350 - Foundation and Structure by 26'Q2"/>
    <n v="1.0156737499999999"/>
    <n v="5"/>
    <m/>
    <m/>
    <m/>
    <m/>
    <m/>
    <m/>
    <m/>
    <m/>
    <m/>
    <m/>
    <m/>
    <m/>
    <m/>
    <n v="0"/>
    <n v="0"/>
  </r>
  <r>
    <x v="15"/>
    <s v="MT Plano"/>
    <x v="1"/>
    <x v="7"/>
    <s v="LoD 100 - Design Brief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200 - Schematic Concept"/>
    <n v="0.23438624999999996"/>
    <n v="1"/>
    <m/>
    <m/>
    <m/>
    <s v="Manik G"/>
    <m/>
    <m/>
    <m/>
    <m/>
    <m/>
    <m/>
    <m/>
    <m/>
    <m/>
    <n v="0"/>
    <m/>
  </r>
  <r>
    <x v="15"/>
    <s v="MT Plano"/>
    <x v="1"/>
    <x v="7"/>
    <s v="LoD 200 - Approvals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00 - Pre Construction Set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50 - Foundation and Structure"/>
    <n v="0.31251499999999999"/>
    <n v="1"/>
    <m/>
    <m/>
    <m/>
    <s v="Manik G"/>
    <m/>
    <m/>
    <m/>
    <m/>
    <m/>
    <m/>
    <m/>
    <m/>
    <m/>
    <n v="0"/>
    <m/>
  </r>
  <r>
    <x v="15"/>
    <s v="MT Plano"/>
    <x v="2"/>
    <x v="0"/>
    <s v="Complete LoD 300 by 26'Q2"/>
    <n v="0.14286399999999999"/>
    <n v="2"/>
    <m/>
    <m/>
    <m/>
    <m/>
    <m/>
    <m/>
    <m/>
    <m/>
    <m/>
    <m/>
    <m/>
    <m/>
    <m/>
    <n v="0"/>
    <n v="0"/>
  </r>
  <r>
    <x v="15"/>
    <s v="MT Plano"/>
    <x v="2"/>
    <x v="7"/>
    <s v="LoD 200 - Schematic Concept"/>
    <n v="7.1431999999999995E-2"/>
    <n v="1"/>
    <m/>
    <m/>
    <m/>
    <s v="Manik G"/>
    <m/>
    <m/>
    <m/>
    <m/>
    <m/>
    <m/>
    <m/>
    <m/>
    <m/>
    <n v="0"/>
    <m/>
  </r>
  <r>
    <x v="15"/>
    <s v="MT Plano"/>
    <x v="2"/>
    <x v="7"/>
    <s v="LoD 300 - Pre Construction Set"/>
    <n v="7.1431999999999995E-2"/>
    <n v="1"/>
    <m/>
    <m/>
    <m/>
    <s v="Manik G"/>
    <m/>
    <m/>
    <m/>
    <m/>
    <m/>
    <m/>
    <m/>
    <m/>
    <m/>
    <n v="0"/>
    <m/>
  </r>
  <r>
    <x v="15"/>
    <s v="MT Plano"/>
    <x v="3"/>
    <x v="0"/>
    <s v="Complete LoD 300 by 26'Q2"/>
    <n v="6.0270749999999998E-2"/>
    <n v="3"/>
    <m/>
    <m/>
    <m/>
    <m/>
    <m/>
    <m/>
    <m/>
    <m/>
    <m/>
    <m/>
    <m/>
    <m/>
    <m/>
    <n v="0"/>
    <n v="0"/>
  </r>
  <r>
    <x v="15"/>
    <s v="MT Plano"/>
    <x v="3"/>
    <x v="7"/>
    <s v="LoD 200 - Schematic Concept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300 - Pre Construction Set"/>
    <n v="2.009025E-2"/>
    <n v="1"/>
    <m/>
    <m/>
    <m/>
    <s v="Manik G"/>
    <m/>
    <m/>
    <m/>
    <m/>
    <m/>
    <m/>
    <m/>
    <m/>
    <m/>
    <n v="0"/>
    <m/>
  </r>
  <r>
    <x v="15"/>
    <s v="MT Plano"/>
    <x v="4"/>
    <x v="0"/>
    <s v="Complete LoD 300 by 26'Q2"/>
    <n v="4.7993374999999998E-2"/>
    <n v="3"/>
    <m/>
    <m/>
    <m/>
    <m/>
    <m/>
    <m/>
    <m/>
    <m/>
    <m/>
    <m/>
    <m/>
    <m/>
    <m/>
    <n v="0"/>
    <n v="0"/>
  </r>
  <r>
    <x v="15"/>
    <s v="MT Plano"/>
    <x v="4"/>
    <x v="7"/>
    <s v="LoD 200 - Schematic Concept"/>
    <n v="1.6741875E-2"/>
    <n v="1"/>
    <m/>
    <m/>
    <m/>
    <s v="Manik G"/>
    <m/>
    <m/>
    <m/>
    <m/>
    <m/>
    <m/>
    <m/>
    <m/>
    <m/>
    <n v="0"/>
    <m/>
  </r>
  <r>
    <x v="15"/>
    <s v="MT Plano"/>
    <x v="4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4"/>
    <x v="7"/>
    <s v="LoD 300 - Pre Construction Set"/>
    <n v="1.1161249999999999E-2"/>
    <n v="1"/>
    <m/>
    <m/>
    <m/>
    <s v="Manik G"/>
    <m/>
    <m/>
    <m/>
    <m/>
    <m/>
    <m/>
    <m/>
    <m/>
    <m/>
    <n v="0"/>
    <m/>
  </r>
  <r>
    <x v="16"/>
    <s v="MS Res"/>
    <x v="0"/>
    <x v="0"/>
    <s v="Package Release"/>
    <n v="0.31710000000000005"/>
    <n v="11"/>
    <m/>
    <m/>
    <m/>
    <m/>
    <m/>
    <m/>
    <m/>
    <m/>
    <m/>
    <m/>
    <m/>
    <m/>
    <m/>
    <n v="0"/>
    <n v="0"/>
  </r>
  <r>
    <x v="16"/>
    <s v="MS Res"/>
    <x v="1"/>
    <x v="0"/>
    <s v="Complete LoD 300, LoD 350 Foundation and Structure"/>
    <n v="0.189"/>
    <n v="2"/>
    <m/>
    <m/>
    <m/>
    <m/>
    <m/>
    <m/>
    <m/>
    <m/>
    <m/>
    <m/>
    <m/>
    <m/>
    <m/>
    <n v="0"/>
    <n v="0"/>
  </r>
  <r>
    <x v="16"/>
    <s v="MS Res"/>
    <x v="1"/>
    <x v="5"/>
    <s v="LoD 200 - Schematic Concept"/>
    <n v="6.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00 - Pre Construction Set"/>
    <n v="4.200000000000000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50 - Foundation and Structure"/>
    <n v="8.4000000000000005E-2"/>
    <n v="1"/>
    <m/>
    <m/>
    <m/>
    <s v="Cijey M"/>
    <s v="Niashinlulu"/>
    <s v="Syed Musharaff"/>
    <m/>
    <m/>
    <m/>
    <m/>
    <m/>
    <m/>
    <m/>
    <n v="0"/>
    <m/>
  </r>
  <r>
    <x v="16"/>
    <s v="MS Res"/>
    <x v="2"/>
    <x v="0"/>
    <s v="Complete LoD 300, LoD 350 Foundation and Structure"/>
    <n v="8.6400000000000005E-2"/>
    <n v="2"/>
    <m/>
    <m/>
    <m/>
    <m/>
    <m/>
    <m/>
    <m/>
    <m/>
    <m/>
    <m/>
    <m/>
    <m/>
    <m/>
    <n v="0"/>
    <n v="0"/>
  </r>
  <r>
    <x v="16"/>
    <s v="MS Res"/>
    <x v="2"/>
    <x v="2"/>
    <s v="LoD 200 - Schematic Concept"/>
    <n v="1.9200000000000002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00 - Pre Construction Set"/>
    <n v="1.9199999999999998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50 - Foundation and Structure"/>
    <n v="4.8000000000000001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3"/>
    <x v="0"/>
    <s v="Complete LoD 300, LoD 350 Foundation and Structure"/>
    <n v="2.9700000000000001E-2"/>
    <n v="2"/>
    <m/>
    <m/>
    <m/>
    <m/>
    <m/>
    <m/>
    <m/>
    <m/>
    <m/>
    <m/>
    <m/>
    <m/>
    <m/>
    <n v="0"/>
    <n v="0"/>
  </r>
  <r>
    <x v="16"/>
    <s v="MS Res"/>
    <x v="3"/>
    <x v="3"/>
    <s v="LoD 200 - Schematic Concep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00 - Pre Construction Se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50 - Foundation and Structure"/>
    <n v="1.89E-2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4"/>
    <x v="0"/>
    <s v="Complete LoD 300"/>
    <n v="1.2E-2"/>
    <n v="2"/>
    <m/>
    <m/>
    <m/>
    <m/>
    <m/>
    <m/>
    <m/>
    <m/>
    <m/>
    <m/>
    <m/>
    <m/>
    <m/>
    <n v="0"/>
    <n v="0"/>
  </r>
  <r>
    <x v="16"/>
    <s v="MS Res"/>
    <x v="4"/>
    <x v="3"/>
    <s v="LoD 200 - Schematic Concept"/>
    <n v="6.0000000000000001E-3"/>
    <n v="1"/>
    <m/>
    <m/>
    <m/>
    <s v="Gagan"/>
    <s v="Lajja"/>
    <s v="Anisha"/>
    <m/>
    <m/>
    <m/>
    <m/>
    <m/>
    <m/>
    <m/>
    <n v="0"/>
    <m/>
  </r>
  <r>
    <x v="16"/>
    <s v="MS Res"/>
    <x v="4"/>
    <x v="3"/>
    <s v="LoD 300 - Pre Construction Set"/>
    <n v="6.0000000000000001E-3"/>
    <n v="1"/>
    <m/>
    <m/>
    <m/>
    <s v="Gagan"/>
    <s v="Lajja"/>
    <s v="Anisha"/>
    <m/>
    <m/>
    <m/>
    <m/>
    <m/>
    <m/>
    <m/>
    <n v="0"/>
    <m/>
  </r>
  <r>
    <x v="17"/>
    <s v="NH HS"/>
    <x v="0"/>
    <x v="0"/>
    <s v="Package Release"/>
    <n v="1.1977650000000002"/>
    <n v="13"/>
    <m/>
    <m/>
    <m/>
    <m/>
    <m/>
    <m/>
    <m/>
    <m/>
    <m/>
    <m/>
    <m/>
    <m/>
    <m/>
    <n v="0"/>
    <n v="0"/>
  </r>
  <r>
    <x v="17"/>
    <s v="NH HS"/>
    <x v="1"/>
    <x v="0"/>
    <s v="Complete the project"/>
    <n v="0.77993999999999997"/>
    <n v="4"/>
    <m/>
    <m/>
    <m/>
    <m/>
    <m/>
    <m/>
    <m/>
    <m/>
    <m/>
    <m/>
    <m/>
    <m/>
    <m/>
    <n v="0"/>
    <n v="0"/>
  </r>
  <r>
    <x v="17"/>
    <s v="NH HS"/>
    <x v="1"/>
    <x v="5"/>
    <s v="LoD 300 - Pre Construction Set"/>
    <n v="0.12999000000000002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Foundation and Structure"/>
    <n v="0.25998000000000004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Building Envelope + Plot Development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Interiors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2"/>
    <x v="0"/>
    <s v="Complete the project"/>
    <n v="0.22284000000000001"/>
    <n v="3"/>
    <m/>
    <m/>
    <m/>
    <m/>
    <m/>
    <m/>
    <m/>
    <m/>
    <m/>
    <m/>
    <m/>
    <m/>
    <m/>
    <n v="0"/>
    <n v="0"/>
  </r>
  <r>
    <x v="17"/>
    <s v="NH HS"/>
    <x v="2"/>
    <x v="2"/>
    <s v="LoD 300 - Pre Construction Set"/>
    <n v="5.9424000000000005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Foundation and Structure"/>
    <n v="0.14856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Building Envelope + Plot Development"/>
    <n v="1.4856000000000001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3"/>
    <x v="0"/>
    <s v="Complete the project"/>
    <n v="0.1253475"/>
    <n v="4"/>
    <m/>
    <m/>
    <m/>
    <m/>
    <m/>
    <m/>
    <m/>
    <m/>
    <m/>
    <m/>
    <m/>
    <m/>
    <m/>
    <n v="0"/>
    <n v="0"/>
  </r>
  <r>
    <x v="17"/>
    <s v="NH HS"/>
    <x v="3"/>
    <x v="3"/>
    <s v="LoD 300 - Pre Construction Set"/>
    <n v="1.6713000000000002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Foundation and Structure"/>
    <n v="5.8495499999999999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Building Envelope + Plot Development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Interiors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4"/>
    <x v="0"/>
    <s v="Complete the project"/>
    <n v="6.9637500000000005E-2"/>
    <n v="2"/>
    <m/>
    <m/>
    <m/>
    <m/>
    <m/>
    <m/>
    <m/>
    <m/>
    <m/>
    <m/>
    <m/>
    <m/>
    <m/>
    <n v="0"/>
    <n v="0"/>
  </r>
  <r>
    <x v="17"/>
    <s v="NH HS"/>
    <x v="4"/>
    <x v="3"/>
    <s v="LoD 300 - Pre Construction Set"/>
    <n v="1.857E-2"/>
    <n v="1"/>
    <m/>
    <m/>
    <m/>
    <s v="Gagan"/>
    <s v="Lajja"/>
    <s v="Anisha"/>
    <s v="Chetan"/>
    <m/>
    <m/>
    <m/>
    <m/>
    <m/>
    <m/>
    <n v="0"/>
    <m/>
  </r>
  <r>
    <x v="17"/>
    <s v="NH HS"/>
    <x v="4"/>
    <x v="3"/>
    <s v="LoD 350 - Building Envelope + Plot Development"/>
    <n v="5.1067500000000002E-2"/>
    <n v="1"/>
    <m/>
    <m/>
    <m/>
    <s v="Gagan"/>
    <s v="Lajja"/>
    <s v="Anisha"/>
    <s v="Chetan"/>
    <m/>
    <m/>
    <m/>
    <m/>
    <m/>
    <m/>
    <n v="0"/>
    <m/>
  </r>
  <r>
    <x v="18"/>
    <s v="Indrng Res"/>
    <x v="0"/>
    <x v="0"/>
    <s v="Package Release"/>
    <n v="4.9130000000000007E-3"/>
    <n v="6"/>
    <m/>
    <m/>
    <m/>
    <m/>
    <m/>
    <m/>
    <m/>
    <m/>
    <m/>
    <m/>
    <m/>
    <m/>
    <m/>
    <n v="0"/>
    <n v="0"/>
  </r>
  <r>
    <x v="18"/>
    <s v="Indrng Res"/>
    <x v="1"/>
    <x v="0"/>
    <s v="Complete the project  [Complete LoD 350 ]"/>
    <n v="4.0000000000000001E-3"/>
    <n v="4"/>
    <m/>
    <m/>
    <m/>
    <m/>
    <m/>
    <m/>
    <m/>
    <m/>
    <m/>
    <m/>
    <m/>
    <m/>
    <m/>
    <n v="0"/>
    <n v="0"/>
  </r>
  <r>
    <x v="18"/>
    <s v="Indrng Res"/>
    <x v="1"/>
    <x v="7"/>
    <s v="LoD 350 - Block A - Interiors"/>
    <n v="2.0999999999999999E-3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B - Interiors"/>
    <n v="8.7500000000000002E-4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C - Interiors"/>
    <n v="5.2499999999999997E-4"/>
    <n v="1"/>
    <m/>
    <m/>
    <m/>
    <s v="Manik G"/>
    <m/>
    <m/>
    <m/>
    <m/>
    <m/>
    <m/>
    <m/>
    <m/>
    <m/>
    <n v="0"/>
    <m/>
  </r>
  <r>
    <x v="18"/>
    <s v="Indrng Res"/>
    <x v="1"/>
    <x v="7"/>
    <s v="LoD 350 -Block C - Building Envelope + Plot Development"/>
    <n v="5.0000000000000001E-4"/>
    <n v="1"/>
    <m/>
    <m/>
    <m/>
    <s v="Manik G"/>
    <m/>
    <m/>
    <m/>
    <m/>
    <m/>
    <m/>
    <m/>
    <m/>
    <m/>
    <n v="0"/>
    <m/>
  </r>
  <r>
    <x v="18"/>
    <s v="Indrng Res"/>
    <x v="4"/>
    <x v="0"/>
    <s v="Complete the project  [Complete LoD 350 ]"/>
    <n v="1.13E-4"/>
    <n v="1"/>
    <m/>
    <m/>
    <m/>
    <m/>
    <m/>
    <m/>
    <m/>
    <m/>
    <m/>
    <m/>
    <m/>
    <m/>
    <m/>
    <n v="0"/>
    <n v="0"/>
  </r>
  <r>
    <x v="18"/>
    <s v="Indrng Res"/>
    <x v="4"/>
    <x v="3"/>
    <s v="LoD 350 - Block C- Building Envelope + Plot Development"/>
    <n v="1.13E-4"/>
    <n v="1"/>
    <m/>
    <m/>
    <m/>
    <s v="Gagan"/>
    <s v="Lajja"/>
    <s v="Chetan"/>
    <m/>
    <m/>
    <m/>
    <m/>
    <m/>
    <m/>
    <m/>
    <n v="0"/>
    <m/>
  </r>
  <r>
    <x v="18"/>
    <s v="Indrng Res"/>
    <x v="2"/>
    <x v="0"/>
    <s v="Complete the project  [Complete LoD 350 ]"/>
    <n v="8.0000000000000004E-4"/>
    <n v="1"/>
    <m/>
    <m/>
    <m/>
    <m/>
    <m/>
    <m/>
    <m/>
    <m/>
    <m/>
    <m/>
    <m/>
    <m/>
    <m/>
    <n v="0"/>
    <n v="0"/>
  </r>
  <r>
    <x v="18"/>
    <s v="Indrng Res"/>
    <x v="2"/>
    <x v="2"/>
    <s v="LoD 350 -Block C - Building Envelope + Plot Development"/>
    <n v="8.0000000000000004E-4"/>
    <n v="1"/>
    <m/>
    <m/>
    <m/>
    <s v="Prakash C"/>
    <s v="Theja"/>
    <m/>
    <n v="0"/>
    <s v="Vinay"/>
    <m/>
    <n v="0"/>
    <m/>
    <m/>
    <m/>
    <n v="0"/>
    <m/>
  </r>
  <r>
    <x v="19"/>
    <s v="OTR Mus"/>
    <x v="0"/>
    <x v="0"/>
    <s v="Package Release"/>
    <n v="0.56189180207999989"/>
    <n v="5"/>
    <m/>
    <m/>
    <m/>
    <m/>
    <m/>
    <m/>
    <m/>
    <m/>
    <m/>
    <m/>
    <m/>
    <m/>
    <m/>
    <n v="0"/>
    <n v="0"/>
  </r>
  <r>
    <x v="19"/>
    <s v="OTR Mus"/>
    <x v="1"/>
    <x v="0"/>
    <s v="Complete Schematic concept"/>
    <n v="0.43996002400000001"/>
    <n v="2"/>
    <m/>
    <m/>
    <m/>
    <m/>
    <m/>
    <m/>
    <m/>
    <m/>
    <m/>
    <m/>
    <m/>
    <m/>
    <m/>
    <n v="0"/>
    <n v="0"/>
  </r>
  <r>
    <x v="19"/>
    <s v="OTR Mus"/>
    <x v="1"/>
    <x v="5"/>
    <s v="LoD 100 - Design Brief"/>
    <n v="0.17598400959999999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1"/>
    <x v="5"/>
    <s v="LoD 200 - Schematic Concept"/>
    <n v="0.26397601440000001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2"/>
    <x v="0"/>
    <s v="Complete Schematic concept"/>
    <n v="8.0449832960000009E-2"/>
    <n v="1"/>
    <m/>
    <m/>
    <m/>
    <m/>
    <m/>
    <m/>
    <m/>
    <m/>
    <m/>
    <m/>
    <m/>
    <m/>
    <m/>
    <n v="0"/>
    <n v="0"/>
  </r>
  <r>
    <x v="19"/>
    <s v="OTR Mus"/>
    <x v="2"/>
    <x v="2"/>
    <s v="LoD 200 - Schematic Concept"/>
    <n v="8.0449832960000009E-2"/>
    <n v="1"/>
    <m/>
    <m/>
    <m/>
    <s v="Prakash C"/>
    <s v="Satish H"/>
    <s v="Mazhar"/>
    <m/>
    <m/>
    <m/>
    <m/>
    <m/>
    <m/>
    <m/>
    <n v="0"/>
    <m/>
  </r>
  <r>
    <x v="19"/>
    <s v="OTR Mus"/>
    <x v="3"/>
    <x v="0"/>
    <s v="Complete Schematic concept"/>
    <n v="2.2626515519999998E-2"/>
    <n v="1"/>
    <m/>
    <m/>
    <m/>
    <m/>
    <m/>
    <m/>
    <m/>
    <m/>
    <m/>
    <m/>
    <m/>
    <m/>
    <m/>
    <n v="0"/>
    <n v="0"/>
  </r>
  <r>
    <x v="19"/>
    <s v="OTR Mus"/>
    <x v="3"/>
    <x v="3"/>
    <s v="LoD 200 - Schematic Concept"/>
    <n v="2.2626515519999998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9"/>
    <s v="OTR Mus"/>
    <x v="4"/>
    <x v="0"/>
    <s v="Complete Schematic concept"/>
    <n v="1.8855429600000001E-2"/>
    <n v="1"/>
    <m/>
    <m/>
    <m/>
    <m/>
    <m/>
    <m/>
    <m/>
    <m/>
    <m/>
    <m/>
    <m/>
    <m/>
    <m/>
    <n v="0"/>
    <n v="0"/>
  </r>
  <r>
    <x v="19"/>
    <s v="OTR Mus"/>
    <x v="4"/>
    <x v="3"/>
    <s v="LoD 200 - Schematic Concept"/>
    <n v="1.8855429600000001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20"/>
    <s v="FKH"/>
    <x v="0"/>
    <x v="0"/>
    <s v="Package Release"/>
    <n v="0"/>
    <n v="25"/>
    <m/>
    <m/>
    <m/>
    <m/>
    <m/>
    <m/>
    <m/>
    <m/>
    <m/>
    <m/>
    <m/>
    <m/>
    <m/>
    <n v="0"/>
    <n v="0"/>
  </r>
  <r>
    <x v="11"/>
    <s v="Tuig [V20]"/>
    <x v="1"/>
    <x v="0"/>
    <s v="Tuig [V20]"/>
    <n v="0"/>
    <n v="2"/>
    <m/>
    <m/>
    <m/>
    <m/>
    <m/>
    <m/>
    <m/>
    <m/>
    <m/>
    <m/>
    <m/>
    <m/>
    <m/>
    <n v="0"/>
    <n v="0"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30]"/>
    <x v="1"/>
    <x v="0"/>
    <s v="Tuig [V3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40]"/>
    <x v="1"/>
    <x v="0"/>
    <s v="Tuig [V4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1"/>
    <s v="Harohalli [V20]"/>
    <x v="1"/>
    <x v="0"/>
    <s v="Harohalli [V20]"/>
    <n v="0"/>
    <n v="2"/>
    <m/>
    <m/>
    <m/>
    <m/>
    <m/>
    <m/>
    <m/>
    <m/>
    <m/>
    <m/>
    <m/>
    <m/>
    <m/>
    <n v="0"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30]"/>
    <x v="1"/>
    <x v="0"/>
    <s v="Harohalli [V30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50H]"/>
    <x v="1"/>
    <x v="0"/>
    <s v="Harohalli [V50H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Violet Hill [P1]"/>
    <x v="1"/>
    <x v="0"/>
    <s v="Violet Hill [P1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2"/>
    <s v="Violet Hill [P2]"/>
    <x v="1"/>
    <x v="0"/>
    <s v="Violet Hill [P2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3"/>
    <s v="Shreegaon [V50H]"/>
    <x v="1"/>
    <x v="0"/>
    <s v="Shreegaon [V50H]"/>
    <m/>
    <n v="1"/>
    <m/>
    <m/>
    <m/>
    <m/>
    <m/>
    <m/>
    <m/>
    <m/>
    <m/>
    <m/>
    <m/>
    <m/>
    <m/>
    <m/>
    <n v="0"/>
  </r>
  <r>
    <x v="23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OTF [V60]"/>
    <x v="1"/>
    <x v="0"/>
    <s v="OTF [V60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4"/>
    <s v="OTF [V25H]"/>
    <x v="1"/>
    <x v="0"/>
    <s v="OTF [V25H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5"/>
    <s v="Rwrk"/>
    <x v="0"/>
    <x v="0"/>
    <m/>
    <n v="0.44"/>
    <n v="2"/>
    <m/>
    <m/>
    <m/>
    <m/>
    <m/>
    <m/>
    <m/>
    <m/>
    <m/>
    <m/>
    <m/>
    <m/>
    <m/>
    <n v="0"/>
    <n v="0"/>
  </r>
  <r>
    <x v="6"/>
    <s v="T08"/>
    <x v="2"/>
    <x v="2"/>
    <s v="STR Package Release [LoD 350 - Parking level subgrade]"/>
    <n v="0.4"/>
    <n v="1"/>
    <m/>
    <m/>
    <m/>
    <s v="Prakash C"/>
    <s v="Lincy"/>
    <s v="Charan"/>
    <m/>
    <s v="Darshan"/>
    <m/>
    <m/>
    <m/>
    <m/>
    <m/>
    <n v="0"/>
    <m/>
  </r>
  <r>
    <x v="26"/>
    <s v="T05"/>
    <x v="2"/>
    <x v="2"/>
    <s v="STR Package Release [LoD 350 - Habitable Level 01]"/>
    <n v="0.04"/>
    <n v="1"/>
    <m/>
    <m/>
    <m/>
    <s v="Prakash C"/>
    <s v="Satish"/>
    <s v="Antony"/>
    <m/>
    <s v="Shivaraj"/>
    <m/>
    <m/>
    <m/>
    <m/>
    <m/>
    <n v="0"/>
    <m/>
  </r>
  <r>
    <x v="0"/>
    <m/>
    <x v="0"/>
    <x v="0"/>
    <m/>
    <m/>
    <m/>
    <m/>
    <m/>
    <m/>
    <m/>
    <m/>
    <m/>
    <m/>
    <m/>
    <m/>
    <m/>
    <m/>
    <m/>
    <m/>
    <m/>
    <m/>
  </r>
  <r>
    <x v="27"/>
    <m/>
    <x v="0"/>
    <x v="0"/>
    <m/>
    <n v="176.73196464640409"/>
    <n v="202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8"/>
    <s v="Nava Raipur"/>
    <x v="0"/>
    <x v="0"/>
    <s v="Package Release"/>
    <n v="0"/>
    <n v="7"/>
    <m/>
    <m/>
    <m/>
    <m/>
    <m/>
    <m/>
    <m/>
    <m/>
    <m/>
    <m/>
    <m/>
    <m/>
    <m/>
    <n v="0"/>
    <n v="0"/>
  </r>
  <r>
    <x v="28"/>
    <s v="Nava Raipur"/>
    <x v="1"/>
    <x v="0"/>
    <s v="LoD 200 - Schematic Concept &amp; Approvals"/>
    <n v="0"/>
    <n v="3"/>
    <m/>
    <m/>
    <m/>
    <m/>
    <m/>
    <m/>
    <m/>
    <m/>
    <m/>
    <m/>
    <m/>
    <m/>
    <m/>
    <n v="0"/>
    <n v="0"/>
  </r>
  <r>
    <x v="28"/>
    <s v="Nava Raipur"/>
    <x v="1"/>
    <x v="6"/>
    <s v="LoD 100 - Contract + Design Brief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200 - Schematic Concept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300 - Pre Construction"/>
    <m/>
    <m/>
    <m/>
    <m/>
    <m/>
    <s v="Om Prakash"/>
    <s v="Sreeja P"/>
    <m/>
    <m/>
    <m/>
    <m/>
    <m/>
    <m/>
    <m/>
    <m/>
    <m/>
    <m/>
  </r>
  <r>
    <x v="28"/>
    <s v="Nava Raipur"/>
    <x v="1"/>
    <x v="6"/>
    <s v="Approvals"/>
    <m/>
    <n v="1"/>
    <m/>
    <m/>
    <m/>
    <s v="Om Prakash"/>
    <s v="Sreeja P"/>
    <m/>
    <m/>
    <m/>
    <m/>
    <m/>
    <m/>
    <m/>
    <m/>
    <n v="0"/>
    <m/>
  </r>
  <r>
    <x v="28"/>
    <s v="Nava Raipur"/>
    <x v="2"/>
    <x v="0"/>
    <s v="LoD 200 - Schematic Concept"/>
    <n v="0"/>
    <n v="1"/>
    <m/>
    <m/>
    <m/>
    <m/>
    <m/>
    <m/>
    <m/>
    <m/>
    <m/>
    <m/>
    <m/>
    <m/>
    <m/>
    <n v="0"/>
    <n v="0"/>
  </r>
  <r>
    <x v="28"/>
    <s v="Nava Raipur"/>
    <x v="2"/>
    <x v="2"/>
    <s v="LoD 200 - Schematic Concept"/>
    <m/>
    <n v="1"/>
    <m/>
    <m/>
    <m/>
    <s v="Prakash C"/>
    <s v="Lincy R"/>
    <m/>
    <m/>
    <m/>
    <m/>
    <n v="0"/>
    <m/>
    <m/>
    <m/>
    <n v="0"/>
    <m/>
  </r>
  <r>
    <x v="28"/>
    <s v="Nava Raipur"/>
    <x v="2"/>
    <x v="2"/>
    <s v="LoD 300 - Pre Construction"/>
    <m/>
    <m/>
    <m/>
    <m/>
    <m/>
    <s v="Prakash C"/>
    <s v="Lincy R"/>
    <m/>
    <m/>
    <m/>
    <m/>
    <n v="0"/>
    <m/>
    <m/>
    <m/>
    <m/>
    <m/>
  </r>
  <r>
    <x v="28"/>
    <s v="Nava Raipur"/>
    <x v="3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3"/>
    <x v="3"/>
    <s v="LoD 200 - Schematic Concept"/>
    <m/>
    <n v="1"/>
    <m/>
    <m/>
    <m/>
    <s v="Gagan"/>
    <s v="Salomi"/>
    <m/>
    <m/>
    <m/>
    <m/>
    <m/>
    <m/>
    <m/>
    <m/>
    <n v="0"/>
    <m/>
  </r>
  <r>
    <x v="28"/>
    <s v="Nava Raipur"/>
    <x v="3"/>
    <x v="3"/>
    <s v="LoD 300 - Pre Construction"/>
    <m/>
    <m/>
    <m/>
    <m/>
    <m/>
    <s v="Gagan"/>
    <s v="Salomi"/>
    <m/>
    <m/>
    <m/>
    <m/>
    <m/>
    <m/>
    <m/>
    <m/>
    <m/>
    <m/>
  </r>
  <r>
    <x v="28"/>
    <s v="Nava Raipur"/>
    <x v="3"/>
    <x v="3"/>
    <s v="Approvals"/>
    <m/>
    <n v="1"/>
    <m/>
    <m/>
    <m/>
    <s v="Gagan"/>
    <s v="Salomi"/>
    <m/>
    <m/>
    <m/>
    <m/>
    <m/>
    <m/>
    <m/>
    <m/>
    <n v="0"/>
    <m/>
  </r>
  <r>
    <x v="28"/>
    <s v="Nava Raipur"/>
    <x v="4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4"/>
    <x v="3"/>
    <s v="LoD 200 - Schematic Concept"/>
    <m/>
    <n v="1"/>
    <m/>
    <m/>
    <m/>
    <s v="Gagan"/>
    <s v="Lajja"/>
    <m/>
    <m/>
    <m/>
    <m/>
    <m/>
    <m/>
    <m/>
    <m/>
    <n v="0"/>
    <m/>
  </r>
  <r>
    <x v="28"/>
    <s v="Nava Raipur"/>
    <x v="4"/>
    <x v="3"/>
    <s v="LoD 300 - Pre Construction"/>
    <m/>
    <m/>
    <m/>
    <m/>
    <m/>
    <s v="Gagan"/>
    <s v="Lajja"/>
    <m/>
    <m/>
    <m/>
    <m/>
    <m/>
    <m/>
    <m/>
    <m/>
    <m/>
    <m/>
  </r>
  <r>
    <x v="28"/>
    <s v="Nava Raipur"/>
    <x v="4"/>
    <x v="3"/>
    <s v="Approvals"/>
    <m/>
    <n v="1"/>
    <m/>
    <m/>
    <m/>
    <s v="Gagan"/>
    <s v="Lajja"/>
    <m/>
    <m/>
    <m/>
    <m/>
    <m/>
    <m/>
    <m/>
    <m/>
    <n v="0"/>
    <m/>
  </r>
  <r>
    <x v="29"/>
    <s v="Ph 2"/>
    <x v="0"/>
    <x v="0"/>
    <s v="Package Release"/>
    <n v="1.6885800000000002"/>
    <n v="10"/>
    <m/>
    <m/>
    <m/>
    <m/>
    <m/>
    <m/>
    <m/>
    <m/>
    <m/>
    <m/>
    <m/>
    <m/>
    <m/>
    <n v="0"/>
    <n v="0"/>
  </r>
  <r>
    <x v="29"/>
    <s v="Ph 2"/>
    <x v="1"/>
    <x v="0"/>
    <s v="LoD 200 - Schematic Concept &amp; Approvals"/>
    <n v="1.35"/>
    <n v="5"/>
    <m/>
    <m/>
    <m/>
    <m/>
    <m/>
    <m/>
    <m/>
    <m/>
    <m/>
    <m/>
    <m/>
    <m/>
    <m/>
    <n v="0"/>
    <n v="0"/>
  </r>
  <r>
    <x v="29"/>
    <s v="Ph 2"/>
    <x v="1"/>
    <x v="5"/>
    <s v="LoD 100 - Contract + Design Brief"/>
    <n v="0.54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LoD 200 - Schematic Concept"/>
    <n v="0.43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Approvals"/>
    <n v="0.21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6"/>
    <s v="LoD 200 - Schematic Concept - CH"/>
    <n v="0.11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1"/>
    <x v="6"/>
    <s v="Approvals - CH"/>
    <n v="0.06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2"/>
    <x v="0"/>
    <s v="Complete Schematic concept"/>
    <n v="0.17172000000000001"/>
    <n v="1"/>
    <m/>
    <m/>
    <m/>
    <m/>
    <m/>
    <m/>
    <m/>
    <m/>
    <m/>
    <m/>
    <m/>
    <m/>
    <m/>
    <n v="0"/>
    <n v="0"/>
  </r>
  <r>
    <x v="29"/>
    <s v="Ph 2"/>
    <x v="2"/>
    <x v="2"/>
    <s v="LoD 200 - Schematic Concept"/>
    <n v="0.17172000000000001"/>
    <n v="1"/>
    <m/>
    <m/>
    <m/>
    <s v="Prakash C"/>
    <s v="Satish"/>
    <s v="Mazhar ( If Villa concept is different new resource is required)"/>
    <m/>
    <s v="Samyukta"/>
    <m/>
    <n v="0"/>
    <m/>
    <m/>
    <m/>
    <n v="0"/>
    <m/>
  </r>
  <r>
    <x v="29"/>
    <s v="Ph 2"/>
    <x v="3"/>
    <x v="0"/>
    <s v="LoD 200 - Schematic Concept &amp; Approvals"/>
    <n v="9.5579999999999998E-2"/>
    <n v="2"/>
    <m/>
    <m/>
    <m/>
    <m/>
    <m/>
    <m/>
    <m/>
    <m/>
    <m/>
    <m/>
    <m/>
    <m/>
    <m/>
    <n v="0"/>
    <n v="0"/>
  </r>
  <r>
    <x v="29"/>
    <s v="Ph 2"/>
    <x v="3"/>
    <x v="3"/>
    <s v="LoD 200 - Schematic Concept"/>
    <n v="6.371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3"/>
    <x v="3"/>
    <s v="Approvals"/>
    <n v="3.185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4"/>
    <x v="0"/>
    <s v="LoD 200 - Schematic Concept &amp; Approvals"/>
    <n v="7.1279999999999996E-2"/>
    <n v="2"/>
    <m/>
    <m/>
    <m/>
    <m/>
    <m/>
    <m/>
    <m/>
    <m/>
    <m/>
    <m/>
    <m/>
    <m/>
    <m/>
    <n v="0"/>
    <n v="0"/>
  </r>
  <r>
    <x v="29"/>
    <s v="Ph 2"/>
    <x v="4"/>
    <x v="3"/>
    <s v="LoD 200 - Schematic Concept"/>
    <n v="5.3460000000000001E-2"/>
    <n v="1"/>
    <m/>
    <m/>
    <m/>
    <s v="Gagan"/>
    <s v="Lajja"/>
    <s v="Apoorva"/>
    <m/>
    <m/>
    <m/>
    <m/>
    <m/>
    <m/>
    <m/>
    <n v="0"/>
    <m/>
  </r>
  <r>
    <x v="29"/>
    <s v="Ph 2"/>
    <x v="4"/>
    <x v="3"/>
    <s v="Approvals"/>
    <n v="1.7819999999999999E-2"/>
    <n v="1"/>
    <m/>
    <m/>
    <m/>
    <s v="Gagan"/>
    <s v="Lajja"/>
    <s v="Apoorva"/>
    <m/>
    <m/>
    <m/>
    <m/>
    <m/>
    <m/>
    <m/>
    <n v="0"/>
    <m/>
  </r>
  <r>
    <x v="30"/>
    <s v="Ph 3"/>
    <x v="0"/>
    <x v="0"/>
    <s v="Package Release"/>
    <n v="0.77049480000000015"/>
    <n v="8"/>
    <m/>
    <m/>
    <m/>
    <m/>
    <m/>
    <m/>
    <m/>
    <m/>
    <m/>
    <m/>
    <m/>
    <m/>
    <m/>
    <n v="0"/>
    <n v="0"/>
  </r>
  <r>
    <x v="30"/>
    <s v="Ph 3"/>
    <x v="1"/>
    <x v="0"/>
    <s v="LoD 200 - Schematic Concept, Approvals"/>
    <n v="0.61820000000000008"/>
    <n v="3"/>
    <m/>
    <m/>
    <m/>
    <m/>
    <m/>
    <m/>
    <m/>
    <m/>
    <m/>
    <m/>
    <m/>
    <m/>
    <m/>
    <n v="0"/>
    <n v="0"/>
  </r>
  <r>
    <x v="30"/>
    <s v="Ph 3"/>
    <x v="1"/>
    <x v="6"/>
    <s v="LoD 100 - Contract + Design Brief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LoD 200 - Schematic Concept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Approvals "/>
    <n v="0.12364"/>
    <n v="1"/>
    <m/>
    <m/>
    <m/>
    <s v="Om Prakash"/>
    <s v="Aparna "/>
    <m/>
    <m/>
    <m/>
    <m/>
    <m/>
    <m/>
    <m/>
    <m/>
    <n v="0"/>
    <m/>
  </r>
  <r>
    <x v="30"/>
    <s v="Ph 3"/>
    <x v="2"/>
    <x v="0"/>
    <s v="LoD 200 - Schematic Concept"/>
    <n v="7.8635040000000003E-2"/>
    <n v="1"/>
    <m/>
    <m/>
    <m/>
    <m/>
    <m/>
    <m/>
    <m/>
    <m/>
    <m/>
    <m/>
    <m/>
    <m/>
    <m/>
    <n v="0"/>
    <n v="0"/>
  </r>
  <r>
    <x v="30"/>
    <s v="Ph 3"/>
    <x v="2"/>
    <x v="2"/>
    <s v="LoD 200 - Schematic Concept"/>
    <n v="7.8635040000000003E-2"/>
    <n v="1"/>
    <m/>
    <m/>
    <m/>
    <s v="Prakash C"/>
    <s v="Vineetha"/>
    <s v="Dhirender "/>
    <s v="Rajath"/>
    <s v="Arpitha"/>
    <m/>
    <n v="0"/>
    <m/>
    <m/>
    <m/>
    <n v="0"/>
    <m/>
  </r>
  <r>
    <x v="30"/>
    <s v="Ph 3"/>
    <x v="3"/>
    <x v="0"/>
    <s v="LoD 200 - Schematic Concept, Approvals"/>
    <n v="3.9179040000000005E-2"/>
    <n v="2"/>
    <m/>
    <m/>
    <m/>
    <m/>
    <m/>
    <m/>
    <m/>
    <m/>
    <m/>
    <m/>
    <m/>
    <m/>
    <m/>
    <n v="0"/>
    <n v="0"/>
  </r>
  <r>
    <x v="30"/>
    <s v="Ph 3"/>
    <x v="3"/>
    <x v="3"/>
    <s v="LoD 200 - Schematic Concept"/>
    <n v="2.9179040000000003E-2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3"/>
    <x v="3"/>
    <s v="Approvals "/>
    <n v="0.01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4"/>
    <x v="0"/>
    <s v="LoD 200 - Schematic Concept, Approvals"/>
    <n v="3.4480719999999999E-2"/>
    <n v="2"/>
    <m/>
    <m/>
    <m/>
    <m/>
    <m/>
    <m/>
    <m/>
    <m/>
    <m/>
    <m/>
    <m/>
    <m/>
    <m/>
    <n v="0"/>
    <n v="0"/>
  </r>
  <r>
    <x v="30"/>
    <s v="Ph 3"/>
    <x v="4"/>
    <x v="3"/>
    <s v="LoD 200 - Schematic Concept"/>
    <n v="2.4480720000000001E-2"/>
    <n v="1"/>
    <m/>
    <m/>
    <m/>
    <s v="Gagan"/>
    <s v="Lajja"/>
    <s v="Chetan"/>
    <m/>
    <m/>
    <m/>
    <m/>
    <m/>
    <m/>
    <m/>
    <n v="0"/>
    <m/>
  </r>
  <r>
    <x v="30"/>
    <s v="Ph 3"/>
    <x v="4"/>
    <x v="3"/>
    <s v="Approvals "/>
    <n v="0.01"/>
    <n v="1"/>
    <m/>
    <m/>
    <m/>
    <s v="Gagan"/>
    <s v="Lajja"/>
    <s v="Chetan"/>
    <m/>
    <m/>
    <m/>
    <m/>
    <m/>
    <m/>
    <m/>
    <n v="0"/>
    <m/>
  </r>
  <r>
    <x v="31"/>
    <s v="Ph 3a"/>
    <x v="0"/>
    <x v="0"/>
    <s v="Package Release"/>
    <n v="13.33454795889083"/>
    <n v="8"/>
    <m/>
    <m/>
    <m/>
    <m/>
    <m/>
    <m/>
    <m/>
    <m/>
    <m/>
    <m/>
    <m/>
    <m/>
    <m/>
    <n v="0"/>
    <n v="0"/>
  </r>
  <r>
    <x v="31"/>
    <s v="Ph 3a"/>
    <x v="1"/>
    <x v="0"/>
    <s v="LoD 300 [Marketing and Sales, Pre Construction Set], LoD 350 [Experience Home + Project Experience]"/>
    <n v="8.7813947704253064"/>
    <n v="3"/>
    <m/>
    <m/>
    <m/>
    <m/>
    <m/>
    <m/>
    <m/>
    <m/>
    <m/>
    <m/>
    <m/>
    <m/>
    <m/>
    <n v="0"/>
    <n v="0"/>
  </r>
  <r>
    <x v="31"/>
    <s v="Ph 3a"/>
    <x v="1"/>
    <x v="5"/>
    <s v="LoD 300 - Pre Construction Set"/>
    <n v="4.3906973852126532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50 - Experience Home + Project Experience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00 - Marketing and Sales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2"/>
    <x v="0"/>
    <s v="LoD 200 [Schematic Concept], LoD 300 [Pre Construction Set]"/>
    <n v="3.257897459827789"/>
    <n v="2"/>
    <m/>
    <m/>
    <m/>
    <m/>
    <m/>
    <m/>
    <m/>
    <m/>
    <m/>
    <m/>
    <m/>
    <m/>
    <m/>
    <n v="0"/>
    <n v="0"/>
  </r>
  <r>
    <x v="31"/>
    <s v="Ph 3a"/>
    <x v="2"/>
    <x v="2"/>
    <s v="LoD 200 - Schematic Concept"/>
    <n v="1.3962417684976238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2"/>
    <x v="2"/>
    <s v="LoD 300 - Pre Construction Set"/>
    <n v="1.8616556913301652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3"/>
    <x v="0"/>
    <s v="LoD 200 [Schematic Concept], LoD 300 [Pre Construction Set], LoD 350 [Experience Home + Project Experience]"/>
    <n v="1.2952557286377333"/>
    <n v="3"/>
    <m/>
    <m/>
    <m/>
    <m/>
    <m/>
    <m/>
    <m/>
    <m/>
    <m/>
    <m/>
    <m/>
    <m/>
    <m/>
    <n v="0"/>
    <n v="0"/>
  </r>
  <r>
    <x v="31"/>
    <s v="Ph 3a"/>
    <x v="3"/>
    <x v="3"/>
    <s v="LoD 200 - Schematic Concep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00 - Pre Construction Se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50 - Experience Home + Project Experience"/>
    <n v="0.25905114572754701"/>
    <n v="1"/>
    <m/>
    <m/>
    <m/>
    <s v="Gagan"/>
    <s v="Salomi"/>
    <s v="Bhavya_x000a_Hareesha"/>
    <s v="Prem_x000a_Matsarambabu_x000a_Byahattimath"/>
    <m/>
    <m/>
    <m/>
    <m/>
    <m/>
    <m/>
    <n v="0"/>
    <m/>
  </r>
  <r>
    <x v="32"/>
    <s v="Srjp - Res"/>
    <x v="0"/>
    <x v="0"/>
    <s v="Package Release"/>
    <n v="27.855016399999997"/>
    <n v="18"/>
    <m/>
    <m/>
    <m/>
    <m/>
    <m/>
    <m/>
    <m/>
    <m/>
    <m/>
    <m/>
    <m/>
    <m/>
    <m/>
    <n v="0"/>
    <n v="0"/>
  </r>
  <r>
    <x v="33"/>
    <s v="Srjp - Res"/>
    <x v="1"/>
    <x v="0"/>
    <s v="Complete LoD 300, Approvals &amp; Experience Homes "/>
    <n v="21.485700000000001"/>
    <n v="9"/>
    <m/>
    <m/>
    <m/>
    <m/>
    <s v="To be shared - Om Prakash"/>
    <m/>
    <m/>
    <m/>
    <m/>
    <m/>
    <m/>
    <m/>
    <m/>
    <n v="0"/>
    <n v="0"/>
  </r>
  <r>
    <x v="33"/>
    <s v="Srjp - Res"/>
    <x v="1"/>
    <x v="5"/>
    <s v="LoD 100 - Contract + Design Brief"/>
    <n v="4.7746000000000013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Schematic Concept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Approvals"/>
    <n v="2.2846500000000005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Marketing and Sales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50 - Experience Home + Project Experience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00 - Preconstruction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6"/>
    <s v="LoD 200 - CH: Schematic Concept"/>
    <n v="0.41060000000000008"/>
    <n v="1"/>
    <m/>
    <m/>
    <m/>
    <s v="Om Prakash"/>
    <m/>
    <m/>
    <m/>
    <m/>
    <m/>
    <m/>
    <m/>
    <m/>
    <m/>
    <n v="0"/>
    <m/>
  </r>
  <r>
    <x v="33"/>
    <s v="Srjp - Res"/>
    <x v="1"/>
    <x v="6"/>
    <s v="LoD 200 - CH: Approvals"/>
    <n v="0.10265000000000002"/>
    <n v="1"/>
    <m/>
    <m/>
    <m/>
    <s v="Om Prakash"/>
    <m/>
    <m/>
    <m/>
    <m/>
    <m/>
    <m/>
    <m/>
    <m/>
    <m/>
    <n v="0"/>
    <m/>
  </r>
  <r>
    <x v="33"/>
    <s v="Srjp - Res"/>
    <x v="1"/>
    <x v="6"/>
    <s v="LoD 300 - CH: Preconstruction"/>
    <n v="0.41060000000000008"/>
    <n v="1"/>
    <m/>
    <m/>
    <m/>
    <s v="Om Prakash"/>
    <m/>
    <m/>
    <m/>
    <m/>
    <m/>
    <m/>
    <m/>
    <m/>
    <m/>
    <n v="0"/>
    <m/>
  </r>
  <r>
    <x v="33"/>
    <s v="Srjp - Res"/>
    <x v="2"/>
    <x v="0"/>
    <s v="Complete LoD 300 &amp; Experience Homes "/>
    <n v="4.0488608000000008"/>
    <n v="3"/>
    <m/>
    <m/>
    <m/>
    <m/>
    <m/>
    <m/>
    <m/>
    <m/>
    <m/>
    <m/>
    <m/>
    <m/>
    <m/>
    <n v="0"/>
    <n v="0"/>
  </r>
  <r>
    <x v="33"/>
    <s v="Srjp - Res"/>
    <x v="2"/>
    <x v="2"/>
    <s v="LoD 200 - Schematic Concept"/>
    <n v="1.5183228000000002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50 - Experience Home + Project Experience"/>
    <n v="0.5061076000000001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00 - Preconstruction"/>
    <n v="2.0244304000000004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3"/>
    <x v="0"/>
    <s v="Complete LoD 300, Approvals &amp; Experience Homes "/>
    <n v="1.6902084000000004"/>
    <n v="4"/>
    <m/>
    <m/>
    <m/>
    <m/>
    <m/>
    <m/>
    <m/>
    <m/>
    <m/>
    <m/>
    <m/>
    <m/>
    <m/>
    <n v="0"/>
    <n v="0"/>
  </r>
  <r>
    <x v="33"/>
    <s v="Srjp - Res"/>
    <x v="3"/>
    <x v="3"/>
    <s v="LoD 200 - Schematic Concept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200 - Approvals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50 - Experience Home + Project Experience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00 - Preconstruction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4"/>
    <x v="0"/>
    <s v="Complete LoD 300 &amp; Experience Homes "/>
    <n v="1.1029326000000002"/>
    <n v="3"/>
    <m/>
    <m/>
    <m/>
    <m/>
    <m/>
    <m/>
    <m/>
    <m/>
    <m/>
    <m/>
    <m/>
    <m/>
    <m/>
    <n v="0"/>
    <n v="0"/>
  </r>
  <r>
    <x v="33"/>
    <s v="Srjp - Res"/>
    <x v="4"/>
    <x v="3"/>
    <s v="LoD 200 - Schematic Concept"/>
    <n v="0.4726854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50 - Experience Home + Project Experience"/>
    <n v="0.1575618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00 - Preconstruction"/>
    <n v="0.47268540000000003"/>
    <n v="1"/>
    <m/>
    <m/>
    <m/>
    <s v="Gagan"/>
    <s v="Lajja"/>
    <s v="Apoorva"/>
    <s v="Chetan"/>
    <m/>
    <m/>
    <m/>
    <m/>
    <m/>
    <m/>
    <n v="0"/>
    <m/>
  </r>
  <r>
    <x v="34"/>
    <s v="Srjp - C - SB"/>
    <x v="0"/>
    <x v="0"/>
    <s v="Package Release"/>
    <n v="21.737821350000001"/>
    <n v="12"/>
    <m/>
    <m/>
    <m/>
    <m/>
    <m/>
    <m/>
    <m/>
    <m/>
    <m/>
    <m/>
    <m/>
    <m/>
    <m/>
    <n v="0"/>
    <n v="0"/>
  </r>
  <r>
    <x v="35"/>
    <s v="Srjp - C - SB"/>
    <x v="1"/>
    <x v="0"/>
    <s v="Complete LoD 300, Approvals, Marketing &amp; Sales "/>
    <n v="16.579694250000003"/>
    <n v="5"/>
    <m/>
    <m/>
    <m/>
    <m/>
    <m/>
    <m/>
    <m/>
    <m/>
    <m/>
    <m/>
    <m/>
    <m/>
    <m/>
    <n v="0"/>
    <n v="0"/>
  </r>
  <r>
    <x v="35"/>
    <s v="Srjp - C - SB"/>
    <x v="1"/>
    <x v="4"/>
    <s v="LoD 100 - Contract + Design Brief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Schematic Concept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Approvals"/>
    <n v="3.6843764999999999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200 - Marketing and Sales"/>
    <n v="1.8421882500000004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300 - Preconstruction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2"/>
    <x v="0"/>
    <s v="Complete LoD 300 "/>
    <n v="3.1243512720000002"/>
    <n v="2"/>
    <m/>
    <m/>
    <m/>
    <m/>
    <m/>
    <m/>
    <m/>
    <m/>
    <m/>
    <m/>
    <m/>
    <m/>
    <m/>
    <n v="0"/>
    <n v="0"/>
  </r>
  <r>
    <x v="35"/>
    <s v="Srjp - C - SB"/>
    <x v="2"/>
    <x v="2"/>
    <s v="LoD 200 - Schematic Concept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2"/>
    <x v="2"/>
    <s v="LoD 300 - Preconstruction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3"/>
    <x v="0"/>
    <s v="Complete LoD 300 &amp; Approvals "/>
    <n v="1.3042692810000003"/>
    <n v="3"/>
    <m/>
    <m/>
    <m/>
    <m/>
    <m/>
    <m/>
    <m/>
    <m/>
    <m/>
    <m/>
    <m/>
    <m/>
    <m/>
    <n v="0"/>
    <n v="0"/>
  </r>
  <r>
    <x v="35"/>
    <s v="Srjp - C - SB"/>
    <x v="3"/>
    <x v="3"/>
    <s v="LoD 200 - Schematic Concept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200 - Approvals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300 - Preconstruction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4"/>
    <x v="0"/>
    <s v="Complete LoD 300 "/>
    <n v="0.72950654699999995"/>
    <n v="2"/>
    <m/>
    <m/>
    <m/>
    <m/>
    <m/>
    <m/>
    <m/>
    <m/>
    <m/>
    <m/>
    <m/>
    <m/>
    <m/>
    <n v="0"/>
    <n v="0"/>
  </r>
  <r>
    <x v="35"/>
    <s v="Srjp - C - SB"/>
    <x v="4"/>
    <x v="3"/>
    <s v="LoD 200 - Schematic Concept"/>
    <n v="0.36475327349999997"/>
    <n v="1"/>
    <m/>
    <m/>
    <m/>
    <s v="Gagan"/>
    <m/>
    <m/>
    <m/>
    <m/>
    <m/>
    <m/>
    <m/>
    <m/>
    <m/>
    <n v="0"/>
    <m/>
  </r>
  <r>
    <x v="35"/>
    <s v="Srjp - C - SB"/>
    <x v="4"/>
    <x v="3"/>
    <s v="LoD 300 - Preconstruction"/>
    <n v="0.36475327349999997"/>
    <n v="1"/>
    <m/>
    <m/>
    <m/>
    <s v="Gagan"/>
    <m/>
    <m/>
    <m/>
    <m/>
    <m/>
    <m/>
    <m/>
    <m/>
    <m/>
    <n v="0"/>
    <m/>
  </r>
  <r>
    <x v="36"/>
    <s v="Srjp - C - NB"/>
    <x v="0"/>
    <x v="0"/>
    <s v="Package Release"/>
    <n v="7.2459404500000009"/>
    <n v="12"/>
    <m/>
    <m/>
    <m/>
    <m/>
    <m/>
    <m/>
    <m/>
    <m/>
    <m/>
    <m/>
    <m/>
    <m/>
    <m/>
    <n v="0"/>
    <n v="0"/>
  </r>
  <r>
    <x v="37"/>
    <s v="Srjp - C - NB"/>
    <x v="1"/>
    <x v="0"/>
    <s v="Complete LoD 300, Approvals, Marketing &amp; Sales "/>
    <n v="5.5265647500000004"/>
    <n v="5"/>
    <m/>
    <m/>
    <m/>
    <m/>
    <m/>
    <m/>
    <m/>
    <m/>
    <m/>
    <m/>
    <m/>
    <m/>
    <m/>
    <n v="0"/>
    <n v="0"/>
  </r>
  <r>
    <x v="37"/>
    <s v="Srjp - C - NB"/>
    <x v="1"/>
    <x v="4"/>
    <s v="LoD 100 - Contract + Design Brief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Schematic Concept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Approvals"/>
    <n v="1.2281255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200 - Marketing and Sales"/>
    <n v="0.6140627500000001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300 - Preconstruction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2"/>
    <x v="0"/>
    <s v="Complete LoD 300 "/>
    <n v="1.041450424"/>
    <n v="2"/>
    <m/>
    <m/>
    <m/>
    <m/>
    <m/>
    <m/>
    <m/>
    <m/>
    <m/>
    <m/>
    <m/>
    <m/>
    <m/>
    <n v="0"/>
    <n v="0"/>
  </r>
  <r>
    <x v="37"/>
    <s v="Srjp - C - NB"/>
    <x v="2"/>
    <x v="2"/>
    <s v="LoD 200 - Schematic Concept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2"/>
    <x v="2"/>
    <s v="LoD 300 - Preconstruction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3"/>
    <x v="0"/>
    <s v="Complete LoD 300 &amp; Approvals"/>
    <n v="0.43475642700000006"/>
    <n v="3"/>
    <m/>
    <m/>
    <m/>
    <m/>
    <m/>
    <m/>
    <m/>
    <m/>
    <m/>
    <m/>
    <m/>
    <m/>
    <m/>
    <n v="0"/>
    <n v="0"/>
  </r>
  <r>
    <x v="37"/>
    <s v="Srjp - C - NB"/>
    <x v="3"/>
    <x v="3"/>
    <s v="LoD 200 - Schematic Concept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200 - Approvals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300 - Preconstruction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4"/>
    <x v="0"/>
    <s v="Complete LoD 300"/>
    <n v="0.24316884899999996"/>
    <n v="2"/>
    <m/>
    <m/>
    <m/>
    <m/>
    <m/>
    <m/>
    <m/>
    <m/>
    <m/>
    <m/>
    <m/>
    <m/>
    <m/>
    <n v="0"/>
    <n v="0"/>
  </r>
  <r>
    <x v="37"/>
    <s v="Srjp - C - NB"/>
    <x v="4"/>
    <x v="3"/>
    <s v="LoD 200 - Schematic Concept"/>
    <n v="0.12158442449999998"/>
    <n v="1"/>
    <m/>
    <m/>
    <m/>
    <s v="Gagan"/>
    <m/>
    <m/>
    <m/>
    <m/>
    <m/>
    <m/>
    <m/>
    <m/>
    <m/>
    <n v="0"/>
    <m/>
  </r>
  <r>
    <x v="37"/>
    <s v="Srjp - C - NB"/>
    <x v="4"/>
    <x v="3"/>
    <s v="LoD 300 - Preconstruction"/>
    <n v="0.12158442449999998"/>
    <n v="1"/>
    <m/>
    <m/>
    <m/>
    <s v="Gagan"/>
    <m/>
    <m/>
    <m/>
    <m/>
    <m/>
    <m/>
    <m/>
    <m/>
    <m/>
    <n v="0"/>
    <m/>
  </r>
  <r>
    <x v="24"/>
    <s v="OTF"/>
    <x v="0"/>
    <x v="0"/>
    <s v="Package Release"/>
    <n v="4.4982999999999995"/>
    <n v="20"/>
    <m/>
    <m/>
    <m/>
    <m/>
    <m/>
    <m/>
    <m/>
    <m/>
    <m/>
    <m/>
    <m/>
    <m/>
    <m/>
    <n v="0"/>
    <n v="0"/>
  </r>
  <r>
    <x v="24"/>
    <s v="OTF"/>
    <x v="5"/>
    <x v="0"/>
    <s v="LOD 350 - MP Pkg 1, Project Entrance"/>
    <n v="3.3325"/>
    <n v="7"/>
    <m/>
    <m/>
    <m/>
    <m/>
    <m/>
    <m/>
    <m/>
    <m/>
    <m/>
    <m/>
    <m/>
    <m/>
    <m/>
    <n v="0"/>
    <n v="0"/>
  </r>
  <r>
    <x v="24"/>
    <s v="OTF"/>
    <x v="5"/>
    <x v="4"/>
    <s v="LoD 100 - Contract + Design Brief [Commercial]"/>
    <n v="0.33750000000000002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LoD 200 - Schematic Concept"/>
    <n v="0.58000000000000007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Approvals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00 - Pre Construction Set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200 - Marketing and Sales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Project Entrance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Infra - Grading"/>
    <n v="0.57999999999999996"/>
    <n v="1"/>
    <m/>
    <m/>
    <m/>
    <s v="Naveen Y"/>
    <s v="Aswin J"/>
    <m/>
    <m/>
    <m/>
    <m/>
    <m/>
    <m/>
    <m/>
    <m/>
    <n v="0"/>
    <m/>
  </r>
  <r>
    <x v="24"/>
    <s v="OTF"/>
    <x v="1"/>
    <x v="0"/>
    <s v="LoD 300 - Pre Construction set - CH"/>
    <n v="0.28500000000000003"/>
    <n v="3"/>
    <m/>
    <m/>
    <m/>
    <m/>
    <m/>
    <m/>
    <m/>
    <m/>
    <m/>
    <m/>
    <m/>
    <m/>
    <m/>
    <n v="0"/>
    <n v="0"/>
  </r>
  <r>
    <x v="24"/>
    <s v="OTF"/>
    <x v="1"/>
    <x v="6"/>
    <s v="LoD 200 - Schematic Concep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Approvals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LoD 300 - Pre Construction se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2"/>
    <x v="0"/>
    <s v="LOD 350 - MP Pkg 1, Project Entrance"/>
    <n v="0.57240000000000002"/>
    <n v="3"/>
    <m/>
    <m/>
    <m/>
    <m/>
    <m/>
    <m/>
    <m/>
    <m/>
    <m/>
    <m/>
    <m/>
    <m/>
    <m/>
    <n v="0"/>
    <n v="0"/>
  </r>
  <r>
    <x v="24"/>
    <s v="OTF"/>
    <x v="2"/>
    <x v="2"/>
    <s v="LoD 200 - Schematic Concept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00 - Pre Construction Set"/>
    <n v="0.2862000000000000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Project Entrance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Infra - Grading"/>
    <n v="0.06"/>
    <n v="1"/>
    <m/>
    <m/>
    <m/>
    <s v="Prakash C"/>
    <s v="Satish"/>
    <s v="Alwin"/>
    <s v="Raghav"/>
    <s v="Darshan"/>
    <m/>
    <m/>
    <m/>
    <m/>
    <m/>
    <n v="0"/>
    <m/>
  </r>
  <r>
    <x v="24"/>
    <s v="OTF"/>
    <x v="3"/>
    <x v="0"/>
    <s v="LoD 350 - Project Entrance"/>
    <n v="0.1593"/>
    <n v="3"/>
    <m/>
    <m/>
    <m/>
    <m/>
    <m/>
    <m/>
    <m/>
    <m/>
    <m/>
    <m/>
    <m/>
    <m/>
    <m/>
    <n v="0"/>
    <n v="0"/>
  </r>
  <r>
    <x v="24"/>
    <s v="OTF"/>
    <x v="3"/>
    <x v="3"/>
    <s v="LoD 200 - Schematic Concept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00 - Pre Construction Set"/>
    <n v="7.9649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50 - Project Entrance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4"/>
    <x v="0"/>
    <s v="LoD 350 - Project Entrance"/>
    <n v="8.9100000000000013E-2"/>
    <n v="3"/>
    <m/>
    <m/>
    <m/>
    <m/>
    <m/>
    <m/>
    <m/>
    <m/>
    <m/>
    <m/>
    <m/>
    <m/>
    <m/>
    <n v="0"/>
    <n v="0"/>
  </r>
  <r>
    <x v="24"/>
    <s v="OTF"/>
    <x v="4"/>
    <x v="3"/>
    <s v="LoD 200 - Schematic Concept"/>
    <n v="4.4550000000000006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00 - Pre Construction Set"/>
    <n v="2.2275000000000003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50 - Project Entrance"/>
    <n v="2.2275000000000003E-2"/>
    <n v="1"/>
    <m/>
    <m/>
    <m/>
    <s v="Gagan"/>
    <s v="Lajja"/>
    <s v="Aproova"/>
    <s v="Chetan"/>
    <m/>
    <m/>
    <m/>
    <m/>
    <m/>
    <m/>
    <n v="0"/>
    <m/>
  </r>
  <r>
    <x v="38"/>
    <s v="Harohalli"/>
    <x v="0"/>
    <x v="0"/>
    <s v="Package Release"/>
    <n v="4.9173400000000012"/>
    <n v="9"/>
    <m/>
    <m/>
    <m/>
    <m/>
    <m/>
    <m/>
    <m/>
    <m/>
    <m/>
    <m/>
    <m/>
    <m/>
    <m/>
    <n v="0"/>
    <n v="0"/>
  </r>
  <r>
    <x v="38"/>
    <s v="Ph 1"/>
    <x v="5"/>
    <x v="0"/>
    <s v="[Dsgn Brf, LOD 200 - Schematic, Approvals]"/>
    <n v="3.6650000000000005"/>
    <n v="3"/>
    <m/>
    <m/>
    <m/>
    <m/>
    <m/>
    <m/>
    <m/>
    <m/>
    <m/>
    <m/>
    <m/>
    <m/>
    <m/>
    <n v="0"/>
    <n v="0"/>
  </r>
  <r>
    <x v="38"/>
    <s v="Ph 1"/>
    <x v="5"/>
    <x v="3"/>
    <s v="LoD 100 - Contract + Design Brief"/>
    <n v="0.85500000000000009"/>
    <n v="1"/>
    <m/>
    <m/>
    <m/>
    <s v="Gagan"/>
    <s v="Utpal"/>
    <s v="Megha"/>
    <m/>
    <m/>
    <m/>
    <m/>
    <m/>
    <m/>
    <m/>
    <n v="0"/>
    <m/>
  </r>
  <r>
    <x v="38"/>
    <s v="Ph 1"/>
    <x v="5"/>
    <x v="3"/>
    <s v="LoD 200 - Schematic Concept"/>
    <n v="1.4050000000000002"/>
    <n v="1"/>
    <m/>
    <m/>
    <m/>
    <s v="Gagan"/>
    <s v="Utpal"/>
    <s v="Megha"/>
    <m/>
    <m/>
    <m/>
    <m/>
    <m/>
    <m/>
    <m/>
    <n v="0"/>
    <m/>
  </r>
  <r>
    <x v="38"/>
    <s v="Ph 1"/>
    <x v="5"/>
    <x v="3"/>
    <s v="Approvals"/>
    <n v="1.4050000000000002"/>
    <n v="1"/>
    <m/>
    <m/>
    <m/>
    <s v="Gagan"/>
    <s v="Utpal"/>
    <s v="Megha"/>
    <m/>
    <m/>
    <m/>
    <m/>
    <m/>
    <m/>
    <m/>
    <n v="0"/>
    <m/>
  </r>
  <r>
    <x v="38"/>
    <s v="Ph 1"/>
    <x v="1"/>
    <x v="0"/>
    <s v="[LOD 200 - Schematic]"/>
    <n v="0.30500000000000005"/>
    <n v="1"/>
    <m/>
    <m/>
    <m/>
    <m/>
    <s v="To be shared - Om Prakash"/>
    <m/>
    <m/>
    <m/>
    <m/>
    <m/>
    <m/>
    <m/>
    <m/>
    <n v="0"/>
    <n v="0"/>
  </r>
  <r>
    <x v="38"/>
    <s v="Ph 1"/>
    <x v="1"/>
    <x v="6"/>
    <s v="LoD 200 - Schematic Concept"/>
    <n v="0.30500000000000005"/>
    <n v="1"/>
    <m/>
    <m/>
    <m/>
    <s v="Om Prakash"/>
    <m/>
    <m/>
    <m/>
    <m/>
    <m/>
    <m/>
    <m/>
    <m/>
    <m/>
    <n v="0"/>
    <m/>
  </r>
  <r>
    <x v="38"/>
    <s v="Ph 1"/>
    <x v="2"/>
    <x v="0"/>
    <s v="[LOD 200 - Schematic]"/>
    <n v="0.36252000000000001"/>
    <n v="1"/>
    <m/>
    <m/>
    <m/>
    <m/>
    <m/>
    <m/>
    <m/>
    <m/>
    <m/>
    <m/>
    <m/>
    <m/>
    <m/>
    <n v="0"/>
    <n v="0"/>
  </r>
  <r>
    <x v="38"/>
    <s v="Ph 1"/>
    <x v="2"/>
    <x v="2"/>
    <s v="LoD 200 - Schematic Concept"/>
    <n v="0.36252000000000001"/>
    <n v="1"/>
    <m/>
    <m/>
    <m/>
    <s v="Prakash C"/>
    <s v="Satish"/>
    <s v="Alwin"/>
    <s v="Raghav"/>
    <s v="Prasad"/>
    <m/>
    <n v="0"/>
    <m/>
    <m/>
    <m/>
    <n v="0"/>
    <m/>
  </r>
  <r>
    <x v="38"/>
    <s v="Ph 1"/>
    <x v="3"/>
    <x v="0"/>
    <s v="[LOD 200 - Schematic, Approvals]"/>
    <n v="0.30266999999999999"/>
    <n v="2"/>
    <m/>
    <m/>
    <m/>
    <m/>
    <m/>
    <m/>
    <m/>
    <m/>
    <m/>
    <m/>
    <m/>
    <m/>
    <m/>
    <n v="0"/>
    <n v="0"/>
  </r>
  <r>
    <x v="38"/>
    <s v="Ph 1"/>
    <x v="3"/>
    <x v="3"/>
    <s v="LoD 200 - Schematic Concept"/>
    <n v="0.10088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3"/>
    <x v="3"/>
    <s v="Approvals"/>
    <n v="0.20177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4"/>
    <x v="0"/>
    <s v="[LOD 200 - Schematic, Approvals]"/>
    <n v="0.28215000000000001"/>
    <n v="2"/>
    <m/>
    <m/>
    <m/>
    <m/>
    <m/>
    <m/>
    <m/>
    <m/>
    <m/>
    <m/>
    <m/>
    <m/>
    <m/>
    <n v="0"/>
    <n v="0"/>
  </r>
  <r>
    <x v="38"/>
    <s v="Ph 1"/>
    <x v="4"/>
    <x v="3"/>
    <s v="LoD 200 - Schematic Concept"/>
    <n v="0.11286000000000002"/>
    <n v="1"/>
    <m/>
    <m/>
    <m/>
    <s v="Gagan"/>
    <s v="Lajja"/>
    <s v="Anisha"/>
    <m/>
    <m/>
    <m/>
    <m/>
    <m/>
    <m/>
    <m/>
    <n v="0"/>
    <m/>
  </r>
  <r>
    <x v="38"/>
    <s v="Ph 1"/>
    <x v="4"/>
    <x v="3"/>
    <s v="Approvals"/>
    <n v="0.16929"/>
    <n v="1"/>
    <m/>
    <m/>
    <m/>
    <s v="Gagan"/>
    <s v="Lajja"/>
    <s v="Anisha"/>
    <m/>
    <m/>
    <m/>
    <m/>
    <m/>
    <m/>
    <m/>
    <n v="0"/>
    <m/>
  </r>
  <r>
    <x v="39"/>
    <s v="Ph 1"/>
    <x v="0"/>
    <x v="0"/>
    <s v="Package Release"/>
    <n v="6.4045899659245631"/>
    <n v="19"/>
    <m/>
    <m/>
    <m/>
    <m/>
    <m/>
    <m/>
    <m/>
    <m/>
    <m/>
    <m/>
    <m/>
    <m/>
    <m/>
    <n v="0"/>
    <n v="0"/>
  </r>
  <r>
    <x v="39"/>
    <s v="Ph 1"/>
    <x v="5"/>
    <x v="0"/>
    <s v="Package Release [Lod 200 -Schematic Concept &amp; Approvals]"/>
    <n v="2.184224765452226"/>
    <n v="3"/>
    <m/>
    <m/>
    <m/>
    <m/>
    <m/>
    <m/>
    <m/>
    <m/>
    <m/>
    <m/>
    <m/>
    <m/>
    <m/>
    <n v="0"/>
    <n v="0"/>
  </r>
  <r>
    <x v="39"/>
    <s v="Ph 1"/>
    <x v="5"/>
    <x v="3"/>
    <s v="LoD 100 - Contract + Design Brief"/>
    <n v="0.4724994626592407"/>
    <n v="1"/>
    <m/>
    <m/>
    <m/>
    <s v="Gagan"/>
    <s v="Utpal"/>
    <s v="Manali"/>
    <m/>
    <m/>
    <m/>
    <m/>
    <m/>
    <m/>
    <m/>
    <n v="0"/>
    <m/>
  </r>
  <r>
    <x v="39"/>
    <s v="Ph 1"/>
    <x v="5"/>
    <x v="3"/>
    <s v="LoD 200 - Schematic Concept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5"/>
    <x v="3"/>
    <s v=" Approvals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1"/>
    <x v="0"/>
    <s v="Package Release [LoD 200 - Schematic Concept]"/>
    <n v="2.8349967759554442"/>
    <n v="4"/>
    <m/>
    <m/>
    <m/>
    <m/>
    <s v="To be shared - Om Prakash"/>
    <m/>
    <m/>
    <m/>
    <m/>
    <m/>
    <m/>
    <m/>
    <m/>
    <n v="0"/>
    <n v="0"/>
  </r>
  <r>
    <x v="39"/>
    <s v="Ph 1"/>
    <x v="1"/>
    <x v="6"/>
    <s v="LoD 200 - Schematic Concept"/>
    <n v="0.9449989253184814"/>
    <n v="1"/>
    <m/>
    <m/>
    <m/>
    <s v="Om Prakash"/>
    <m/>
    <m/>
    <m/>
    <m/>
    <m/>
    <m/>
    <m/>
    <m/>
    <m/>
    <n v="0"/>
    <m/>
  </r>
  <r>
    <x v="39"/>
    <s v="Ph 1"/>
    <x v="1"/>
    <x v="6"/>
    <s v="LoD 300 - Pre Construction Set"/>
    <n v="0.9449989253184814"/>
    <n v="1"/>
    <m/>
    <m/>
    <m/>
    <s v="Om Prakash"/>
    <m/>
    <m/>
    <m/>
    <m/>
    <m/>
    <n v="0"/>
    <m/>
    <m/>
    <m/>
    <n v="0"/>
    <m/>
  </r>
  <r>
    <x v="39"/>
    <s v="Ph 1"/>
    <x v="1"/>
    <x v="6"/>
    <s v="Project Experience"/>
    <n v="0.4724994626592407"/>
    <n v="1"/>
    <m/>
    <m/>
    <m/>
    <s v="Om Prakash"/>
    <m/>
    <m/>
    <m/>
    <m/>
    <m/>
    <n v="0"/>
    <m/>
    <m/>
    <m/>
    <n v="0"/>
    <m/>
  </r>
  <r>
    <x v="39"/>
    <s v="Ph 1"/>
    <x v="1"/>
    <x v="6"/>
    <s v="Marketing and Sales"/>
    <n v="0.4724994626592407"/>
    <n v="1"/>
    <m/>
    <m/>
    <m/>
    <s v="Om Prakash"/>
    <m/>
    <m/>
    <m/>
    <m/>
    <m/>
    <n v="0"/>
    <m/>
    <m/>
    <m/>
    <n v="0"/>
    <m/>
  </r>
  <r>
    <x v="39"/>
    <s v="Ph 1"/>
    <x v="2"/>
    <x v="0"/>
    <s v="Package Release [ LoD 200 - Schematic Concept]"/>
    <n v="0.80135908867007233"/>
    <n v="3"/>
    <m/>
    <m/>
    <m/>
    <m/>
    <m/>
    <m/>
    <m/>
    <m/>
    <m/>
    <m/>
    <m/>
    <m/>
    <m/>
    <n v="0"/>
    <n v="0"/>
  </r>
  <r>
    <x v="39"/>
    <s v="Ph 1"/>
    <x v="2"/>
    <x v="2"/>
    <s v="LoD 200 - Schematic Concept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LoD 300 - Pre Construction Set"/>
    <n v="0.40067954433503616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Project Experience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3"/>
    <x v="0"/>
    <s v="Package Release [till LoD 300 - Pre Construction Set]"/>
    <n v="0.33452961956274241"/>
    <n v="4"/>
    <m/>
    <m/>
    <m/>
    <m/>
    <m/>
    <m/>
    <m/>
    <m/>
    <m/>
    <m/>
    <m/>
    <m/>
    <m/>
    <n v="0"/>
    <n v="0"/>
  </r>
  <r>
    <x v="39"/>
    <s v="Ph 1"/>
    <x v="3"/>
    <x v="3"/>
    <s v="LoD 200 - Schematic Concept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200 - Approvals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300 - Pre Construction Set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Project Experience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4"/>
    <x v="0"/>
    <s v="Package Release [till LoD 300 - Pre Construction Set]"/>
    <n v="0.24947971628407911"/>
    <n v="5"/>
    <m/>
    <m/>
    <m/>
    <m/>
    <m/>
    <m/>
    <m/>
    <m/>
    <m/>
    <m/>
    <m/>
    <m/>
    <m/>
    <n v="0"/>
    <n v="0"/>
  </r>
  <r>
    <x v="39"/>
    <s v="Ph 1"/>
    <x v="4"/>
    <x v="3"/>
    <s v="LoD 200 - Schematic Concept"/>
    <n v="6.2369929071019771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200 - Approvals"/>
    <n v="9.3554893606529646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300 - Pre Construction Set"/>
    <n v="3.1184964535509885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Marketing and Sales"/>
    <n v="3.1184964535509885E-2"/>
    <n v="1"/>
    <m/>
    <m/>
    <m/>
    <s v="Gagan"/>
    <s v="Lajja"/>
    <s v="Anisha"/>
    <m/>
    <m/>
    <m/>
    <n v="0"/>
    <m/>
    <m/>
    <m/>
    <n v="0"/>
    <m/>
  </r>
  <r>
    <x v="39"/>
    <s v="Ph 1"/>
    <x v="4"/>
    <x v="3"/>
    <s v="Project Experience"/>
    <n v="3.1184964535509885E-2"/>
    <n v="1"/>
    <m/>
    <m/>
    <m/>
    <s v="Gagan"/>
    <s v="Lajja"/>
    <s v="Anisha"/>
    <m/>
    <m/>
    <m/>
    <n v="0"/>
    <m/>
    <m/>
    <m/>
    <n v="0"/>
    <m/>
  </r>
  <r>
    <x v="40"/>
    <s v="Ph 1"/>
    <x v="6"/>
    <x v="0"/>
    <s v="Package Release"/>
    <n v="1.4857883789065871"/>
    <n v="22"/>
    <m/>
    <m/>
    <m/>
    <m/>
    <m/>
    <m/>
    <m/>
    <m/>
    <m/>
    <m/>
    <m/>
    <m/>
    <m/>
    <n v="0"/>
    <n v="0"/>
  </r>
  <r>
    <x v="40"/>
    <s v="Ph 1"/>
    <x v="5"/>
    <x v="0"/>
    <s v="Package Release [till LoD 350 - Infra - Signage &amp; Street Lighting]"/>
    <n v="0.52044099788952725"/>
    <n v="4"/>
    <m/>
    <m/>
    <m/>
    <m/>
    <m/>
    <m/>
    <m/>
    <m/>
    <m/>
    <m/>
    <m/>
    <m/>
    <m/>
    <n v="0"/>
    <n v="0"/>
  </r>
  <r>
    <x v="40"/>
    <s v="Ph 1"/>
    <x v="5"/>
    <x v="3"/>
    <s v="LoD 350 - Project Experience [Sales Lounge, Model Road]"/>
    <n v="0.13427418761072726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BOQ &amp; Technical Specifications"/>
    <n v="0.2432052386760000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Structures - Security Cabin and Entrance [Rework]"/>
    <n v="7.2961571602800007E-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Infra - Signage &amp; Street Lighting"/>
    <n v="7.0000000000000007E-2"/>
    <n v="1"/>
    <m/>
    <m/>
    <m/>
    <s v="Gagan"/>
    <s v="Utpal"/>
    <s v="Manali"/>
    <m/>
    <m/>
    <m/>
    <m/>
    <m/>
    <m/>
    <m/>
    <n v="0"/>
    <m/>
  </r>
  <r>
    <x v="40"/>
    <s v="Ph 1"/>
    <x v="1"/>
    <x v="0"/>
    <s v="Package Release [till LoD 200 - Approvals]"/>
    <n v="0.53709675044290905"/>
    <n v="2"/>
    <m/>
    <m/>
    <m/>
    <m/>
    <s v="To be shared - Om Prakash"/>
    <m/>
    <m/>
    <m/>
    <m/>
    <m/>
    <m/>
    <m/>
    <m/>
    <n v="0"/>
    <n v="0"/>
  </r>
  <r>
    <x v="40"/>
    <s v="Ph 1"/>
    <x v="1"/>
    <x v="6"/>
    <s v="LoD 200 - Schematic Concept"/>
    <n v="0.26854837522145453"/>
    <n v="1"/>
    <m/>
    <m/>
    <m/>
    <s v="Om Prakash"/>
    <m/>
    <m/>
    <m/>
    <m/>
    <m/>
    <m/>
    <m/>
    <m/>
    <m/>
    <n v="0"/>
    <m/>
  </r>
  <r>
    <x v="40"/>
    <s v="Ph 1"/>
    <x v="1"/>
    <x v="6"/>
    <s v="LoD 200 - Approvals"/>
    <n v="0.26854837522145453"/>
    <n v="1"/>
    <m/>
    <m/>
    <m/>
    <s v="Om Prakash"/>
    <m/>
    <m/>
    <m/>
    <m/>
    <m/>
    <m/>
    <m/>
    <m/>
    <m/>
    <n v="0"/>
    <m/>
  </r>
  <r>
    <x v="40"/>
    <s v="Ph 1"/>
    <x v="2"/>
    <x v="0"/>
    <s v="Package Release [till LoD 350 - Infra - Signage &amp; Street Lighting]"/>
    <n v="0.29969554313912505"/>
    <n v="6"/>
    <m/>
    <m/>
    <m/>
    <m/>
    <m/>
    <m/>
    <m/>
    <m/>
    <m/>
    <m/>
    <m/>
    <m/>
    <m/>
    <n v="0"/>
    <n v="0"/>
  </r>
  <r>
    <x v="40"/>
    <s v="Ph 1"/>
    <x v="2"/>
    <x v="2"/>
    <s v="LoD 300 - Pre Construction Set"/>
    <n v="0.11386451109389673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Project Experience [Sales Lounge, Model Road]"/>
    <n v="5.6932255546948363E-2"/>
    <n v="1"/>
    <m/>
    <m/>
    <m/>
    <s v="Prakash C"/>
    <s v="Satish/Lincy"/>
    <s v="Alwin/Subramanya"/>
    <s v="Raghav"/>
    <s v="Prasad"/>
    <m/>
    <n v="0"/>
    <m/>
    <m/>
    <m/>
    <n v="0"/>
    <m/>
  </r>
  <r>
    <x v="40"/>
    <s v="Ph 1"/>
    <x v="2"/>
    <x v="2"/>
    <s v="LoD 350 - Infra - Grading"/>
    <n v="2.5779755299655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Infra - MEP"/>
    <n v="5.1559510599311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Structures - Security Cabin and Entrance [Rework]"/>
    <n v="2.5779755299655999E-2"/>
    <n v="1"/>
    <m/>
    <m/>
    <m/>
    <s v="Prakash C"/>
    <s v="Lincy"/>
    <s v="Subrahmanya"/>
    <s v="-"/>
    <s v="Prasad"/>
    <m/>
    <n v="0"/>
    <m/>
    <m/>
    <m/>
    <n v="0"/>
    <m/>
  </r>
  <r>
    <x v="40"/>
    <s v="Ph1"/>
    <x v="2"/>
    <x v="2"/>
    <s v="Lod 350 - Infra - Signage &amp; Street Lighting"/>
    <n v="2.5779755299655999E-2"/>
    <n v="1"/>
    <m/>
    <m/>
    <m/>
    <s v="Gagan"/>
    <s v="Satish"/>
    <m/>
    <m/>
    <m/>
    <m/>
    <m/>
    <m/>
    <m/>
    <m/>
    <n v="0"/>
    <m/>
  </r>
  <r>
    <x v="40"/>
    <s v="Ph 1"/>
    <x v="3"/>
    <x v="0"/>
    <s v="Package Release [till LoD 350 - Infra - Signage &amp; Street Lighting]"/>
    <n v="8.7589899547485806E-2"/>
    <n v="5"/>
    <m/>
    <m/>
    <m/>
    <m/>
    <m/>
    <m/>
    <m/>
    <m/>
    <m/>
    <m/>
    <m/>
    <m/>
    <m/>
    <n v="0"/>
    <n v="0"/>
  </r>
  <r>
    <x v="40"/>
    <s v="Ph 1"/>
    <x v="3"/>
    <x v="3"/>
    <s v="LoD 350 - Project Experience [Sales Lounge, Model Road]"/>
    <n v="1.584435413806581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BOQ &amp; Technical Specifications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Coordinated"/>
    <n v="2.869821816376799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Structures - Security Cabin and Entrance [Rework]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Signage &amp; Street Lighting"/>
    <n v="1.4349109081883998E-2"/>
    <n v="1"/>
    <m/>
    <m/>
    <m/>
    <s v="Gagan"/>
    <s v="Salomi"/>
    <m/>
    <m/>
    <m/>
    <m/>
    <m/>
    <m/>
    <m/>
    <m/>
    <n v="0"/>
    <m/>
  </r>
  <r>
    <x v="40"/>
    <s v="Ph 1"/>
    <x v="4"/>
    <x v="0"/>
    <s v="Package Release [till LoD 350 - Infra - Signage &amp; Street Lighting]"/>
    <n v="5.7016733640155991E-2"/>
    <n v="7"/>
    <m/>
    <m/>
    <m/>
    <m/>
    <m/>
    <m/>
    <m/>
    <m/>
    <m/>
    <m/>
    <m/>
    <m/>
    <m/>
    <n v="0"/>
    <n v="0"/>
  </r>
  <r>
    <x v="40"/>
    <s v="Ph 1"/>
    <x v="4"/>
    <x v="3"/>
    <s v="LoD 350 - Project Experience [Sales Lounge, Model Road]"/>
    <n v="8.8620963823079994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MEP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BOQ &amp; Technical Specifications"/>
    <n v="8.0257728763080006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Coordinated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Structures - Security Cabin and Entrance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Signage &amp; Street Lighting"/>
    <n v="8.0257728763080006E-3"/>
    <n v="1"/>
    <m/>
    <m/>
    <m/>
    <s v="Gagan"/>
    <s v="Lajja"/>
    <m/>
    <m/>
    <m/>
    <m/>
    <m/>
    <m/>
    <m/>
    <m/>
    <n v="0"/>
    <m/>
  </r>
  <r>
    <x v="40"/>
    <s v="Ph 1"/>
    <x v="4"/>
    <x v="3"/>
    <s v="LoD 350 - Structures - Security Cabin and Entrance [Rework]"/>
    <n v="8.0257728763080006E-3"/>
    <n v="1"/>
    <m/>
    <m/>
    <m/>
    <s v="Gagan"/>
    <s v="Lajja"/>
    <s v="Manali"/>
    <m/>
    <m/>
    <m/>
    <m/>
    <m/>
    <m/>
    <m/>
    <n v="0"/>
    <m/>
  </r>
  <r>
    <x v="41"/>
    <s v="Ph 2"/>
    <x v="6"/>
    <x v="0"/>
    <s v="Package Release"/>
    <n v="0.61815584986570793"/>
    <n v="5"/>
    <m/>
    <m/>
    <m/>
    <m/>
    <m/>
    <m/>
    <m/>
    <m/>
    <m/>
    <m/>
    <m/>
    <m/>
    <m/>
    <n v="0"/>
    <n v="0"/>
  </r>
  <r>
    <x v="41"/>
    <s v="Ph 2"/>
    <x v="5"/>
    <x v="0"/>
    <s v="Package Release [till LoD 300 - Pre Construction Set]"/>
    <n v="0.50475436842599997"/>
    <n v="2"/>
    <m/>
    <m/>
    <m/>
    <m/>
    <m/>
    <m/>
    <m/>
    <m/>
    <m/>
    <m/>
    <m/>
    <m/>
    <m/>
    <n v="0"/>
    <n v="0"/>
  </r>
  <r>
    <x v="41"/>
    <s v="Ph 2"/>
    <x v="5"/>
    <x v="3"/>
    <s v="LoD 100 - Contract + Design Brief"/>
    <n v="0.16825145614199999"/>
    <n v="1"/>
    <m/>
    <m/>
    <m/>
    <s v="Gagan"/>
    <s v="Utpal"/>
    <s v="Manali"/>
    <m/>
    <m/>
    <m/>
    <m/>
    <m/>
    <m/>
    <m/>
    <n v="0"/>
    <m/>
  </r>
  <r>
    <x v="41"/>
    <s v="Ph 2"/>
    <x v="5"/>
    <x v="3"/>
    <s v="LoD 200 - Schematic Concept"/>
    <n v="0.33650291228399998"/>
    <n v="1"/>
    <m/>
    <m/>
    <m/>
    <s v="Gagan"/>
    <s v="Utpal"/>
    <s v="Manali"/>
    <m/>
    <m/>
    <m/>
    <m/>
    <m/>
    <m/>
    <m/>
    <n v="0"/>
    <m/>
  </r>
  <r>
    <x v="41"/>
    <s v="Ph 2"/>
    <x v="2"/>
    <x v="0"/>
    <s v="Package Release [till LoD 300 - Pre Construction Set]"/>
    <n v="7.133861740420798E-2"/>
    <n v="1"/>
    <m/>
    <m/>
    <m/>
    <m/>
    <m/>
    <m/>
    <m/>
    <m/>
    <m/>
    <m/>
    <m/>
    <m/>
    <m/>
    <n v="0"/>
    <n v="0"/>
  </r>
  <r>
    <x v="41"/>
    <s v="Ph 2"/>
    <x v="2"/>
    <x v="2"/>
    <s v="LoD 200 - Schematic Concept"/>
    <n v="7.133861740420798E-2"/>
    <n v="1"/>
    <m/>
    <m/>
    <m/>
    <s v="Prakash C"/>
    <s v="Satish"/>
    <s v="Alwin"/>
    <s v="Raghav"/>
    <s v="Prasad"/>
    <m/>
    <n v="0"/>
    <m/>
    <m/>
    <m/>
    <n v="0"/>
    <m/>
  </r>
  <r>
    <x v="41"/>
    <s v="Ph 2"/>
    <x v="3"/>
    <x v="0"/>
    <s v="Package Release [till LoD 300 - Pre Construction Set]"/>
    <n v="1.9853671824755996E-2"/>
    <n v="1"/>
    <m/>
    <m/>
    <m/>
    <m/>
    <m/>
    <m/>
    <m/>
    <m/>
    <m/>
    <m/>
    <m/>
    <m/>
    <m/>
    <n v="0"/>
    <n v="0"/>
  </r>
  <r>
    <x v="41"/>
    <s v="Ph 2"/>
    <x v="3"/>
    <x v="3"/>
    <s v="LoD 200 - Schematic Concept"/>
    <n v="1.9853671824755996E-2"/>
    <n v="1"/>
    <m/>
    <m/>
    <m/>
    <s v="Gagan"/>
    <m/>
    <m/>
    <m/>
    <m/>
    <m/>
    <m/>
    <m/>
    <m/>
    <m/>
    <n v="0"/>
    <m/>
  </r>
  <r>
    <x v="41"/>
    <s v="Ph 2"/>
    <x v="4"/>
    <x v="0"/>
    <s v="Package Release [till LoD 300 - Pre Construction Set]"/>
    <n v="2.2209192210743994E-2"/>
    <n v="1"/>
    <m/>
    <m/>
    <m/>
    <m/>
    <m/>
    <m/>
    <m/>
    <m/>
    <m/>
    <m/>
    <m/>
    <m/>
    <m/>
    <n v="0"/>
    <n v="0"/>
  </r>
  <r>
    <x v="41"/>
    <s v="Ph 2"/>
    <x v="4"/>
    <x v="3"/>
    <s v="LoD 200 - Schematic Concept"/>
    <n v="2.2209192210743994E-2"/>
    <n v="1"/>
    <m/>
    <m/>
    <m/>
    <s v="Gagan"/>
    <m/>
    <m/>
    <m/>
    <m/>
    <m/>
    <m/>
    <m/>
    <m/>
    <m/>
    <n v="0"/>
    <m/>
  </r>
  <r>
    <x v="42"/>
    <s v="Byatarayanpura"/>
    <x v="0"/>
    <x v="0"/>
    <s v="Package Release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0"/>
    <s v="LoD 100 - Contract + Design Brief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6"/>
    <s v="LoD 100 - Contract + Design Brief"/>
    <n v="1.6141000000000003"/>
    <n v="1"/>
    <m/>
    <m/>
    <m/>
    <s v="Om Prakash"/>
    <s v="Om Prakash"/>
    <s v="Sreeja"/>
    <s v="Sinchana"/>
    <m/>
    <m/>
    <m/>
    <m/>
    <m/>
    <m/>
    <n v="0"/>
    <m/>
  </r>
  <r>
    <x v="43"/>
    <s v="TR Mills"/>
    <x v="0"/>
    <x v="0"/>
    <s v="Package Release"/>
    <n v="5.9650000000000007"/>
    <n v="1"/>
    <m/>
    <m/>
    <m/>
    <m/>
    <m/>
    <m/>
    <m/>
    <m/>
    <m/>
    <m/>
    <m/>
    <m/>
    <m/>
    <n v="0"/>
    <n v="0"/>
  </r>
  <r>
    <x v="44"/>
    <s v="TR Mills "/>
    <x v="1"/>
    <x v="0"/>
    <s v="LoD 100 - Contract + Design Brief"/>
    <n v="5.9650000000000007"/>
    <n v="1"/>
    <m/>
    <m/>
    <m/>
    <m/>
    <m/>
    <m/>
    <m/>
    <m/>
    <m/>
    <m/>
    <m/>
    <m/>
    <m/>
    <n v="0"/>
    <n v="0"/>
  </r>
  <r>
    <x v="44"/>
    <s v="TR Mills "/>
    <x v="1"/>
    <x v="1"/>
    <s v="LoD 100 - Contract + Design Brief "/>
    <n v="5.9650000000000007"/>
    <n v="1"/>
    <m/>
    <m/>
    <m/>
    <s v="Saji A"/>
    <s v="Simran"/>
    <s v="Arshad"/>
    <m/>
    <m/>
    <m/>
    <m/>
    <m/>
    <m/>
    <m/>
    <n v="0"/>
    <m/>
  </r>
  <r>
    <x v="45"/>
    <s v="KIADB - Mys"/>
    <x v="0"/>
    <x v="0"/>
    <s v="Package Release"/>
    <n v="0"/>
    <n v="11"/>
    <m/>
    <m/>
    <m/>
    <m/>
    <m/>
    <m/>
    <m/>
    <m/>
    <m/>
    <m/>
    <m/>
    <m/>
    <m/>
    <n v="0"/>
    <n v="0"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5"/>
    <x v="3"/>
    <s v="LoD 100 - Contract + Design Brief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LoD 200 - Schematic Concept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Approvals"/>
    <m/>
    <n v="1"/>
    <m/>
    <m/>
    <m/>
    <s v="Gagan"/>
    <s v="Utpal"/>
    <s v="Manali"/>
    <m/>
    <m/>
    <m/>
    <m/>
    <m/>
    <m/>
    <m/>
    <m/>
    <m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1"/>
    <x v="4"/>
    <s v="LoD 100 - Contract + Design Brief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LoD 200 - Schematic Concept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Approvals"/>
    <m/>
    <n v="1"/>
    <m/>
    <m/>
    <m/>
    <s v="Naveen Y"/>
    <s v="Swathi"/>
    <s v="Manali"/>
    <m/>
    <m/>
    <m/>
    <m/>
    <m/>
    <m/>
    <m/>
    <m/>
    <m/>
  </r>
  <r>
    <x v="45"/>
    <s v="KIADB - Mys"/>
    <x v="2"/>
    <x v="0"/>
    <s v="Complete the project by Q4"/>
    <n v="0"/>
    <n v="1"/>
    <m/>
    <m/>
    <m/>
    <m/>
    <m/>
    <m/>
    <m/>
    <m/>
    <m/>
    <m/>
    <m/>
    <m/>
    <m/>
    <n v="0"/>
    <n v="0"/>
  </r>
  <r>
    <x v="45"/>
    <s v="KIADB - Mys"/>
    <x v="2"/>
    <x v="2"/>
    <s v="LoD 200 - Schematic Concept"/>
    <m/>
    <n v="1"/>
    <m/>
    <m/>
    <m/>
    <s v="Prakash C"/>
    <s v="Satish"/>
    <s v="Alwin"/>
    <s v="Raghav"/>
    <s v="Vinay"/>
    <m/>
    <n v="0"/>
    <m/>
    <m/>
    <m/>
    <m/>
    <m/>
  </r>
  <r>
    <x v="45"/>
    <s v="KIADB - Mys"/>
    <x v="3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3"/>
    <x v="3"/>
    <s v="LoD 200 - Schematic Concept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3"/>
    <x v="3"/>
    <s v="Approvals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4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4"/>
    <x v="3"/>
    <s v="LoD 200 - Schematic Concept"/>
    <m/>
    <n v="1"/>
    <m/>
    <m/>
    <m/>
    <s v="Gagan"/>
    <s v="Lajja"/>
    <s v="Anisha"/>
    <m/>
    <m/>
    <m/>
    <m/>
    <m/>
    <m/>
    <m/>
    <m/>
    <m/>
  </r>
  <r>
    <x v="45"/>
    <s v="KIADB - Mys"/>
    <x v="4"/>
    <x v="3"/>
    <s v="Approvals"/>
    <m/>
    <n v="1"/>
    <m/>
    <m/>
    <m/>
    <s v="Gagan"/>
    <s v="Lajja"/>
    <s v="Anisha"/>
    <m/>
    <m/>
    <m/>
    <m/>
    <m/>
    <m/>
    <m/>
    <m/>
    <m/>
  </r>
  <r>
    <x v="46"/>
    <s v="Imgn"/>
    <x v="0"/>
    <x v="0"/>
    <s v="Package Release"/>
    <n v="1.49"/>
    <n v="6"/>
    <m/>
    <m/>
    <m/>
    <m/>
    <m/>
    <m/>
    <m/>
    <m/>
    <m/>
    <m/>
    <m/>
    <m/>
    <m/>
    <n v="0"/>
    <n v="0"/>
  </r>
  <r>
    <x v="46"/>
    <s v="Imgn"/>
    <x v="1"/>
    <x v="0"/>
    <s v="Package Release [Complete LoD 100, 200] "/>
    <n v="1.1499999999999999"/>
    <n v="2"/>
    <m/>
    <m/>
    <m/>
    <m/>
    <m/>
    <m/>
    <m/>
    <m/>
    <m/>
    <m/>
    <m/>
    <m/>
    <m/>
    <n v="0"/>
    <n v="0"/>
  </r>
  <r>
    <x v="46"/>
    <s v="Imgn"/>
    <x v="1"/>
    <x v="4"/>
    <s v="LoD 200 - Schematic Concept"/>
    <n v="0.69"/>
    <n v="1"/>
    <m/>
    <m/>
    <m/>
    <s v="Naveen Y"/>
    <s v="Akhila G"/>
    <s v="Fathima S"/>
    <m/>
    <m/>
    <m/>
    <m/>
    <m/>
    <m/>
    <m/>
    <n v="0"/>
    <m/>
  </r>
  <r>
    <x v="46"/>
    <s v="Imgn"/>
    <x v="1"/>
    <x v="4"/>
    <s v="Approvals"/>
    <n v="0.46"/>
    <n v="1"/>
    <m/>
    <m/>
    <m/>
    <s v="Naveen Y"/>
    <s v="Akhila G"/>
    <s v="Fathima S"/>
    <m/>
    <m/>
    <m/>
    <m/>
    <m/>
    <m/>
    <m/>
    <n v="0"/>
    <m/>
  </r>
  <r>
    <x v="46"/>
    <s v="Imgn"/>
    <x v="2"/>
    <x v="0"/>
    <s v="Package Release [Complete LoD 200] "/>
    <n v="0.19"/>
    <n v="1"/>
    <m/>
    <m/>
    <m/>
    <m/>
    <m/>
    <m/>
    <m/>
    <m/>
    <m/>
    <m/>
    <m/>
    <m/>
    <m/>
    <n v="0"/>
    <n v="0"/>
  </r>
  <r>
    <x v="46"/>
    <s v="Imgn"/>
    <x v="2"/>
    <x v="2"/>
    <s v="LoD 200 - Schematic Concept"/>
    <n v="0.19"/>
    <n v="1"/>
    <m/>
    <m/>
    <m/>
    <s v="Prakash C"/>
    <s v="Lincy"/>
    <s v="Charan"/>
    <s v="-"/>
    <s v="Karthik"/>
    <m/>
    <n v="0"/>
    <m/>
    <m/>
    <m/>
    <n v="0"/>
    <m/>
  </r>
  <r>
    <x v="46"/>
    <s v="Imgn"/>
    <x v="3"/>
    <x v="0"/>
    <s v="Package Release [Complete LoD 200] "/>
    <n v="0.1"/>
    <n v="2"/>
    <m/>
    <m/>
    <m/>
    <m/>
    <m/>
    <m/>
    <m/>
    <m/>
    <m/>
    <m/>
    <m/>
    <m/>
    <m/>
    <n v="0"/>
    <n v="0"/>
  </r>
  <r>
    <x v="46"/>
    <s v="Imgn"/>
    <x v="3"/>
    <x v="3"/>
    <s v="LoD 200 - Schematic Concept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3"/>
    <x v="3"/>
    <s v="Approvals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4"/>
    <x v="0"/>
    <s v="Package Release [Complete LoD 200] "/>
    <n v="0.05"/>
    <n v="1"/>
    <m/>
    <m/>
    <m/>
    <m/>
    <m/>
    <m/>
    <m/>
    <m/>
    <m/>
    <m/>
    <m/>
    <m/>
    <m/>
    <n v="0"/>
    <n v="0"/>
  </r>
  <r>
    <x v="46"/>
    <s v="Imgn"/>
    <x v="4"/>
    <x v="3"/>
    <s v="Approvals"/>
    <n v="0.05"/>
    <n v="1"/>
    <m/>
    <m/>
    <m/>
    <s v="Gagan"/>
    <s v="Lajja"/>
    <s v="Aproova"/>
    <m/>
    <m/>
    <m/>
    <m/>
    <m/>
    <m/>
    <m/>
    <n v="0"/>
    <m/>
  </r>
  <r>
    <x v="47"/>
    <s v="OTR OOTA"/>
    <x v="0"/>
    <x v="0"/>
    <s v="Package Release"/>
    <n v="0.19417209600000002"/>
    <n v="8"/>
    <m/>
    <m/>
    <m/>
    <m/>
    <m/>
    <m/>
    <m/>
    <m/>
    <m/>
    <m/>
    <m/>
    <m/>
    <m/>
    <n v="0"/>
    <n v="0"/>
  </r>
  <r>
    <x v="47"/>
    <s v="OTR OOTA"/>
    <x v="1"/>
    <x v="0"/>
    <s v="Complete Approvals"/>
    <n v="0.153458592"/>
    <n v="3"/>
    <m/>
    <m/>
    <m/>
    <m/>
    <m/>
    <m/>
    <m/>
    <m/>
    <m/>
    <m/>
    <m/>
    <m/>
    <m/>
    <n v="0"/>
    <n v="0"/>
  </r>
  <r>
    <x v="47"/>
    <s v="OTR OOTA"/>
    <x v="1"/>
    <x v="7"/>
    <s v="Lod100 - Design Brief"/>
    <n v="4.3845312000000004E-2"/>
    <n v="1"/>
    <m/>
    <m/>
    <m/>
    <s v="Manik G"/>
    <m/>
    <m/>
    <m/>
    <m/>
    <m/>
    <m/>
    <m/>
    <m/>
    <m/>
    <n v="0"/>
    <m/>
  </r>
  <r>
    <x v="47"/>
    <s v="OTR OOTA"/>
    <x v="1"/>
    <x v="7"/>
    <s v="LoD 200 - Schematic Concept"/>
    <n v="6.576796800000001E-2"/>
    <n v="1"/>
    <m/>
    <m/>
    <m/>
    <s v="Manik G"/>
    <m/>
    <m/>
    <m/>
    <m/>
    <m/>
    <m/>
    <m/>
    <m/>
    <m/>
    <n v="0"/>
    <m/>
  </r>
  <r>
    <x v="47"/>
    <s v="OTR OOTA"/>
    <x v="1"/>
    <x v="7"/>
    <s v="Approvals"/>
    <n v="4.3845312000000004E-2"/>
    <n v="1"/>
    <m/>
    <m/>
    <m/>
    <s v="Manik G"/>
    <m/>
    <m/>
    <m/>
    <m/>
    <m/>
    <m/>
    <m/>
    <m/>
    <m/>
    <n v="0"/>
    <m/>
  </r>
  <r>
    <x v="47"/>
    <s v="OTR OOTA"/>
    <x v="2"/>
    <x v="0"/>
    <s v="Complete Schematic concept"/>
    <n v="2.0043571200000002E-2"/>
    <n v="1"/>
    <m/>
    <m/>
    <m/>
    <m/>
    <m/>
    <m/>
    <m/>
    <m/>
    <m/>
    <m/>
    <m/>
    <m/>
    <m/>
    <n v="0"/>
    <n v="0"/>
  </r>
  <r>
    <x v="47"/>
    <s v="OTR OOTA"/>
    <x v="2"/>
    <x v="2"/>
    <s v="LoD 200 - Schematic Concept"/>
    <n v="2.0043571200000002E-2"/>
    <n v="1"/>
    <m/>
    <m/>
    <m/>
    <s v="Prakash C"/>
    <s v="Theja"/>
    <s v="-"/>
    <m/>
    <s v="Samyukta"/>
    <m/>
    <n v="0"/>
    <m/>
    <m/>
    <m/>
    <n v="0"/>
    <m/>
  </r>
  <r>
    <x v="47"/>
    <s v="OTR OOTA"/>
    <x v="3"/>
    <x v="0"/>
    <s v="Complete Approvals"/>
    <n v="1.1274508799999999E-2"/>
    <n v="2"/>
    <m/>
    <m/>
    <m/>
    <m/>
    <m/>
    <m/>
    <m/>
    <m/>
    <m/>
    <m/>
    <m/>
    <m/>
    <m/>
    <n v="0"/>
    <n v="0"/>
  </r>
  <r>
    <x v="47"/>
    <s v="OTR OOTA"/>
    <x v="3"/>
    <x v="3"/>
    <s v="LoD 200 - Schematic Concept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3"/>
    <x v="3"/>
    <s v="Approvals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4"/>
    <x v="0"/>
    <s v="Complete Approvals"/>
    <n v="9.3954239999999994E-3"/>
    <n v="2"/>
    <m/>
    <m/>
    <m/>
    <m/>
    <m/>
    <m/>
    <m/>
    <m/>
    <m/>
    <m/>
    <m/>
    <m/>
    <m/>
    <n v="0"/>
    <n v="0"/>
  </r>
  <r>
    <x v="47"/>
    <s v="OTR OOTA"/>
    <x v="4"/>
    <x v="3"/>
    <s v="LoD 200 - Schematic Concept"/>
    <n v="4.6977119999999997E-3"/>
    <n v="1"/>
    <m/>
    <m/>
    <m/>
    <s v="Gagan"/>
    <s v="Lajja"/>
    <s v="Anisha"/>
    <m/>
    <m/>
    <m/>
    <m/>
    <m/>
    <m/>
    <m/>
    <n v="0"/>
    <m/>
  </r>
  <r>
    <x v="47"/>
    <s v="OTR OOTA"/>
    <x v="4"/>
    <x v="3"/>
    <s v="Approvals"/>
    <n v="4.6977119999999997E-3"/>
    <n v="1"/>
    <m/>
    <m/>
    <m/>
    <s v="Gagan"/>
    <s v="Lajja"/>
    <s v="Anisha"/>
    <m/>
    <m/>
    <m/>
    <m/>
    <m/>
    <m/>
    <m/>
    <n v="0"/>
    <m/>
  </r>
  <r>
    <x v="48"/>
    <s v="BiG"/>
    <x v="0"/>
    <x v="0"/>
    <s v="Package Release"/>
    <n v="12.866682799999998"/>
    <n v="14"/>
    <m/>
    <m/>
    <m/>
    <m/>
    <m/>
    <m/>
    <m/>
    <m/>
    <m/>
    <m/>
    <m/>
    <m/>
    <m/>
    <n v="0"/>
    <n v="0"/>
  </r>
  <r>
    <x v="48"/>
    <s v="BiG"/>
    <x v="1"/>
    <x v="0"/>
    <s v="LoD 300 - Pre Construction Set"/>
    <n v="8.5345999999999993"/>
    <n v="6"/>
    <m/>
    <m/>
    <m/>
    <m/>
    <s v="To be shared - Om Prakash"/>
    <m/>
    <m/>
    <m/>
    <m/>
    <m/>
    <m/>
    <m/>
    <m/>
    <n v="0"/>
    <n v="0"/>
  </r>
  <r>
    <x v="48"/>
    <s v="BiG"/>
    <x v="1"/>
    <x v="4"/>
    <s v="LoD 200 - Schematic Concept .v7 [Rework]"/>
    <n v="3.3116500000000002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Approvals"/>
    <n v="1.6558250000000001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LoD 300 - Pre Construction Set "/>
    <n v="3.31"/>
    <n v="1"/>
    <m/>
    <m/>
    <m/>
    <s v="Naveen Y"/>
    <s v="Naveen KL"/>
    <s v="Aswin J"/>
    <m/>
    <m/>
    <m/>
    <m/>
    <m/>
    <m/>
    <m/>
    <n v="0"/>
    <m/>
  </r>
  <r>
    <x v="48"/>
    <s v="BiG"/>
    <x v="1"/>
    <x v="6"/>
    <s v="LoD 200 - Schematic Concept - CH"/>
    <n v="0.10475000000000001"/>
    <n v="1"/>
    <m/>
    <m/>
    <m/>
    <s v="Om Prakash"/>
    <m/>
    <m/>
    <m/>
    <m/>
    <m/>
    <m/>
    <m/>
    <m/>
    <m/>
    <n v="0"/>
    <m/>
  </r>
  <r>
    <x v="48"/>
    <s v="BiG"/>
    <x v="1"/>
    <x v="6"/>
    <s v="Approvals - CH"/>
    <n v="5.2375000000000005E-2"/>
    <n v="1"/>
    <m/>
    <m/>
    <m/>
    <s v="Om Prakash"/>
    <m/>
    <m/>
    <m/>
    <m/>
    <m/>
    <m/>
    <m/>
    <m/>
    <m/>
    <n v="0"/>
    <m/>
  </r>
  <r>
    <x v="48"/>
    <s v="BiG"/>
    <x v="1"/>
    <x v="6"/>
    <s v="LoD 300 - Pre Construction set - CH"/>
    <n v="0.1"/>
    <n v="1"/>
    <m/>
    <m/>
    <m/>
    <s v="Om Prakash"/>
    <m/>
    <m/>
    <m/>
    <m/>
    <m/>
    <m/>
    <m/>
    <m/>
    <m/>
    <n v="0"/>
    <m/>
  </r>
  <r>
    <x v="48"/>
    <s v="BiG"/>
    <x v="2"/>
    <x v="0"/>
    <s v="LoD 300 - Pre Construction Set"/>
    <n v="2.5364152"/>
    <n v="2"/>
    <m/>
    <m/>
    <m/>
    <m/>
    <m/>
    <m/>
    <m/>
    <m/>
    <m/>
    <m/>
    <m/>
    <m/>
    <m/>
    <n v="0"/>
    <n v="0"/>
  </r>
  <r>
    <x v="48"/>
    <s v="BiG"/>
    <x v="2"/>
    <x v="2"/>
    <s v="LoD 200 - Schematic Concept .v7 [Rework]"/>
    <n v="1.0864152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2"/>
    <x v="2"/>
    <s v="LoD 300 - Pre Construction Set "/>
    <n v="1.45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3"/>
    <x v="0"/>
    <s v="LoD 300 - Pre Construction Set"/>
    <n v="1.0047028"/>
    <n v="3"/>
    <m/>
    <m/>
    <m/>
    <m/>
    <m/>
    <m/>
    <m/>
    <m/>
    <m/>
    <m/>
    <m/>
    <m/>
    <m/>
    <n v="0"/>
    <n v="0"/>
  </r>
  <r>
    <x v="48"/>
    <s v="BiG"/>
    <x v="3"/>
    <x v="3"/>
    <s v="LoD 200 - Schematic Concept"/>
    <n v="0.40313520000000003"/>
    <n v="1"/>
    <m/>
    <m/>
    <m/>
    <s v="Gagan"/>
    <m/>
    <m/>
    <m/>
    <m/>
    <m/>
    <m/>
    <m/>
    <m/>
    <m/>
    <n v="0"/>
    <m/>
  </r>
  <r>
    <x v="48"/>
    <s v="BiG"/>
    <x v="3"/>
    <x v="3"/>
    <s v="Approvals"/>
    <n v="0.20156760000000001"/>
    <n v="1"/>
    <m/>
    <m/>
    <m/>
    <s v="Gagan"/>
    <m/>
    <m/>
    <m/>
    <m/>
    <m/>
    <m/>
    <m/>
    <m/>
    <m/>
    <n v="0"/>
    <m/>
  </r>
  <r>
    <x v="48"/>
    <s v="BiG"/>
    <x v="3"/>
    <x v="3"/>
    <s v="LoD 300 - Pre Construction Set "/>
    <n v="0.4"/>
    <n v="1"/>
    <m/>
    <m/>
    <m/>
    <s v="Gagan"/>
    <m/>
    <m/>
    <m/>
    <m/>
    <m/>
    <m/>
    <m/>
    <m/>
    <m/>
    <n v="0"/>
    <m/>
  </r>
  <r>
    <x v="48"/>
    <s v="BiG"/>
    <x v="4"/>
    <x v="0"/>
    <s v="LoD 300 - Pre Construction Set, Approvals"/>
    <n v="0.79096480000000002"/>
    <n v="3"/>
    <m/>
    <m/>
    <m/>
    <m/>
    <m/>
    <m/>
    <m/>
    <m/>
    <m/>
    <m/>
    <m/>
    <m/>
    <m/>
    <n v="0"/>
    <n v="0"/>
  </r>
  <r>
    <x v="48"/>
    <s v="BiG"/>
    <x v="4"/>
    <x v="3"/>
    <s v="LoD 200 - Schematic Concept"/>
    <n v="0.33822359999999996"/>
    <n v="1"/>
    <m/>
    <m/>
    <m/>
    <s v="Gagan"/>
    <m/>
    <m/>
    <m/>
    <m/>
    <m/>
    <m/>
    <m/>
    <m/>
    <m/>
    <n v="0"/>
    <m/>
  </r>
  <r>
    <x v="48"/>
    <s v="BiG"/>
    <x v="4"/>
    <x v="3"/>
    <s v="Approvals"/>
    <n v="0.11274119999999999"/>
    <n v="1"/>
    <m/>
    <m/>
    <m/>
    <s v="Gagan"/>
    <m/>
    <m/>
    <m/>
    <m/>
    <m/>
    <m/>
    <m/>
    <m/>
    <m/>
    <n v="0"/>
    <m/>
  </r>
  <r>
    <x v="48"/>
    <s v="BiG"/>
    <x v="4"/>
    <x v="3"/>
    <s v="LoD 300 - Pre Construction Set "/>
    <n v="0.34"/>
    <n v="1"/>
    <m/>
    <m/>
    <m/>
    <s v="Gagan"/>
    <m/>
    <m/>
    <m/>
    <m/>
    <m/>
    <m/>
    <m/>
    <m/>
    <m/>
    <n v="0"/>
    <m/>
  </r>
  <r>
    <x v="49"/>
    <s v="Varthur 52a"/>
    <x v="0"/>
    <x v="0"/>
    <s v="Package Release"/>
    <n v="18.399999999999999"/>
    <n v="1"/>
    <m/>
    <m/>
    <m/>
    <m/>
    <m/>
    <m/>
    <m/>
    <m/>
    <m/>
    <m/>
    <m/>
    <m/>
    <m/>
    <n v="0"/>
    <n v="0"/>
  </r>
  <r>
    <x v="49"/>
    <s v="Varthur 52a"/>
    <x v="1"/>
    <x v="0"/>
    <s v="LoD 100 - Contract + Design Brief"/>
    <n v="18.399999999999999"/>
    <n v="1"/>
    <m/>
    <m/>
    <m/>
    <m/>
    <m/>
    <m/>
    <m/>
    <m/>
    <m/>
    <m/>
    <m/>
    <m/>
    <m/>
    <n v="0"/>
    <n v="0"/>
  </r>
  <r>
    <x v="49"/>
    <s v="Varthur 52a"/>
    <x v="1"/>
    <x v="1"/>
    <s v="LoD 100 - Contract + Design Brief"/>
    <n v="18.399999999999999"/>
    <n v="1"/>
    <m/>
    <m/>
    <m/>
    <s v="Saji A"/>
    <s v="Ayesha"/>
    <m/>
    <m/>
    <m/>
    <m/>
    <m/>
    <m/>
    <m/>
    <m/>
    <n v="0"/>
    <m/>
  </r>
  <r>
    <x v="50"/>
    <s v="Vdrhl"/>
    <x v="0"/>
    <x v="0"/>
    <s v="Package Release"/>
    <n v="45.156697651063752"/>
    <n v="14"/>
    <m/>
    <m/>
    <m/>
    <m/>
    <m/>
    <m/>
    <m/>
    <m/>
    <m/>
    <m/>
    <m/>
    <m/>
    <m/>
    <n v="0"/>
    <n v="0"/>
  </r>
  <r>
    <x v="50"/>
    <s v="Vdrhl-Res"/>
    <x v="1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Res"/>
    <x v="1"/>
    <x v="5"/>
    <s v=" 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LoD 200 - Schematic Concept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Approvals"/>
    <n v="3.16"/>
    <n v="1"/>
    <m/>
    <m/>
    <m/>
    <s v="Cijey M"/>
    <s v="Dinakar Venugopal"/>
    <s v="Akarsh Vagman"/>
    <s v="Syed Musharaff"/>
    <m/>
    <m/>
    <m/>
    <m/>
    <m/>
    <m/>
    <n v="0"/>
    <m/>
  </r>
  <r>
    <x v="50"/>
    <s v="Vdrhl-Plotted Dev"/>
    <x v="5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Plotted Dev"/>
    <x v="5"/>
    <x v="3"/>
    <s v="LoD 100 - Contract + Design Brief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LoD 200 - Schematic Concept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Approvals"/>
    <n v="3.16"/>
    <n v="1"/>
    <m/>
    <m/>
    <m/>
    <s v="Gagan"/>
    <s v="Utpal"/>
    <s v="Amaresh"/>
    <m/>
    <m/>
    <m/>
    <m/>
    <m/>
    <m/>
    <m/>
    <n v="0"/>
    <m/>
  </r>
  <r>
    <x v="50"/>
    <s v="Vdrhl-Cmrcl"/>
    <x v="1"/>
    <x v="0"/>
    <s v="LoD 200 - Schematic Concept"/>
    <n v="5.6190376572500007"/>
    <n v="3"/>
    <m/>
    <m/>
    <m/>
    <m/>
    <m/>
    <m/>
    <m/>
    <m/>
    <m/>
    <m/>
    <m/>
    <m/>
    <m/>
    <n v="0"/>
    <n v="0"/>
  </r>
  <r>
    <x v="50"/>
    <s v="Vdrhl-Cmrcl"/>
    <x v="1"/>
    <x v="4"/>
    <s v="LoD 100 - Contract + Design Brief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LoD 200 - Schematic Concept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Approvals"/>
    <n v="2.81"/>
    <n v="1"/>
    <m/>
    <m/>
    <m/>
    <s v="Naveen Y"/>
    <m/>
    <m/>
    <m/>
    <m/>
    <m/>
    <m/>
    <m/>
    <m/>
    <m/>
    <n v="0"/>
    <m/>
  </r>
  <r>
    <x v="50"/>
    <s v="Vdrhl"/>
    <x v="2"/>
    <x v="0"/>
    <s v="LoD 200 - Schematic Concept"/>
    <n v="4.0201798335435006"/>
    <n v="1"/>
    <m/>
    <m/>
    <m/>
    <m/>
    <m/>
    <m/>
    <m/>
    <m/>
    <m/>
    <m/>
    <m/>
    <m/>
    <m/>
    <n v="0"/>
    <n v="0"/>
  </r>
  <r>
    <x v="50"/>
    <s v="Vdrhl"/>
    <x v="2"/>
    <x v="2"/>
    <s v="LoD 200 - Schematic Concept"/>
    <n v="4.0201798335435006"/>
    <n v="1"/>
    <m/>
    <m/>
    <m/>
    <s v="Prakash C"/>
    <s v="Satish"/>
    <s v="Alwin"/>
    <s v="Raghav"/>
    <s v="Darshan"/>
    <m/>
    <n v="0"/>
    <m/>
    <m/>
    <m/>
    <n v="0"/>
    <m/>
  </r>
  <r>
    <x v="50"/>
    <s v="Vdrhl"/>
    <x v="3"/>
    <x v="0"/>
    <s v="LoD 200 - Schematic Concept"/>
    <n v="2.2417648438935003"/>
    <n v="2"/>
    <m/>
    <m/>
    <m/>
    <m/>
    <m/>
    <m/>
    <m/>
    <m/>
    <m/>
    <m/>
    <m/>
    <m/>
    <m/>
    <n v="0"/>
    <n v="0"/>
  </r>
  <r>
    <x v="50"/>
    <s v="Vdrhl"/>
    <x v="3"/>
    <x v="3"/>
    <s v="LoD 200 - Schematic Concept"/>
    <n v="1.4917648438935003"/>
    <n v="1"/>
    <m/>
    <m/>
    <m/>
    <s v="Gagan"/>
    <m/>
    <m/>
    <m/>
    <m/>
    <m/>
    <m/>
    <m/>
    <m/>
    <m/>
    <n v="0"/>
    <m/>
  </r>
  <r>
    <x v="50"/>
    <s v="Vdrhl"/>
    <x v="3"/>
    <x v="3"/>
    <s v="Approvals"/>
    <n v="0.75"/>
    <n v="1"/>
    <m/>
    <m/>
    <m/>
    <s v="Gagan"/>
    <m/>
    <m/>
    <m/>
    <m/>
    <m/>
    <m/>
    <m/>
    <m/>
    <m/>
    <n v="0"/>
    <m/>
  </r>
  <r>
    <x v="50"/>
    <s v="Vdrhl"/>
    <x v="4"/>
    <x v="0"/>
    <s v="LoD 200 - Schematic Concept"/>
    <n v="1.6715654198767502"/>
    <n v="2"/>
    <m/>
    <m/>
    <m/>
    <m/>
    <m/>
    <m/>
    <m/>
    <m/>
    <m/>
    <m/>
    <m/>
    <m/>
    <m/>
    <n v="0"/>
    <n v="0"/>
  </r>
  <r>
    <x v="50"/>
    <s v="Vdrhl"/>
    <x v="4"/>
    <x v="3"/>
    <s v="LoD 200 - Schematic Concept"/>
    <n v="1.2515654198767503"/>
    <n v="1"/>
    <m/>
    <m/>
    <m/>
    <s v="Gagan"/>
    <m/>
    <m/>
    <m/>
    <m/>
    <m/>
    <m/>
    <m/>
    <m/>
    <m/>
    <n v="0"/>
    <m/>
  </r>
  <r>
    <x v="50"/>
    <s v="Vdrhl"/>
    <x v="4"/>
    <x v="3"/>
    <s v="Approvals"/>
    <n v="0.42"/>
    <n v="1"/>
    <m/>
    <m/>
    <m/>
    <s v="Gagan"/>
    <m/>
    <m/>
    <m/>
    <m/>
    <m/>
    <m/>
    <m/>
    <m/>
    <m/>
    <n v="0"/>
    <m/>
  </r>
  <r>
    <x v="51"/>
    <m/>
    <x v="0"/>
    <x v="0"/>
    <m/>
    <n v="0"/>
    <n v="14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52"/>
    <s v="ID"/>
    <x v="0"/>
    <x v="0"/>
    <s v="Package Release"/>
    <n v="3.6467839999999998"/>
    <n v="129"/>
    <m/>
    <m/>
    <m/>
    <m/>
    <m/>
    <m/>
    <m/>
    <m/>
    <m/>
    <m/>
    <m/>
    <m/>
    <m/>
    <n v="0"/>
    <n v="0"/>
  </r>
  <r>
    <x v="53"/>
    <s v="PD Launch"/>
    <x v="7"/>
    <x v="0"/>
    <m/>
    <n v="0"/>
    <n v="8"/>
    <m/>
    <m/>
    <m/>
    <m/>
    <m/>
    <m/>
    <m/>
    <m/>
    <m/>
    <m/>
    <m/>
    <m/>
    <m/>
    <n v="0"/>
    <n v="0"/>
  </r>
  <r>
    <x v="53"/>
    <s v="PD Launch"/>
    <x v="7"/>
    <x v="9"/>
    <s v="ITQE [L25] - Pending Variants "/>
    <m/>
    <n v="1"/>
    <m/>
    <m/>
    <m/>
    <m/>
    <m/>
    <m/>
    <m/>
    <m/>
    <m/>
    <m/>
    <m/>
    <m/>
    <m/>
    <n v="0"/>
    <m/>
  </r>
  <r>
    <x v="53"/>
    <s v="PD Launch"/>
    <x v="7"/>
    <x v="9"/>
    <s v="OTR [V25]"/>
    <m/>
    <n v="1"/>
    <m/>
    <m/>
    <m/>
    <m/>
    <m/>
    <m/>
    <m/>
    <m/>
    <m/>
    <m/>
    <m/>
    <m/>
    <m/>
    <n v="0"/>
    <m/>
  </r>
  <r>
    <x v="53"/>
    <s v="PD Launch"/>
    <x v="7"/>
    <x v="9"/>
    <s v="POARR [R25, D35, L20]"/>
    <m/>
    <n v="3"/>
    <m/>
    <m/>
    <m/>
    <m/>
    <m/>
    <m/>
    <m/>
    <m/>
    <m/>
    <m/>
    <m/>
    <m/>
    <m/>
    <n v="0"/>
    <m/>
  </r>
  <r>
    <x v="53"/>
    <s v="PD Launch"/>
    <x v="7"/>
    <x v="9"/>
    <s v="DBTW [I20, I25, L21]"/>
    <m/>
    <n v="3"/>
    <m/>
    <m/>
    <m/>
    <m/>
    <m/>
    <m/>
    <m/>
    <m/>
    <m/>
    <m/>
    <m/>
    <m/>
    <m/>
    <n v="0"/>
    <m/>
  </r>
  <r>
    <x v="54"/>
    <s v="PID"/>
    <x v="7"/>
    <x v="0"/>
    <m/>
    <n v="3.0867839999999998"/>
    <n v="29"/>
    <m/>
    <m/>
    <m/>
    <m/>
    <m/>
    <m/>
    <m/>
    <m/>
    <m/>
    <m/>
    <m/>
    <m/>
    <m/>
    <n v="0"/>
    <n v="0"/>
  </r>
  <r>
    <x v="54"/>
    <s v="PID"/>
    <x v="7"/>
    <x v="8"/>
    <s v="POARR"/>
    <n v="0.349304"/>
    <n v="4"/>
    <m/>
    <m/>
    <m/>
    <m/>
    <m/>
    <m/>
    <m/>
    <m/>
    <m/>
    <m/>
    <m/>
    <m/>
    <m/>
    <n v="0"/>
    <m/>
  </r>
  <r>
    <x v="54"/>
    <s v="PID"/>
    <x v="7"/>
    <x v="1"/>
    <s v="ATR , POARR"/>
    <n v="2.2044079999999999"/>
    <n v="18"/>
    <m/>
    <m/>
    <m/>
    <m/>
    <m/>
    <m/>
    <m/>
    <m/>
    <m/>
    <m/>
    <m/>
    <m/>
    <m/>
    <n v="0"/>
    <m/>
  </r>
  <r>
    <x v="54"/>
    <s v="PID"/>
    <x v="7"/>
    <x v="9"/>
    <s v="TMD, POARR, SFTW"/>
    <n v="0.53307199999999999"/>
    <n v="7"/>
    <m/>
    <m/>
    <m/>
    <m/>
    <m/>
    <m/>
    <m/>
    <m/>
    <m/>
    <m/>
    <m/>
    <m/>
    <m/>
    <n v="0"/>
    <m/>
  </r>
  <r>
    <x v="55"/>
    <s v="PID"/>
    <x v="7"/>
    <x v="0"/>
    <m/>
    <n v="0.56000000000000005"/>
    <n v="86"/>
    <m/>
    <m/>
    <m/>
    <m/>
    <m/>
    <m/>
    <m/>
    <m/>
    <m/>
    <m/>
    <m/>
    <m/>
    <m/>
    <n v="0"/>
    <e v="#REF!"/>
  </r>
  <r>
    <x v="55"/>
    <s v="PID"/>
    <x v="7"/>
    <x v="9"/>
    <s v="ATR, POARR, ITQE, TMFT, SFTW, TMD"/>
    <n v="0.56000000000000005"/>
    <n v="86"/>
    <m/>
    <m/>
    <m/>
    <m/>
    <m/>
    <m/>
    <m/>
    <m/>
    <m/>
    <m/>
    <m/>
    <m/>
    <m/>
    <n v="0"/>
    <m/>
  </r>
  <r>
    <x v="56"/>
    <s v="PID"/>
    <x v="7"/>
    <x v="0"/>
    <m/>
    <n v="0"/>
    <n v="6"/>
    <m/>
    <m/>
    <m/>
    <m/>
    <m/>
    <m/>
    <m/>
    <m/>
    <m/>
    <m/>
    <m/>
    <m/>
    <m/>
    <n v="0"/>
    <e v="#REF!"/>
  </r>
  <r>
    <x v="56"/>
    <s v="PID"/>
    <x v="7"/>
    <x v="9"/>
    <s v="SFTW"/>
    <n v="0"/>
    <n v="6"/>
    <m/>
    <m/>
    <m/>
    <m/>
    <m/>
    <m/>
    <m/>
    <m/>
    <m/>
    <m/>
    <m/>
    <m/>
    <m/>
    <n v="0"/>
    <m/>
  </r>
  <r>
    <x v="57"/>
    <s v="IDPD"/>
    <x v="7"/>
    <x v="0"/>
    <s v="Package Release"/>
    <n v="0"/>
    <n v="12"/>
    <m/>
    <m/>
    <m/>
    <m/>
    <m/>
    <m/>
    <m/>
    <m/>
    <m/>
    <m/>
    <m/>
    <m/>
    <m/>
    <n v="0"/>
    <n v="0"/>
  </r>
  <r>
    <x v="58"/>
    <s v="Exp Homes"/>
    <x v="7"/>
    <x v="0"/>
    <m/>
    <n v="0"/>
    <n v="7"/>
    <m/>
    <m/>
    <m/>
    <m/>
    <m/>
    <m/>
    <m/>
    <m/>
    <m/>
    <m/>
    <m/>
    <m/>
    <m/>
    <n v="0"/>
    <n v="0"/>
  </r>
  <r>
    <x v="58"/>
    <s v="itqE "/>
    <x v="7"/>
    <x v="10"/>
    <s v="itqE  i20- Experience Home Furniture and Furnishing"/>
    <m/>
    <n v="1"/>
    <m/>
    <m/>
    <m/>
    <m/>
    <m/>
    <m/>
    <m/>
    <m/>
    <m/>
    <m/>
    <m/>
    <m/>
    <m/>
    <n v="0"/>
    <m/>
  </r>
  <r>
    <x v="58"/>
    <s v="itqE "/>
    <x v="7"/>
    <x v="10"/>
    <s v="itqE  i25- Experience Home Furniture and Furnishing"/>
    <m/>
    <n v="1"/>
    <m/>
    <m/>
    <m/>
    <m/>
    <m/>
    <m/>
    <m/>
    <m/>
    <m/>
    <m/>
    <m/>
    <m/>
    <m/>
    <n v="0"/>
    <m/>
  </r>
  <r>
    <x v="58"/>
    <s v="ItqE"/>
    <x v="7"/>
    <x v="10"/>
    <s v="ItqE V35-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0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D3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L21- Experience Home Furniture and Furnishing"/>
    <m/>
    <n v="1"/>
    <m/>
    <m/>
    <m/>
    <m/>
    <m/>
    <m/>
    <m/>
    <m/>
    <m/>
    <m/>
    <m/>
    <m/>
    <m/>
    <n v="0"/>
    <m/>
  </r>
  <r>
    <x v="59"/>
    <s v="PD"/>
    <x v="7"/>
    <x v="0"/>
    <m/>
    <n v="0"/>
    <n v="3"/>
    <m/>
    <m/>
    <m/>
    <m/>
    <m/>
    <m/>
    <m/>
    <m/>
    <m/>
    <m/>
    <m/>
    <m/>
    <m/>
    <n v="0"/>
    <n v="0"/>
  </r>
  <r>
    <x v="59"/>
    <s v="PD"/>
    <x v="7"/>
    <x v="10"/>
    <s v="(i) Based on Shibanee's designs-2 themes due. 1 theme namely &quot;Open Tennon theme&quot; WIP (Viveka)"/>
    <m/>
    <n v="1"/>
    <m/>
    <m/>
    <m/>
    <m/>
    <m/>
    <m/>
    <m/>
    <m/>
    <m/>
    <m/>
    <m/>
    <m/>
    <m/>
    <n v="0"/>
    <m/>
  </r>
  <r>
    <x v="59"/>
    <s v="PD"/>
    <x v="7"/>
    <x v="10"/>
    <s v="(ii) Cabinetry : Sectional sofas, Dressers, Puja Units, Bar unit, Utility, consoles, Dining, woven frames furniture theme (Viveka)"/>
    <m/>
    <n v="1"/>
    <m/>
    <m/>
    <m/>
    <m/>
    <m/>
    <m/>
    <m/>
    <m/>
    <m/>
    <m/>
    <m/>
    <m/>
    <m/>
    <n v="0"/>
    <m/>
  </r>
  <r>
    <x v="59"/>
    <s v="PD"/>
    <x v="7"/>
    <x v="10"/>
    <s v="Project Entrance gate (Sushan)"/>
    <m/>
    <n v="1"/>
    <m/>
    <m/>
    <m/>
    <m/>
    <m/>
    <m/>
    <m/>
    <m/>
    <m/>
    <m/>
    <m/>
    <m/>
    <m/>
    <n v="0"/>
    <m/>
  </r>
  <r>
    <x v="60"/>
    <s v="PD"/>
    <x v="7"/>
    <x v="0"/>
    <m/>
    <n v="0"/>
    <n v="1"/>
    <m/>
    <m/>
    <m/>
    <m/>
    <m/>
    <m/>
    <m/>
    <m/>
    <m/>
    <m/>
    <m/>
    <m/>
    <m/>
    <n v="0"/>
    <n v="0"/>
  </r>
  <r>
    <x v="60"/>
    <s v="PD"/>
    <x v="7"/>
    <x v="10"/>
    <s v="Soft furnishing for all experience homes except V35"/>
    <m/>
    <n v="1"/>
    <m/>
    <m/>
    <m/>
    <m/>
    <m/>
    <m/>
    <m/>
    <m/>
    <m/>
    <m/>
    <m/>
    <m/>
    <m/>
    <n v="0"/>
    <m/>
  </r>
  <r>
    <x v="54"/>
    <s v="PID"/>
    <x v="7"/>
    <x v="0"/>
    <m/>
    <n v="0"/>
    <n v="1"/>
    <m/>
    <m/>
    <m/>
    <m/>
    <m/>
    <m/>
    <m/>
    <m/>
    <m/>
    <m/>
    <m/>
    <m/>
    <m/>
    <n v="0"/>
    <n v="0"/>
  </r>
  <r>
    <x v="54"/>
    <s v="PoaRR"/>
    <x v="7"/>
    <x v="10"/>
    <s v="Villa 18 - Store selections"/>
    <m/>
    <n v="1"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A46-A386-4CCD-81A8-8098FE1BD65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85" firstHeaderRow="0" firstDataRow="1" firstDataCol="1"/>
  <pivotFields count="22">
    <pivotField axis="axisRow" showAll="0">
      <items count="62">
        <item x="2"/>
        <item x="3"/>
        <item x="48"/>
        <item x="42"/>
        <item x="12"/>
        <item x="20"/>
        <item x="21"/>
        <item x="38"/>
        <item x="46"/>
        <item x="18"/>
        <item x="7"/>
        <item x="8"/>
        <item x="9"/>
        <item x="31"/>
        <item x="26"/>
        <item x="45"/>
        <item x="14"/>
        <item x="16"/>
        <item x="15"/>
        <item x="27"/>
        <item x="17"/>
        <item x="1"/>
        <item x="24"/>
        <item x="19"/>
        <item x="47"/>
        <item x="10"/>
        <item x="29"/>
        <item x="5"/>
        <item x="6"/>
        <item x="25"/>
        <item x="36"/>
        <item x="34"/>
        <item x="32"/>
        <item x="13"/>
        <item x="23"/>
        <item x="39"/>
        <item x="37"/>
        <item x="35"/>
        <item x="33"/>
        <item x="4"/>
        <item x="30"/>
        <item x="44"/>
        <item x="43"/>
        <item x="11"/>
        <item x="50"/>
        <item x="49"/>
        <item x="22"/>
        <item x="40"/>
        <item x="41"/>
        <item x="0"/>
        <item x="28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9">
        <item x="6"/>
        <item x="1"/>
        <item x="4"/>
        <item x="5"/>
        <item x="3"/>
        <item x="2"/>
        <item x="0"/>
        <item x="7"/>
        <item t="default"/>
      </items>
    </pivotField>
    <pivotField axis="axisRow" showAll="0">
      <items count="15">
        <item x="8"/>
        <item x="5"/>
        <item x="3"/>
        <item x="7"/>
        <item x="4"/>
        <item x="6"/>
        <item x="2"/>
        <item x="1"/>
        <item h="1" x="0"/>
        <item m="1" x="11"/>
        <item m="1" x="12"/>
        <item m="1" x="13"/>
        <item x="10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0"/>
  </rowFields>
  <rowItems count="182">
    <i>
      <x/>
    </i>
    <i r="1">
      <x v="1"/>
    </i>
    <i r="2">
      <x v="6"/>
    </i>
    <i r="2">
      <x v="22"/>
    </i>
    <i r="2">
      <x v="34"/>
    </i>
    <i r="2">
      <x v="43"/>
    </i>
    <i r="2">
      <x v="46"/>
    </i>
    <i r="1">
      <x v="7"/>
    </i>
    <i r="2">
      <x v="54"/>
    </i>
    <i>
      <x v="1"/>
    </i>
    <i r="1">
      <x v="1"/>
    </i>
    <i r="2">
      <x v="11"/>
    </i>
    <i r="2">
      <x v="12"/>
    </i>
    <i r="2">
      <x v="13"/>
    </i>
    <i r="2">
      <x v="17"/>
    </i>
    <i r="2">
      <x v="20"/>
    </i>
    <i r="2">
      <x v="23"/>
    </i>
    <i r="2">
      <x v="25"/>
    </i>
    <i r="2">
      <x v="26"/>
    </i>
    <i r="2">
      <x v="38"/>
    </i>
    <i r="2">
      <x v="44"/>
    </i>
    <i>
      <x v="2"/>
    </i>
    <i r="1">
      <x v="2"/>
    </i>
    <i r="2">
      <x/>
    </i>
    <i r="2">
      <x v="2"/>
    </i>
    <i r="2">
      <x v="7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 r="1">
      <x v="3"/>
    </i>
    <i r="2">
      <x v="7"/>
    </i>
    <i r="2">
      <x v="15"/>
    </i>
    <i r="2">
      <x v="35"/>
    </i>
    <i r="2">
      <x v="44"/>
    </i>
    <i r="2">
      <x v="47"/>
    </i>
    <i r="2">
      <x v="48"/>
    </i>
    <i r="1">
      <x v="4"/>
    </i>
    <i r="2">
      <x/>
    </i>
    <i r="2">
      <x v="1"/>
    </i>
    <i r="2">
      <x v="2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>
      <x v="3"/>
    </i>
    <i r="1">
      <x v="1"/>
    </i>
    <i r="2">
      <x v="9"/>
    </i>
    <i r="2">
      <x v="18"/>
    </i>
    <i r="2">
      <x v="24"/>
    </i>
    <i r="1">
      <x v="2"/>
    </i>
    <i r="2">
      <x v="18"/>
    </i>
    <i r="1">
      <x v="4"/>
    </i>
    <i r="2">
      <x v="18"/>
    </i>
    <i r="1">
      <x v="5"/>
    </i>
    <i r="2">
      <x v="18"/>
    </i>
    <i>
      <x v="4"/>
    </i>
    <i r="1">
      <x v="1"/>
    </i>
    <i r="2">
      <x v="1"/>
    </i>
    <i r="2">
      <x v="2"/>
    </i>
    <i r="2">
      <x v="8"/>
    </i>
    <i r="2">
      <x v="15"/>
    </i>
    <i r="2">
      <x v="36"/>
    </i>
    <i r="2">
      <x v="37"/>
    </i>
    <i r="2">
      <x v="44"/>
    </i>
    <i r="1">
      <x v="3"/>
    </i>
    <i r="2">
      <x v="22"/>
    </i>
    <i>
      <x v="5"/>
    </i>
    <i r="1">
      <x v="1"/>
    </i>
    <i r="2">
      <x v="2"/>
    </i>
    <i r="2">
      <x v="3"/>
    </i>
    <i r="2">
      <x v="4"/>
    </i>
    <i r="2">
      <x v="7"/>
    </i>
    <i r="2">
      <x v="16"/>
    </i>
    <i r="2">
      <x v="22"/>
    </i>
    <i r="2">
      <x v="26"/>
    </i>
    <i r="2">
      <x v="33"/>
    </i>
    <i r="2">
      <x v="35"/>
    </i>
    <i r="2">
      <x v="38"/>
    </i>
    <i r="2">
      <x v="40"/>
    </i>
    <i r="2">
      <x v="43"/>
    </i>
    <i r="2">
      <x v="47"/>
    </i>
    <i r="2">
      <x v="50"/>
    </i>
    <i>
      <x v="6"/>
    </i>
    <i r="1">
      <x v="5"/>
    </i>
    <i r="2">
      <x/>
    </i>
    <i r="2">
      <x v="1"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7"/>
    </i>
    <i r="2">
      <x v="48"/>
    </i>
    <i r="2">
      <x v="50"/>
    </i>
    <i>
      <x v="7"/>
    </i>
    <i r="1">
      <x v="1"/>
    </i>
    <i r="2">
      <x/>
    </i>
    <i r="2">
      <x v="27"/>
    </i>
    <i r="2">
      <x v="28"/>
    </i>
    <i r="2">
      <x v="41"/>
    </i>
    <i r="2">
      <x v="45"/>
    </i>
    <i r="1">
      <x v="7"/>
    </i>
    <i r="2">
      <x v="54"/>
    </i>
    <i>
      <x v="12"/>
    </i>
    <i r="1">
      <x v="7"/>
    </i>
    <i r="2">
      <x v="54"/>
    </i>
    <i r="2">
      <x v="58"/>
    </i>
    <i r="2">
      <x v="59"/>
    </i>
    <i r="2">
      <x v="60"/>
    </i>
    <i>
      <x v="13"/>
    </i>
    <i r="1">
      <x v="7"/>
    </i>
    <i r="2">
      <x v="53"/>
    </i>
    <i r="2">
      <x v="54"/>
    </i>
    <i r="2">
      <x v="55"/>
    </i>
    <i r="2"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3" baseItem="0"/>
  </dataFields>
  <formats count="41">
    <format dxfId="49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48">
      <pivotArea collapsedLevelsAreSubtotals="1" fieldPosition="0">
        <references count="3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3" count="1" selected="0">
            <x v="1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9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2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0"/>
          </reference>
          <reference field="0" count="3">
            <x v="9"/>
            <x v="18"/>
            <x v="24"/>
          </reference>
          <reference field="3" count="1" selected="0">
            <x v="3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0"/>
          </reference>
          <reference field="0" count="8">
            <x v="1"/>
            <x v="2"/>
            <x v="8"/>
            <x v="15"/>
            <x v="22"/>
            <x v="36"/>
            <x v="37"/>
            <x v="44"/>
          </reference>
          <reference field="3" count="1" selected="0">
            <x v="4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3" count="1" selected="0">
            <x v="5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6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3" count="1" selected="0">
            <x v="7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39">
      <pivotArea collapsedLevelsAreSubtotals="1" fieldPosition="0">
        <references count="4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2" count="1" selected="0">
            <x v="1"/>
          </reference>
          <reference field="3" count="1" selected="0">
            <x v="1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37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36">
      <pivotArea collapsedLevelsAreSubtotals="1" fieldPosition="0">
        <references count="4">
          <reference field="4294967294" count="1" selected="0">
            <x v="0"/>
          </reference>
          <reference field="0" count="23">
            <x v="0"/>
            <x v="2"/>
            <x v="7"/>
            <x v="8"/>
            <x v="9"/>
            <x v="15"/>
            <x v="16"/>
            <x v="17"/>
            <x v="20"/>
            <x v="22"/>
            <x v="23"/>
            <x v="24"/>
            <x v="26"/>
            <x v="27"/>
            <x v="28"/>
            <x v="35"/>
            <x v="36"/>
            <x v="37"/>
            <x v="38"/>
            <x v="40"/>
            <x v="44"/>
            <x v="47"/>
            <x v="48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35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34">
      <pivotArea collapsedLevelsAreSubtotals="1" fieldPosition="0">
        <references count="4">
          <reference field="4294967294" count="1" selected="0">
            <x v="0"/>
          </reference>
          <reference field="0" count="6">
            <x v="7"/>
            <x v="15"/>
            <x v="35"/>
            <x v="44"/>
            <x v="47"/>
            <x v="48"/>
          </reference>
          <reference field="2" count="1" selected="0">
            <x v="3"/>
          </reference>
          <reference field="3" count="1" selected="0">
            <x v="2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32">
      <pivotArea collapsedLevelsAreSubtotals="1" fieldPosition="0">
        <references count="4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11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29">
      <pivotArea collapsedLevelsAreSubtotals="1" fieldPosition="0">
        <references count="4">
          <reference field="4294967294" count="1" selected="0">
            <x v="0"/>
          </reference>
          <reference field="0" count="3">
            <x v="9"/>
            <x v="18"/>
            <x v="24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28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27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26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3"/>
          </reference>
        </references>
      </pivotArea>
    </format>
    <format dxfId="25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3"/>
          </reference>
        </references>
      </pivotArea>
    </format>
    <format dxfId="23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5"/>
          </reference>
          <reference field="3" count="1" selected="0">
            <x v="3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20">
      <pivotArea collapsedLevelsAreSubtotals="1" fieldPosition="0">
        <references count="4">
          <reference field="4294967294" count="1" selected="0">
            <x v="0"/>
          </reference>
          <reference field="0" count="7">
            <x v="1"/>
            <x v="2"/>
            <x v="8"/>
            <x v="15"/>
            <x v="36"/>
            <x v="37"/>
            <x v="44"/>
          </reference>
          <reference field="2" count="1" selected="0">
            <x v="1"/>
          </reference>
          <reference field="3" count="1" selected="0">
            <x v="4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4"/>
          </reference>
        </references>
      </pivotArea>
    </format>
    <format dxfId="18">
      <pivotArea collapsedLevelsAreSubtotals="1" fieldPosition="0">
        <references count="4">
          <reference field="4294967294" count="1" selected="0">
            <x v="0"/>
          </reference>
          <reference field="0" count="1">
            <x v="22"/>
          </reference>
          <reference field="2" count="1" selected="0">
            <x v="3"/>
          </reference>
          <reference field="3" count="1" selected="0">
            <x v="4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15">
      <pivotArea collapsedLevelsAreSubtotals="1" fieldPosition="0">
        <references count="4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2" count="1" selected="0">
            <x v="1"/>
          </reference>
          <reference field="3" count="1" selected="0">
            <x v="5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12">
      <pivotArea collapsedLevelsAreSubtotals="1" fieldPosition="0">
        <references count="4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5"/>
          </reference>
          <reference field="3" count="1" selected="0">
            <x v="6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9">
      <pivotArea collapsedLevelsAreSubtotals="1" fieldPosition="0">
        <references count="4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2" count="1" selected="0">
            <x v="1"/>
          </reference>
          <reference field="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66E3B-3E7D-4492-825A-5EEC9AABBCEF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D12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h="1" x="6"/>
        <item sd="0" x="1"/>
        <item x="4"/>
        <item x="5"/>
        <item x="3"/>
        <item x="2"/>
        <item h="1" x="0"/>
        <item t="default"/>
      </items>
    </pivotField>
    <pivotField axis="axisRow" multipleItemSelectionAllowed="1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sd="0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2" baseItem="1"/>
  </dataFields>
  <formats count="8">
    <format dxfId="8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1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F68-9D62-41EC-AEE9-8AE863EA514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1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n - Pkgs" fld="6" subtotal="count" baseField="0" baseItem="45"/>
    <dataField name="Sum of Plan - Billing [Cr.]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8" dT="2025-11-27T06:35:13.62" personId="{AA016EAC-4E38-46F6-8C64-E9600C4565EA}" id="{DB337057-06F1-4B66-9ECE-A007847C1078}">
    <text>Package is closed</text>
  </threadedComment>
  <threadedComment ref="H28" dT="2025-11-27T06:35:13.62" personId="{AA016EAC-4E38-46F6-8C64-E9600C4565EA}" id="{E77D86A4-50BF-4A06-BDC2-BA07CAA219A2}">
    <text>Package is closed</text>
  </threadedComment>
  <threadedComment ref="V28" dT="2025-11-27T06:35:13.62" personId="{AA016EAC-4E38-46F6-8C64-E9600C4565EA}" id="{1F39D08B-08E9-43AA-B474-8F5CB2CCB757}">
    <text>Package is closed</text>
  </threadedComment>
  <threadedComment ref="W28" dT="2025-11-27T06:35:13.62" personId="{AA016EAC-4E38-46F6-8C64-E9600C4565EA}" id="{6F64DA55-8B96-44FC-B3E4-7BA6464DD8E4}">
    <text>Package is closed</text>
  </threadedComment>
  <threadedComment ref="V53" dT="2025-11-27T06:35:13.62" personId="{AA016EAC-4E38-46F6-8C64-E9600C4565EA}" id="{79E0A4E2-C8DF-4F97-9C28-1AA3B1F6605C}">
    <text>Package is closed</text>
  </threadedComment>
  <threadedComment ref="W53" dT="2025-11-27T06:35:13.62" personId="{AA016EAC-4E38-46F6-8C64-E9600C4565EA}" id="{A7D47CFF-EABB-4C97-B4A6-4A5474450689}">
    <text>Package is closed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80" dT="2026-07-06T11:16:41.33" personId="{AA016EAC-4E38-46F6-8C64-E9600C4565EA}" id="{9F0DF0C1-356E-4AF8-BDBC-52E03BC7E211}">
    <text>North boundary wall
FEATURE WALL &amp; TYPICAL STRUCTURAL DETAILS</text>
  </threadedComment>
  <threadedComment ref="F81" dT="2026-07-06T11:18:22.97" personId="{AA016EAC-4E38-46F6-8C64-E9600C4565EA}" id="{8911E649-F1AD-45A7-9667-4924A2C8E96A}">
    <text>WTP upstand details
OWC metal structural details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90" dT="2025-11-27T06:37:27.70" personId="{AA016EAC-4E38-46F6-8C64-E9600C4565EA}" id="{F64B4A8E-A64E-4E94-9C1A-63A592DC61AB}">
    <text>Package is closed</text>
  </threadedComment>
  <threadedComment ref="F90" dT="2026-04-07T05:56:49.94" personId="{56F157AF-845F-450E-A7BB-92D4E105C2E5}" id="{BC7E5DE5-ACF7-4F87-99A7-BC265F881DCF}" parentId="{F64B4A8E-A64E-4E94-9C1A-63A592DC61AB}">
    <text>Play equipment finalisation pending</text>
  </threadedComment>
  <threadedComment ref="H91" dT="2025-11-27T06:35:13.62" personId="{AA016EAC-4E38-46F6-8C64-E9600C4565EA}" id="{03B1E328-2DF0-4273-9287-C46922FEFD8F}">
    <text>Package is closed</text>
  </threadedComment>
  <threadedComment ref="K91" dT="2025-11-27T06:35:13.62" personId="{AA016EAC-4E38-46F6-8C64-E9600C4565EA}" id="{8D596329-8DFB-4FF2-B694-1EB188DEC5A9}">
    <text>Package is closed</text>
  </threadedComment>
  <threadedComment ref="F314" dT="2026-04-07T06:48:23.26" personId="{B58F46C1-A806-4907-99C0-A92A2BB89B48}" id="{82D1002B-2104-41D8-B7A2-4BFA287E9693}">
    <text xml:space="preserve">Architects needs to confirm, how to proceed with the service platform covering and upstand design.
Applicable for all i-towers
</text>
  </threadedComment>
  <threadedComment ref="F316" dT="2026-04-07T06:48:26.65" personId="{B58F46C1-A806-4907-99C0-A92A2BB89B48}" id="{226E484F-C53C-426D-9008-29A02EB0B6EC}">
    <text xml:space="preserve">Applicable for all i-towers
</text>
  </threadedComment>
  <threadedComment ref="F322" dT="2026-04-07T06:48:43.42" personId="{B58F46C1-A806-4907-99C0-A92A2BB89B48}" id="{43D14BDC-5517-4279-8658-06240648DE73}">
    <text>Area kept on hold to be released.</text>
  </threadedComment>
  <threadedComment ref="F330" dT="2026-04-07T08:52:20.18" personId="{B58F46C1-A806-4907-99C0-A92A2BB89B48}" id="{76FB35FF-E7CD-4CE1-8CC6-A7E2D37EBBE3}">
    <text xml:space="preserve">External lighting layout awaited from Architect and landscape team. 
Centralized chiller details awaited from Renew Consultant 
</text>
  </threadedComment>
  <threadedComment ref="F623" dT="2025-10-06T06:28:48.98" personId="{AA016EAC-4E38-46F6-8C64-E9600C4565EA}" id="{4EB3628E-9745-4226-9E68-C0637293C0C1}">
    <text>Based on MOU signoff</text>
  </threadedComment>
  <threadedComment ref="F629" dT="2025-10-06T06:28:48.98" personId="{AA016EAC-4E38-46F6-8C64-E9600C4565EA}" id="{0CC11B79-8E74-49CD-9B25-59036079C984}">
    <text>Based on MOU signoff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A16F5B4F-A10E-4381-9C78-4B0F34574199}">
    <text>Package is closed</text>
  </threadedComment>
  <threadedComment ref="H70" dT="2025-11-27T06:35:13.62" personId="{AA016EAC-4E38-46F6-8C64-E9600C4565EA}" id="{6D77810A-61D5-45AA-93F2-3872D2F9A367}">
    <text>Package is closed</text>
  </threadedComment>
  <threadedComment ref="V70" dT="2025-11-27T06:35:13.62" personId="{AA016EAC-4E38-46F6-8C64-E9600C4565EA}" id="{08200338-8E2C-48AB-AD2E-611483589BCB}">
    <text>Package is closed</text>
  </threadedComment>
  <threadedComment ref="W70" dT="2025-11-27T06:35:13.62" personId="{AA016EAC-4E38-46F6-8C64-E9600C4565EA}" id="{5D4FDC93-DD44-43BA-B614-D1DA8B433146}">
    <text>Package is closed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Relationship Id="rId5" Type="http://schemas.microsoft.com/office/2019/04/relationships/namedSheetView" Target="../namedSheetViews/namedSheetView9.xml"/><Relationship Id="rId4" Type="http://schemas.microsoft.com/office/2017/10/relationships/threadedComment" Target="../threadedComments/threadedComment4.xml"/></Relationships>
</file>

<file path=xl/worksheets/_rels/sheet1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1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Relationship Id="rId5" Type="http://schemas.microsoft.com/office/2019/04/relationships/namedSheetView" Target="../namedSheetViews/namedSheetView12.xml"/><Relationship Id="rId4" Type="http://schemas.microsoft.com/office/2017/10/relationships/threadedComment" Target="../threadedComments/threadedComment5.xml"/></Relationships>
</file>

<file path=xl/worksheets/_rels/sheet2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Relationship Id="rId5" Type="http://schemas.microsoft.com/office/2019/04/relationships/namedSheetView" Target="../namedSheetViews/namedSheetView14.xml"/><Relationship Id="rId4" Type="http://schemas.microsoft.com/office/2017/10/relationships/threadedComment" Target="../threadedComments/threadedComment6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Relationship Id="rId5" Type="http://schemas.microsoft.com/office/2019/04/relationships/namedSheetView" Target="../namedSheetViews/namedSheetView15.xml"/><Relationship Id="rId4" Type="http://schemas.microsoft.com/office/2017/10/relationships/threadedComment" Target="../threadedComments/threadedComment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Relationship Id="rId5" Type="http://schemas.microsoft.com/office/2019/04/relationships/namedSheetView" Target="../namedSheetViews/namedSheetView16.xml"/><Relationship Id="rId4" Type="http://schemas.microsoft.com/office/2017/10/relationships/threadedComment" Target="../threadedComments/threadedComment8.xml"/></Relationships>
</file>

<file path=xl/worksheets/_rels/sheet2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7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8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21.xml"/><Relationship Id="rId5" Type="http://schemas.openxmlformats.org/officeDocument/2006/relationships/printerSettings" Target="../printerSettings/printerSettings26.bin"/><Relationship Id="rId4" Type="http://schemas.openxmlformats.org/officeDocument/2006/relationships/hyperlink" Target="mailto:TEHPL@various%20locations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0.bin"/><Relationship Id="rId5" Type="http://schemas.microsoft.com/office/2019/04/relationships/namedSheetView" Target="../namedSheetViews/namedSheetView25.xml"/><Relationship Id="rId4" Type="http://schemas.microsoft.com/office/2017/10/relationships/threadedComment" Target="../threadedComments/threadedComment9.xml"/></Relationships>
</file>

<file path=xl/worksheets/_rels/sheet3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6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B1:G116"/>
  <sheetViews>
    <sheetView zoomScale="86" zoomScaleNormal="70" workbookViewId="0">
      <selection activeCell="C67" sqref="C67"/>
    </sheetView>
  </sheetViews>
  <sheetFormatPr defaultColWidth="8.6640625" defaultRowHeight="13.8" outlineLevelRow="2"/>
  <cols>
    <col min="1" max="1" width="1.6640625" style="506" customWidth="1"/>
    <col min="2" max="2" width="14.6640625" style="506" customWidth="1"/>
    <col min="3" max="3" width="78.44140625" style="506" customWidth="1"/>
    <col min="4" max="4" width="10.5546875" style="521" customWidth="1"/>
    <col min="5" max="5" width="12.5546875" style="521" customWidth="1"/>
    <col min="6" max="6" width="12.5546875" style="521" bestFit="1" customWidth="1"/>
    <col min="7" max="7" width="113.44140625" style="506" customWidth="1"/>
    <col min="8" max="16384" width="8.6640625" style="506"/>
  </cols>
  <sheetData>
    <row r="1" spans="2:7" s="500" customFormat="1" ht="39" customHeight="1">
      <c r="B1" s="499" t="s">
        <v>10</v>
      </c>
      <c r="C1" s="499" t="s">
        <v>402</v>
      </c>
      <c r="D1" s="499" t="s">
        <v>403</v>
      </c>
      <c r="E1" s="499" t="s">
        <v>404</v>
      </c>
      <c r="F1" s="499" t="s">
        <v>405</v>
      </c>
      <c r="G1" s="499" t="s">
        <v>406</v>
      </c>
    </row>
    <row r="2" spans="2:7" s="500" customFormat="1" ht="39" customHeight="1">
      <c r="B2" s="499"/>
      <c r="C2" s="499"/>
      <c r="D2" s="501">
        <f>SUM(D3:D115)</f>
        <v>112.68298786211534</v>
      </c>
      <c r="E2" s="502">
        <f>SUM(E3:E112)</f>
        <v>55</v>
      </c>
      <c r="F2" s="501">
        <f>SUM(F3:F112)</f>
        <v>3.5166916608190832</v>
      </c>
      <c r="G2" s="499"/>
    </row>
    <row r="3" spans="2:7">
      <c r="B3" s="554" t="s">
        <v>407</v>
      </c>
      <c r="C3" s="554" t="s">
        <v>408</v>
      </c>
      <c r="D3" s="503">
        <v>10.4</v>
      </c>
      <c r="E3" s="504"/>
      <c r="F3" s="505"/>
      <c r="G3" s="536"/>
    </row>
    <row r="4" spans="2:7">
      <c r="B4" s="554" t="s">
        <v>407</v>
      </c>
      <c r="C4" s="554" t="s">
        <v>409</v>
      </c>
      <c r="D4" s="507">
        <v>2.2000000000000002</v>
      </c>
      <c r="E4" s="508"/>
      <c r="F4" s="505"/>
      <c r="G4" s="536" t="s">
        <v>410</v>
      </c>
    </row>
    <row r="5" spans="2:7" ht="41.4">
      <c r="B5" s="554" t="s">
        <v>411</v>
      </c>
      <c r="C5" s="554" t="s">
        <v>412</v>
      </c>
      <c r="D5" s="503">
        <v>11.71</v>
      </c>
      <c r="E5" s="509"/>
      <c r="F5" s="510"/>
      <c r="G5" s="554" t="s">
        <v>413</v>
      </c>
    </row>
    <row r="6" spans="2:7" ht="27.6">
      <c r="B6" s="554" t="s">
        <v>411</v>
      </c>
      <c r="C6" s="554" t="s">
        <v>414</v>
      </c>
      <c r="D6" s="511">
        <v>1.4</v>
      </c>
      <c r="E6" s="509"/>
      <c r="F6" s="505"/>
      <c r="G6" s="554" t="s">
        <v>415</v>
      </c>
    </row>
    <row r="7" spans="2:7">
      <c r="B7" s="554" t="s">
        <v>411</v>
      </c>
      <c r="C7" s="554" t="s">
        <v>416</v>
      </c>
      <c r="D7" s="503">
        <v>0.78</v>
      </c>
      <c r="E7" s="504"/>
      <c r="F7" s="505"/>
      <c r="G7" s="536"/>
    </row>
    <row r="8" spans="2:7">
      <c r="B8" s="554" t="s">
        <v>411</v>
      </c>
      <c r="C8" s="554" t="s">
        <v>417</v>
      </c>
      <c r="D8" s="503">
        <v>13.81</v>
      </c>
      <c r="E8" s="504"/>
      <c r="F8" s="505"/>
      <c r="G8" s="428" t="s">
        <v>418</v>
      </c>
    </row>
    <row r="9" spans="2:7">
      <c r="B9" s="554" t="s">
        <v>411</v>
      </c>
      <c r="C9" s="554" t="s">
        <v>419</v>
      </c>
      <c r="D9" s="503">
        <v>0.11</v>
      </c>
      <c r="E9" s="504"/>
      <c r="F9" s="505"/>
      <c r="G9" s="536"/>
    </row>
    <row r="10" spans="2:7">
      <c r="B10" s="554" t="s">
        <v>411</v>
      </c>
      <c r="C10" s="554" t="s">
        <v>420</v>
      </c>
      <c r="D10" s="503">
        <v>1.18</v>
      </c>
      <c r="E10" s="504"/>
      <c r="F10" s="505"/>
      <c r="G10" s="554" t="s">
        <v>418</v>
      </c>
    </row>
    <row r="11" spans="2:7">
      <c r="B11" s="554" t="s">
        <v>421</v>
      </c>
      <c r="C11" s="554" t="s">
        <v>422</v>
      </c>
      <c r="D11" s="503">
        <v>0.36</v>
      </c>
      <c r="E11" s="504"/>
      <c r="F11" s="505"/>
      <c r="G11" s="536"/>
    </row>
    <row r="12" spans="2:7">
      <c r="B12" s="554" t="s">
        <v>421</v>
      </c>
      <c r="C12" s="554" t="s">
        <v>423</v>
      </c>
      <c r="D12" s="503">
        <v>0.62</v>
      </c>
      <c r="E12" s="504"/>
      <c r="F12" s="505"/>
      <c r="G12" s="536"/>
    </row>
    <row r="13" spans="2:7">
      <c r="B13" s="554" t="s">
        <v>421</v>
      </c>
      <c r="C13" s="554" t="s">
        <v>424</v>
      </c>
      <c r="D13" s="503">
        <v>14.74</v>
      </c>
      <c r="E13" s="504"/>
      <c r="F13" s="505"/>
      <c r="G13" s="428" t="s">
        <v>418</v>
      </c>
    </row>
    <row r="14" spans="2:7">
      <c r="B14" s="554" t="s">
        <v>421</v>
      </c>
      <c r="C14" s="554" t="s">
        <v>425</v>
      </c>
      <c r="D14" s="503">
        <v>2.75</v>
      </c>
      <c r="E14" s="504"/>
      <c r="F14" s="505"/>
      <c r="G14" s="422" t="s">
        <v>426</v>
      </c>
    </row>
    <row r="15" spans="2:7">
      <c r="B15" s="554" t="s">
        <v>421</v>
      </c>
      <c r="C15" s="554" t="s">
        <v>427</v>
      </c>
      <c r="D15" s="503">
        <v>1.61</v>
      </c>
      <c r="E15" s="504"/>
      <c r="F15" s="505"/>
      <c r="G15" s="536"/>
    </row>
    <row r="16" spans="2:7" s="524" customFormat="1">
      <c r="B16" s="555" t="s">
        <v>428</v>
      </c>
      <c r="C16" s="555" t="s">
        <v>429</v>
      </c>
      <c r="D16" s="505">
        <v>5.88</v>
      </c>
      <c r="E16" s="523"/>
      <c r="F16" s="522"/>
      <c r="G16" s="630" t="s">
        <v>430</v>
      </c>
    </row>
    <row r="17" spans="2:7">
      <c r="B17" s="554" t="s">
        <v>428</v>
      </c>
      <c r="C17" s="554" t="s">
        <v>431</v>
      </c>
      <c r="D17" s="503">
        <v>0.85</v>
      </c>
      <c r="E17" s="504"/>
      <c r="F17" s="505"/>
      <c r="G17" s="536"/>
    </row>
    <row r="18" spans="2:7">
      <c r="B18" s="554" t="s">
        <v>428</v>
      </c>
      <c r="C18" s="554" t="s">
        <v>432</v>
      </c>
      <c r="D18" s="503">
        <v>0.33</v>
      </c>
      <c r="E18" s="504"/>
      <c r="F18" s="505"/>
      <c r="G18" s="536" t="s">
        <v>433</v>
      </c>
    </row>
    <row r="19" spans="2:7">
      <c r="B19" s="554" t="s">
        <v>428</v>
      </c>
      <c r="C19" s="554" t="s">
        <v>434</v>
      </c>
      <c r="D19" s="503">
        <v>0.38</v>
      </c>
      <c r="E19" s="504"/>
      <c r="F19" s="505"/>
      <c r="G19" s="536"/>
    </row>
    <row r="20" spans="2:7">
      <c r="B20" s="554" t="s">
        <v>428</v>
      </c>
      <c r="C20" s="554" t="s">
        <v>435</v>
      </c>
      <c r="D20" s="503">
        <v>0.17</v>
      </c>
      <c r="E20" s="504"/>
      <c r="F20" s="505"/>
      <c r="G20" s="536"/>
    </row>
    <row r="21" spans="2:7">
      <c r="B21" s="554" t="s">
        <v>428</v>
      </c>
      <c r="C21" s="554" t="s">
        <v>436</v>
      </c>
      <c r="D21" s="503">
        <v>0.06</v>
      </c>
      <c r="E21" s="504"/>
      <c r="F21" s="505"/>
      <c r="G21" s="559" t="s">
        <v>236</v>
      </c>
    </row>
    <row r="22" spans="2:7">
      <c r="B22" s="554" t="s">
        <v>428</v>
      </c>
      <c r="C22" s="554" t="s">
        <v>437</v>
      </c>
      <c r="D22" s="503">
        <v>0.28999999999999998</v>
      </c>
      <c r="E22" s="504"/>
      <c r="F22" s="505"/>
      <c r="G22" s="406" t="s">
        <v>370</v>
      </c>
    </row>
    <row r="23" spans="2:7">
      <c r="B23" s="554" t="s">
        <v>428</v>
      </c>
      <c r="C23" s="554" t="s">
        <v>438</v>
      </c>
      <c r="D23" s="503">
        <v>0.51</v>
      </c>
      <c r="E23" s="504"/>
      <c r="F23" s="505"/>
      <c r="G23" s="536"/>
    </row>
    <row r="24" spans="2:7">
      <c r="B24" s="554" t="s">
        <v>439</v>
      </c>
      <c r="C24" s="554" t="s">
        <v>440</v>
      </c>
      <c r="D24" s="503">
        <v>4.0000000000000001E-3</v>
      </c>
      <c r="E24" s="504"/>
      <c r="F24" s="505"/>
      <c r="G24" s="536"/>
    </row>
    <row r="25" spans="2:7">
      <c r="B25" s="554" t="s">
        <v>439</v>
      </c>
      <c r="C25" s="554" t="s">
        <v>441</v>
      </c>
      <c r="D25" s="503">
        <v>0.7</v>
      </c>
      <c r="E25" s="504"/>
      <c r="F25" s="505"/>
      <c r="G25" s="536"/>
    </row>
    <row r="26" spans="2:7">
      <c r="B26" s="554" t="s">
        <v>439</v>
      </c>
      <c r="C26" s="512" t="s">
        <v>442</v>
      </c>
      <c r="D26" s="503"/>
      <c r="E26" s="504"/>
      <c r="F26" s="505"/>
      <c r="G26" s="536"/>
    </row>
    <row r="27" spans="2:7">
      <c r="B27" s="554" t="s">
        <v>439</v>
      </c>
      <c r="C27" s="554" t="s">
        <v>443</v>
      </c>
      <c r="D27" s="503">
        <v>0.15</v>
      </c>
      <c r="E27" s="504"/>
      <c r="F27" s="505"/>
      <c r="G27" s="536"/>
    </row>
    <row r="28" spans="2:7">
      <c r="B28" s="536"/>
      <c r="C28" s="554"/>
      <c r="D28" s="503"/>
      <c r="E28" s="504"/>
      <c r="F28" s="505"/>
      <c r="G28" s="536"/>
    </row>
    <row r="29" spans="2:7">
      <c r="B29" s="513" t="s">
        <v>444</v>
      </c>
      <c r="C29" s="513" t="s">
        <v>445</v>
      </c>
      <c r="D29" s="514">
        <f>SUM(D30:D34)</f>
        <v>0</v>
      </c>
      <c r="E29" s="504"/>
      <c r="F29" s="505"/>
      <c r="G29" s="536"/>
    </row>
    <row r="30" spans="2:7" s="518" customFormat="1" ht="14.4" outlineLevel="2">
      <c r="B30" s="536" t="s">
        <v>263</v>
      </c>
      <c r="C30" s="557" t="s">
        <v>446</v>
      </c>
      <c r="D30" s="503"/>
      <c r="E30" s="504"/>
      <c r="F30" s="516"/>
      <c r="G30" s="557" t="s">
        <v>447</v>
      </c>
    </row>
    <row r="31" spans="2:7" s="518" customFormat="1" ht="14.4" outlineLevel="2">
      <c r="B31" s="536" t="s">
        <v>263</v>
      </c>
      <c r="C31" s="557" t="s">
        <v>448</v>
      </c>
      <c r="D31" s="503"/>
      <c r="E31" s="504"/>
      <c r="F31" s="516"/>
      <c r="G31" s="557" t="s">
        <v>449</v>
      </c>
    </row>
    <row r="32" spans="2:7" s="518" customFormat="1" ht="14.4" outlineLevel="2">
      <c r="B32" s="536" t="s">
        <v>263</v>
      </c>
      <c r="C32" s="557" t="s">
        <v>450</v>
      </c>
      <c r="D32" s="503"/>
      <c r="E32" s="504"/>
      <c r="F32" s="516"/>
      <c r="G32" s="557" t="s">
        <v>451</v>
      </c>
    </row>
    <row r="33" spans="2:7" s="518" customFormat="1" ht="14.4" outlineLevel="2">
      <c r="B33" s="536" t="s">
        <v>263</v>
      </c>
      <c r="C33" s="557" t="s">
        <v>452</v>
      </c>
      <c r="D33" s="503"/>
      <c r="E33" s="504"/>
      <c r="F33" s="516"/>
      <c r="G33" s="517"/>
    </row>
    <row r="34" spans="2:7" s="518" customFormat="1" ht="14.4" outlineLevel="2">
      <c r="B34" s="536" t="s">
        <v>263</v>
      </c>
      <c r="C34" s="557" t="s">
        <v>453</v>
      </c>
      <c r="D34" s="503"/>
      <c r="E34" s="504"/>
      <c r="F34" s="516"/>
      <c r="G34" s="517"/>
    </row>
    <row r="35" spans="2:7">
      <c r="B35" s="536"/>
      <c r="C35" s="536"/>
      <c r="D35" s="503"/>
      <c r="E35" s="504"/>
      <c r="F35" s="505"/>
      <c r="G35" s="536"/>
    </row>
    <row r="36" spans="2:7" s="518" customFormat="1" ht="14.4" outlineLevel="2">
      <c r="B36" s="536" t="s">
        <v>26</v>
      </c>
      <c r="C36" s="557" t="s">
        <v>454</v>
      </c>
      <c r="D36" s="519">
        <v>0.01</v>
      </c>
      <c r="E36" s="504"/>
      <c r="F36" s="505"/>
      <c r="G36" s="517"/>
    </row>
    <row r="37" spans="2:7" s="518" customFormat="1" ht="14.4" outlineLevel="2">
      <c r="B37" s="536" t="s">
        <v>26</v>
      </c>
      <c r="C37" s="557" t="s">
        <v>455</v>
      </c>
      <c r="D37" s="519">
        <v>0.02</v>
      </c>
      <c r="E37" s="504"/>
      <c r="F37" s="505"/>
      <c r="G37" s="517"/>
    </row>
    <row r="38" spans="2:7" s="518" customFormat="1" ht="14.4" outlineLevel="2">
      <c r="B38" s="536" t="s">
        <v>26</v>
      </c>
      <c r="C38" s="557" t="s">
        <v>456</v>
      </c>
      <c r="D38" s="519">
        <v>0.36</v>
      </c>
      <c r="E38" s="504">
        <v>2</v>
      </c>
      <c r="F38" s="505">
        <v>0.01</v>
      </c>
      <c r="G38" s="517"/>
    </row>
    <row r="39" spans="2:7" s="518" customFormat="1" ht="14.4" outlineLevel="2">
      <c r="B39" s="536" t="s">
        <v>26</v>
      </c>
      <c r="C39" s="557" t="s">
        <v>457</v>
      </c>
      <c r="D39" s="519">
        <v>0.41</v>
      </c>
      <c r="E39" s="504">
        <v>1</v>
      </c>
      <c r="F39" s="505">
        <v>0.13</v>
      </c>
      <c r="G39" s="517"/>
    </row>
    <row r="40" spans="2:7" s="518" customFormat="1" ht="14.4" outlineLevel="2">
      <c r="B40" s="536" t="s">
        <v>26</v>
      </c>
      <c r="C40" s="557" t="s">
        <v>458</v>
      </c>
      <c r="D40" s="519">
        <v>0.36</v>
      </c>
      <c r="E40" s="504"/>
      <c r="F40" s="505"/>
      <c r="G40" s="517"/>
    </row>
    <row r="41" spans="2:7" s="518" customFormat="1" ht="14.4" outlineLevel="2">
      <c r="B41" s="536" t="s">
        <v>26</v>
      </c>
      <c r="C41" s="557" t="s">
        <v>459</v>
      </c>
      <c r="D41" s="519">
        <v>2.1</v>
      </c>
      <c r="E41" s="504"/>
      <c r="F41" s="505"/>
      <c r="G41" s="517"/>
    </row>
    <row r="42" spans="2:7" s="518" customFormat="1" ht="14.4" outlineLevel="2">
      <c r="B42" s="536" t="s">
        <v>26</v>
      </c>
      <c r="C42" s="557" t="s">
        <v>460</v>
      </c>
      <c r="D42" s="519">
        <v>0.08</v>
      </c>
      <c r="E42" s="504"/>
      <c r="F42" s="505"/>
      <c r="G42" s="554" t="s">
        <v>461</v>
      </c>
    </row>
    <row r="43" spans="2:7" s="518" customFormat="1" ht="27.6" outlineLevel="2">
      <c r="B43" s="536" t="s">
        <v>26</v>
      </c>
      <c r="C43" s="557" t="s">
        <v>462</v>
      </c>
      <c r="D43" s="519">
        <v>0.17</v>
      </c>
      <c r="E43" s="504"/>
      <c r="F43" s="505"/>
      <c r="G43" s="554" t="s">
        <v>463</v>
      </c>
    </row>
    <row r="44" spans="2:7" s="518" customFormat="1" ht="41.4" outlineLevel="2">
      <c r="B44" s="536" t="s">
        <v>26</v>
      </c>
      <c r="C44" s="557" t="s">
        <v>464</v>
      </c>
      <c r="D44" s="519">
        <v>1.1200000000000001</v>
      </c>
      <c r="E44" s="509">
        <v>2</v>
      </c>
      <c r="F44" s="510">
        <v>0.14000000000000001</v>
      </c>
      <c r="G44" s="554" t="s">
        <v>465</v>
      </c>
    </row>
    <row r="45" spans="2:7" s="518" customFormat="1" ht="14.4" outlineLevel="2">
      <c r="B45" s="536" t="s">
        <v>26</v>
      </c>
      <c r="C45" s="557" t="s">
        <v>466</v>
      </c>
      <c r="D45" s="519">
        <v>0.28000000000000003</v>
      </c>
      <c r="E45" s="504"/>
      <c r="F45" s="505"/>
      <c r="G45" s="517"/>
    </row>
    <row r="46" spans="2:7" s="518" customFormat="1" ht="14.4" outlineLevel="2">
      <c r="B46" s="536" t="s">
        <v>26</v>
      </c>
      <c r="C46" s="557" t="s">
        <v>467</v>
      </c>
      <c r="D46" s="519">
        <v>3.26</v>
      </c>
      <c r="E46" s="504"/>
      <c r="F46" s="505"/>
      <c r="G46" s="517"/>
    </row>
    <row r="47" spans="2:7" s="518" customFormat="1" ht="14.4" outlineLevel="2">
      <c r="B47" s="536" t="s">
        <v>26</v>
      </c>
      <c r="C47" s="557" t="s">
        <v>468</v>
      </c>
      <c r="D47" s="519">
        <v>0.38</v>
      </c>
      <c r="E47" s="504"/>
      <c r="F47" s="505"/>
      <c r="G47" s="554" t="s">
        <v>469</v>
      </c>
    </row>
    <row r="48" spans="2:7" s="518" customFormat="1" ht="14.4" outlineLevel="2">
      <c r="B48" s="536" t="s">
        <v>26</v>
      </c>
      <c r="C48" s="557" t="s">
        <v>470</v>
      </c>
      <c r="D48" s="519">
        <v>0.8</v>
      </c>
      <c r="E48" s="504">
        <v>1</v>
      </c>
      <c r="F48" s="505">
        <v>6.1981660819083101E-2</v>
      </c>
      <c r="G48" s="517"/>
    </row>
    <row r="49" spans="2:7" s="518" customFormat="1" ht="14.4" outlineLevel="2">
      <c r="B49" s="536" t="s">
        <v>26</v>
      </c>
      <c r="C49" s="557" t="s">
        <v>471</v>
      </c>
      <c r="D49" s="519">
        <v>0.03</v>
      </c>
      <c r="E49" s="504"/>
      <c r="F49" s="505"/>
      <c r="G49" s="557" t="s">
        <v>184</v>
      </c>
    </row>
    <row r="50" spans="2:7" s="518" customFormat="1" ht="28.2" outlineLevel="2">
      <c r="B50" s="536" t="s">
        <v>26</v>
      </c>
      <c r="C50" s="557" t="s">
        <v>472</v>
      </c>
      <c r="D50" s="519">
        <v>3.64</v>
      </c>
      <c r="E50" s="504">
        <v>1</v>
      </c>
      <c r="F50" s="505">
        <v>2.25</v>
      </c>
      <c r="G50" s="285" t="s">
        <v>473</v>
      </c>
    </row>
    <row r="51" spans="2:7" s="518" customFormat="1" ht="14.4" outlineLevel="2">
      <c r="B51" s="536" t="s">
        <v>26</v>
      </c>
      <c r="C51" s="557" t="s">
        <v>474</v>
      </c>
      <c r="D51" s="519">
        <v>0.35</v>
      </c>
      <c r="E51" s="504"/>
      <c r="F51" s="505"/>
      <c r="G51" s="517"/>
    </row>
    <row r="52" spans="2:7" s="518" customFormat="1" ht="14.4" outlineLevel="2">
      <c r="B52" s="536" t="s">
        <v>26</v>
      </c>
      <c r="C52" s="557" t="s">
        <v>475</v>
      </c>
      <c r="D52" s="519">
        <v>0</v>
      </c>
      <c r="E52" s="504"/>
      <c r="F52" s="505"/>
      <c r="G52" s="517"/>
    </row>
    <row r="53" spans="2:7" s="518" customFormat="1" ht="14.4" outlineLevel="2">
      <c r="B53" s="536" t="s">
        <v>26</v>
      </c>
      <c r="C53" s="520" t="s">
        <v>476</v>
      </c>
      <c r="D53" s="519">
        <v>0</v>
      </c>
      <c r="E53" s="504"/>
      <c r="F53" s="505"/>
      <c r="G53" s="517"/>
    </row>
    <row r="54" spans="2:7" s="518" customFormat="1" ht="14.4" outlineLevel="2">
      <c r="B54" s="536" t="s">
        <v>26</v>
      </c>
      <c r="C54" s="557" t="s">
        <v>477</v>
      </c>
      <c r="D54" s="519">
        <v>0.02</v>
      </c>
      <c r="E54" s="504"/>
      <c r="F54" s="505"/>
      <c r="G54" s="517"/>
    </row>
    <row r="55" spans="2:7" s="518" customFormat="1" ht="14.4" outlineLevel="2">
      <c r="B55" s="536" t="s">
        <v>26</v>
      </c>
      <c r="C55" s="557" t="s">
        <v>478</v>
      </c>
      <c r="D55" s="519">
        <v>0.22</v>
      </c>
      <c r="E55" s="504"/>
      <c r="F55" s="505"/>
      <c r="G55" s="517"/>
    </row>
    <row r="56" spans="2:7" s="518" customFormat="1" ht="14.4" outlineLevel="2">
      <c r="B56" s="536" t="s">
        <v>26</v>
      </c>
      <c r="C56" s="557" t="s">
        <v>479</v>
      </c>
      <c r="D56" s="519">
        <v>0</v>
      </c>
      <c r="E56" s="504"/>
      <c r="F56" s="505"/>
      <c r="G56" s="517"/>
    </row>
    <row r="57" spans="2:7" s="518" customFormat="1" ht="14.4" outlineLevel="2">
      <c r="B57" s="536" t="s">
        <v>26</v>
      </c>
      <c r="C57" s="557" t="s">
        <v>480</v>
      </c>
      <c r="D57" s="519">
        <v>0</v>
      </c>
      <c r="E57" s="504"/>
      <c r="F57" s="505"/>
      <c r="G57" s="517"/>
    </row>
    <row r="58" spans="2:7" s="518" customFormat="1" ht="14.4" outlineLevel="2">
      <c r="B58" s="536" t="s">
        <v>26</v>
      </c>
      <c r="C58" s="557" t="s">
        <v>481</v>
      </c>
      <c r="D58" s="519">
        <v>0.19</v>
      </c>
      <c r="E58" s="504"/>
      <c r="F58" s="505"/>
      <c r="G58" s="517"/>
    </row>
    <row r="59" spans="2:7" s="518" customFormat="1" ht="14.4" outlineLevel="2">
      <c r="B59" s="536" t="s">
        <v>26</v>
      </c>
      <c r="C59" s="557" t="s">
        <v>482</v>
      </c>
      <c r="D59" s="519">
        <v>0.17</v>
      </c>
      <c r="E59" s="504"/>
      <c r="F59" s="505"/>
      <c r="G59" s="517"/>
    </row>
    <row r="60" spans="2:7" s="518" customFormat="1" ht="14.4" outlineLevel="2">
      <c r="B60" s="536" t="s">
        <v>26</v>
      </c>
      <c r="C60" s="557" t="s">
        <v>483</v>
      </c>
      <c r="D60" s="519">
        <v>0.08</v>
      </c>
      <c r="E60" s="504"/>
      <c r="F60" s="505"/>
      <c r="G60" s="517"/>
    </row>
    <row r="61" spans="2:7" s="518" customFormat="1" ht="14.4" outlineLevel="2">
      <c r="B61" s="536" t="s">
        <v>26</v>
      </c>
      <c r="C61" s="557" t="s">
        <v>484</v>
      </c>
      <c r="D61" s="519">
        <v>2.02</v>
      </c>
      <c r="E61" s="504"/>
      <c r="F61" s="505"/>
      <c r="G61" s="517"/>
    </row>
    <row r="62" spans="2:7" s="518" customFormat="1" ht="14.4" outlineLevel="2">
      <c r="B62" s="536" t="s">
        <v>26</v>
      </c>
      <c r="C62" s="557" t="s">
        <v>485</v>
      </c>
      <c r="D62" s="519">
        <v>1.56</v>
      </c>
      <c r="E62" s="504"/>
      <c r="F62" s="505"/>
      <c r="G62" s="517"/>
    </row>
    <row r="63" spans="2:7" s="518" customFormat="1" ht="14.4" outlineLevel="2">
      <c r="B63" s="536" t="s">
        <v>26</v>
      </c>
      <c r="C63" s="557" t="s">
        <v>486</v>
      </c>
      <c r="D63" s="519">
        <v>0.52</v>
      </c>
      <c r="E63" s="504"/>
      <c r="F63" s="505"/>
      <c r="G63" s="517"/>
    </row>
    <row r="64" spans="2:7" s="518" customFormat="1" ht="14.4" outlineLevel="2">
      <c r="B64" s="536" t="s">
        <v>26</v>
      </c>
      <c r="C64" s="557" t="s">
        <v>487</v>
      </c>
      <c r="D64" s="519">
        <v>0.56999999999999995</v>
      </c>
      <c r="E64" s="504"/>
      <c r="F64" s="505"/>
      <c r="G64" s="517"/>
    </row>
    <row r="65" spans="2:7" s="518" customFormat="1" ht="14.4" outlineLevel="2">
      <c r="B65" s="536" t="s">
        <v>26</v>
      </c>
      <c r="C65" s="557" t="s">
        <v>488</v>
      </c>
      <c r="D65" s="519">
        <v>0.73</v>
      </c>
      <c r="E65" s="504"/>
      <c r="F65" s="505"/>
      <c r="G65" s="517"/>
    </row>
    <row r="66" spans="2:7" s="518" customFormat="1" ht="14.4" outlineLevel="2">
      <c r="B66" s="536" t="s">
        <v>26</v>
      </c>
      <c r="C66" s="557" t="s">
        <v>489</v>
      </c>
      <c r="D66" s="519">
        <v>0.2</v>
      </c>
      <c r="E66" s="504"/>
      <c r="F66" s="505"/>
      <c r="G66" s="517"/>
    </row>
    <row r="67" spans="2:7" s="518" customFormat="1" ht="42" outlineLevel="2">
      <c r="B67" s="536" t="s">
        <v>26</v>
      </c>
      <c r="C67" s="557" t="s">
        <v>490</v>
      </c>
      <c r="D67" s="519">
        <v>0.56999999999999995</v>
      </c>
      <c r="E67" s="504"/>
      <c r="F67" s="505"/>
      <c r="G67" s="588" t="s">
        <v>491</v>
      </c>
    </row>
    <row r="68" spans="2:7" s="518" customFormat="1" ht="14.4" outlineLevel="2">
      <c r="B68" s="536" t="s">
        <v>26</v>
      </c>
      <c r="C68" s="557" t="s">
        <v>492</v>
      </c>
      <c r="D68" s="519">
        <v>0</v>
      </c>
      <c r="E68" s="504"/>
      <c r="F68" s="505"/>
      <c r="G68" s="517"/>
    </row>
    <row r="69" spans="2:7" s="518" customFormat="1" ht="14.4" outlineLevel="2">
      <c r="B69" s="536" t="s">
        <v>26</v>
      </c>
      <c r="C69" s="557" t="s">
        <v>493</v>
      </c>
      <c r="D69" s="519">
        <v>0</v>
      </c>
      <c r="E69" s="504"/>
      <c r="F69" s="505"/>
      <c r="G69" s="517"/>
    </row>
    <row r="70" spans="2:7" s="518" customFormat="1" ht="14.4" outlineLevel="2">
      <c r="B70" s="536" t="s">
        <v>26</v>
      </c>
      <c r="C70" s="557" t="s">
        <v>494</v>
      </c>
      <c r="D70" s="519">
        <v>0</v>
      </c>
      <c r="E70" s="504"/>
      <c r="F70" s="505"/>
      <c r="G70" s="517"/>
    </row>
    <row r="71" spans="2:7" s="518" customFormat="1" ht="14.4" outlineLevel="2">
      <c r="B71" s="536" t="s">
        <v>26</v>
      </c>
      <c r="C71" s="557" t="s">
        <v>495</v>
      </c>
      <c r="D71" s="519">
        <v>0</v>
      </c>
      <c r="E71" s="504"/>
      <c r="F71" s="505"/>
      <c r="G71" s="631" t="s">
        <v>496</v>
      </c>
    </row>
    <row r="72" spans="2:7" s="518" customFormat="1" ht="14.4" outlineLevel="2">
      <c r="B72" s="536" t="s">
        <v>26</v>
      </c>
      <c r="C72" s="557" t="s">
        <v>497</v>
      </c>
      <c r="D72" s="519">
        <v>0.02</v>
      </c>
      <c r="E72" s="504"/>
      <c r="F72" s="505"/>
      <c r="G72" s="517"/>
    </row>
    <row r="73" spans="2:7">
      <c r="B73" s="536"/>
      <c r="C73" s="536"/>
      <c r="D73" s="503"/>
      <c r="E73" s="504"/>
      <c r="F73" s="505"/>
      <c r="G73" s="536"/>
    </row>
    <row r="74" spans="2:7" s="518" customFormat="1" ht="14.4" outlineLevel="1">
      <c r="B74" s="536" t="s">
        <v>498</v>
      </c>
      <c r="C74" s="557" t="s">
        <v>499</v>
      </c>
      <c r="D74" s="505">
        <v>1.4336873100000001E-2</v>
      </c>
      <c r="E74" s="504"/>
      <c r="F74" s="505"/>
      <c r="G74" s="554" t="s">
        <v>219</v>
      </c>
    </row>
    <row r="75" spans="2:7" s="518" customFormat="1" ht="14.4" outlineLevel="1">
      <c r="B75" s="536" t="s">
        <v>498</v>
      </c>
      <c r="C75" s="557" t="s">
        <v>500</v>
      </c>
      <c r="D75" s="505">
        <v>0.36573175713220468</v>
      </c>
      <c r="E75" s="504"/>
      <c r="F75" s="505"/>
      <c r="G75" s="554" t="s">
        <v>501</v>
      </c>
    </row>
    <row r="76" spans="2:7" s="518" customFormat="1" ht="14.4" outlineLevel="1">
      <c r="B76" s="536" t="s">
        <v>498</v>
      </c>
      <c r="C76" s="557" t="s">
        <v>502</v>
      </c>
      <c r="D76" s="505">
        <v>0.16750548359999998</v>
      </c>
      <c r="E76" s="504"/>
      <c r="F76" s="505"/>
      <c r="G76" s="515"/>
    </row>
    <row r="77" spans="2:7" s="518" customFormat="1" ht="14.4" outlineLevel="1">
      <c r="B77" s="536" t="s">
        <v>498</v>
      </c>
      <c r="C77" s="557" t="s">
        <v>503</v>
      </c>
      <c r="D77" s="505">
        <v>0.40327449999999998</v>
      </c>
      <c r="E77" s="504"/>
      <c r="F77" s="505"/>
      <c r="G77" s="515"/>
    </row>
    <row r="78" spans="2:7" s="518" customFormat="1" ht="14.4" outlineLevel="1">
      <c r="B78" s="536" t="s">
        <v>498</v>
      </c>
      <c r="C78" s="557" t="s">
        <v>504</v>
      </c>
      <c r="D78" s="505">
        <v>0.14000000000000001</v>
      </c>
      <c r="E78" s="504"/>
      <c r="F78" s="505"/>
      <c r="G78" s="515"/>
    </row>
    <row r="79" spans="2:7" s="518" customFormat="1" ht="14.4" outlineLevel="1">
      <c r="B79" s="536" t="s">
        <v>498</v>
      </c>
      <c r="C79" s="557" t="s">
        <v>505</v>
      </c>
      <c r="D79" s="505">
        <v>3.1655887211519997E-2</v>
      </c>
      <c r="E79" s="504"/>
      <c r="F79" s="505"/>
      <c r="G79" s="554" t="s">
        <v>506</v>
      </c>
    </row>
    <row r="80" spans="2:7" s="518" customFormat="1" ht="14.4" outlineLevel="1">
      <c r="B80" s="536" t="s">
        <v>498</v>
      </c>
      <c r="C80" s="557" t="s">
        <v>507</v>
      </c>
      <c r="D80" s="505">
        <v>4.7122779914999996E-2</v>
      </c>
      <c r="E80" s="504"/>
      <c r="F80" s="505"/>
      <c r="G80" s="515"/>
    </row>
    <row r="81" spans="2:7" s="518" customFormat="1" ht="14.4" outlineLevel="1">
      <c r="B81" s="536" t="s">
        <v>498</v>
      </c>
      <c r="C81" s="557" t="s">
        <v>508</v>
      </c>
      <c r="D81" s="505">
        <v>2.1646138109098385</v>
      </c>
      <c r="E81" s="504"/>
      <c r="F81" s="505"/>
      <c r="G81" s="515"/>
    </row>
    <row r="82" spans="2:7" s="518" customFormat="1" ht="14.4" outlineLevel="1">
      <c r="B82" s="536" t="s">
        <v>498</v>
      </c>
      <c r="C82" s="557" t="s">
        <v>509</v>
      </c>
      <c r="D82" s="505">
        <v>0.04</v>
      </c>
      <c r="E82" s="504"/>
      <c r="F82" s="505"/>
      <c r="G82" s="515"/>
    </row>
    <row r="83" spans="2:7" s="518" customFormat="1" ht="14.4" outlineLevel="1">
      <c r="B83" s="536" t="s">
        <v>498</v>
      </c>
      <c r="C83" s="557" t="s">
        <v>510</v>
      </c>
      <c r="D83" s="505">
        <v>0.32</v>
      </c>
      <c r="E83" s="504">
        <v>1</v>
      </c>
      <c r="F83" s="505">
        <v>0.02</v>
      </c>
      <c r="G83" s="447" t="s">
        <v>511</v>
      </c>
    </row>
    <row r="84" spans="2:7" s="518" customFormat="1" ht="14.4" outlineLevel="1">
      <c r="B84" s="536" t="s">
        <v>498</v>
      </c>
      <c r="C84" s="557" t="s">
        <v>512</v>
      </c>
      <c r="D84" s="505">
        <v>3.6853334887931043E-2</v>
      </c>
      <c r="E84" s="504"/>
      <c r="F84" s="505"/>
      <c r="G84" s="515"/>
    </row>
    <row r="85" spans="2:7" s="518" customFormat="1" ht="14.4" outlineLevel="1">
      <c r="B85" s="536" t="s">
        <v>498</v>
      </c>
      <c r="C85" s="557" t="s">
        <v>513</v>
      </c>
      <c r="D85" s="505">
        <v>2.1397857699999998E-2</v>
      </c>
      <c r="E85" s="504"/>
      <c r="F85" s="505"/>
      <c r="G85" s="515"/>
    </row>
    <row r="86" spans="2:7" s="518" customFormat="1" ht="14.4" outlineLevel="1">
      <c r="B86" s="536" t="s">
        <v>498</v>
      </c>
      <c r="C86" s="557" t="s">
        <v>514</v>
      </c>
      <c r="D86" s="505">
        <v>0</v>
      </c>
      <c r="E86" s="504"/>
      <c r="F86" s="505"/>
      <c r="G86" s="515"/>
    </row>
    <row r="87" spans="2:7" s="518" customFormat="1" ht="14.4" outlineLevel="1">
      <c r="B87" s="536" t="s">
        <v>498</v>
      </c>
      <c r="C87" s="512" t="s">
        <v>515</v>
      </c>
      <c r="D87" s="505">
        <v>3.3E-3</v>
      </c>
      <c r="E87" s="504"/>
      <c r="F87" s="505"/>
      <c r="G87" s="515"/>
    </row>
    <row r="88" spans="2:7" s="518" customFormat="1" ht="14.4" outlineLevel="1">
      <c r="B88" s="536" t="s">
        <v>498</v>
      </c>
      <c r="C88" s="557" t="s">
        <v>516</v>
      </c>
      <c r="D88" s="505">
        <v>1.6800000000000002E-2</v>
      </c>
      <c r="E88" s="504"/>
      <c r="F88" s="505"/>
      <c r="G88" s="515"/>
    </row>
    <row r="89" spans="2:7" s="518" customFormat="1" ht="14.4" outlineLevel="1">
      <c r="B89" s="536" t="s">
        <v>498</v>
      </c>
      <c r="C89" s="557" t="s">
        <v>517</v>
      </c>
      <c r="D89" s="505">
        <v>0.23026800000000003</v>
      </c>
      <c r="E89" s="504">
        <v>1</v>
      </c>
      <c r="F89" s="505">
        <v>0.02</v>
      </c>
      <c r="G89" s="557" t="s">
        <v>518</v>
      </c>
    </row>
    <row r="90" spans="2:7" s="518" customFormat="1" ht="14.4" outlineLevel="1">
      <c r="B90" s="536" t="s">
        <v>498</v>
      </c>
      <c r="C90" s="557" t="s">
        <v>519</v>
      </c>
      <c r="D90" s="505">
        <v>1.13E-4</v>
      </c>
      <c r="E90" s="504"/>
      <c r="F90" s="505"/>
      <c r="G90" s="631" t="s">
        <v>520</v>
      </c>
    </row>
    <row r="91" spans="2:7" s="518" customFormat="1" ht="14.4" outlineLevel="1">
      <c r="B91" s="536" t="s">
        <v>498</v>
      </c>
      <c r="C91" s="557" t="s">
        <v>521</v>
      </c>
      <c r="D91" s="505">
        <v>0</v>
      </c>
      <c r="E91" s="504"/>
      <c r="F91" s="505"/>
      <c r="G91" s="515"/>
    </row>
    <row r="92" spans="2:7" s="518" customFormat="1" ht="14.4" outlineLevel="1">
      <c r="B92" s="536" t="s">
        <v>498</v>
      </c>
      <c r="C92" s="557" t="s">
        <v>522</v>
      </c>
      <c r="D92" s="505">
        <v>0</v>
      </c>
      <c r="E92" s="504"/>
      <c r="F92" s="505"/>
      <c r="G92" s="631" t="s">
        <v>523</v>
      </c>
    </row>
    <row r="93" spans="2:7" s="518" customFormat="1" ht="14.4" outlineLevel="1">
      <c r="B93" s="536" t="s">
        <v>498</v>
      </c>
      <c r="C93" s="557" t="s">
        <v>524</v>
      </c>
      <c r="D93" s="505">
        <v>0.15000000000000002</v>
      </c>
      <c r="E93" s="504"/>
      <c r="F93" s="505"/>
      <c r="G93" s="515"/>
    </row>
    <row r="94" spans="2:7" s="518" customFormat="1" ht="14.4" outlineLevel="1">
      <c r="B94" s="536" t="s">
        <v>498</v>
      </c>
      <c r="C94" s="557" t="s">
        <v>525</v>
      </c>
      <c r="D94" s="505">
        <v>0.16686000000000001</v>
      </c>
      <c r="E94" s="504"/>
      <c r="F94" s="505"/>
      <c r="G94" s="515"/>
    </row>
    <row r="95" spans="2:7" s="518" customFormat="1" ht="14.4" outlineLevel="1">
      <c r="B95" s="536" t="s">
        <v>498</v>
      </c>
      <c r="C95" s="557" t="s">
        <v>526</v>
      </c>
      <c r="D95" s="505">
        <v>7.6409520000000009E-2</v>
      </c>
      <c r="E95" s="504"/>
      <c r="F95" s="505"/>
      <c r="G95" s="515"/>
    </row>
    <row r="96" spans="2:7" s="518" customFormat="1" ht="14.4" outlineLevel="1">
      <c r="B96" s="536" t="s">
        <v>498</v>
      </c>
      <c r="C96" s="557" t="s">
        <v>527</v>
      </c>
      <c r="D96" s="516">
        <v>1.7570528000000003</v>
      </c>
      <c r="E96" s="508"/>
      <c r="F96" s="505"/>
      <c r="G96" s="515"/>
    </row>
    <row r="97" spans="2:7" s="518" customFormat="1" ht="14.4" outlineLevel="1">
      <c r="B97" s="536" t="s">
        <v>498</v>
      </c>
      <c r="C97" s="557" t="s">
        <v>528</v>
      </c>
      <c r="D97" s="516">
        <v>0.86951285400000011</v>
      </c>
      <c r="E97" s="508"/>
      <c r="F97" s="505"/>
      <c r="G97" s="515"/>
    </row>
    <row r="98" spans="2:7" s="518" customFormat="1" ht="14.4" outlineLevel="1">
      <c r="B98" s="536" t="s">
        <v>498</v>
      </c>
      <c r="C98" s="557" t="s">
        <v>529</v>
      </c>
      <c r="D98" s="516">
        <v>0.28983761800000002</v>
      </c>
      <c r="E98" s="508"/>
      <c r="F98" s="505"/>
      <c r="G98" s="515"/>
    </row>
    <row r="99" spans="2:7" s="518" customFormat="1" ht="14.4" outlineLevel="1">
      <c r="B99" s="536" t="s">
        <v>498</v>
      </c>
      <c r="C99" s="557" t="s">
        <v>530</v>
      </c>
      <c r="D99" s="505">
        <v>0.32804999999999995</v>
      </c>
      <c r="E99" s="504"/>
      <c r="F99" s="505"/>
      <c r="G99" s="515"/>
    </row>
    <row r="100" spans="2:7" s="518" customFormat="1" ht="14.4" outlineLevel="1">
      <c r="B100" s="536" t="s">
        <v>498</v>
      </c>
      <c r="C100" s="557" t="s">
        <v>531</v>
      </c>
      <c r="D100" s="505">
        <v>5.2621400000000005</v>
      </c>
      <c r="E100" s="504"/>
      <c r="F100" s="505"/>
      <c r="G100" s="631" t="s">
        <v>523</v>
      </c>
    </row>
    <row r="101" spans="2:7" s="518" customFormat="1" ht="14.4" outlineLevel="1">
      <c r="B101" s="536" t="s">
        <v>498</v>
      </c>
      <c r="C101" s="557" t="s">
        <v>532</v>
      </c>
      <c r="D101" s="505">
        <v>2.5074143979111465</v>
      </c>
      <c r="E101" s="504"/>
      <c r="F101" s="505"/>
      <c r="G101" s="515"/>
    </row>
    <row r="102" spans="2:7" s="518" customFormat="1" ht="28.2" outlineLevel="1">
      <c r="B102" s="536" t="s">
        <v>498</v>
      </c>
      <c r="C102" s="557" t="s">
        <v>533</v>
      </c>
      <c r="D102" s="505">
        <v>2.7927693686277002</v>
      </c>
      <c r="E102" s="504"/>
      <c r="F102" s="505"/>
      <c r="G102" s="588" t="s">
        <v>534</v>
      </c>
    </row>
    <row r="103" spans="2:7" s="518" customFormat="1" ht="28.2" outlineLevel="1">
      <c r="B103" s="536" t="s">
        <v>498</v>
      </c>
      <c r="C103" s="557" t="s">
        <v>535</v>
      </c>
      <c r="D103" s="505">
        <v>0</v>
      </c>
      <c r="E103" s="504"/>
      <c r="F103" s="505"/>
      <c r="G103" s="588" t="s">
        <v>534</v>
      </c>
    </row>
    <row r="104" spans="2:7" s="518" customFormat="1" ht="14.4" outlineLevel="1">
      <c r="B104" s="536" t="s">
        <v>498</v>
      </c>
      <c r="C104" s="557" t="s">
        <v>536</v>
      </c>
      <c r="D104" s="505">
        <v>0</v>
      </c>
      <c r="E104" s="504"/>
      <c r="F104" s="505"/>
      <c r="G104" s="515"/>
    </row>
    <row r="105" spans="2:7" s="518" customFormat="1" ht="14.4" outlineLevel="1">
      <c r="B105" s="536" t="s">
        <v>498</v>
      </c>
      <c r="C105" s="557" t="s">
        <v>537</v>
      </c>
      <c r="D105" s="505">
        <v>0</v>
      </c>
      <c r="E105" s="504"/>
      <c r="F105" s="505"/>
      <c r="G105" s="515"/>
    </row>
    <row r="106" spans="2:7" s="518" customFormat="1" ht="14.4" outlineLevel="1">
      <c r="B106" s="536" t="s">
        <v>498</v>
      </c>
      <c r="C106" s="557" t="s">
        <v>538</v>
      </c>
      <c r="D106" s="519"/>
      <c r="E106" s="504"/>
      <c r="F106" s="519"/>
      <c r="G106" s="515"/>
    </row>
    <row r="107" spans="2:7">
      <c r="B107" s="556"/>
      <c r="C107" s="556"/>
      <c r="D107" s="558"/>
      <c r="E107" s="558"/>
      <c r="F107" s="558"/>
      <c r="G107" s="556"/>
    </row>
    <row r="108" spans="2:7">
      <c r="B108" s="536"/>
      <c r="C108" s="536"/>
      <c r="D108" s="503"/>
      <c r="E108" s="504"/>
      <c r="F108" s="505"/>
      <c r="G108" s="536"/>
    </row>
    <row r="109" spans="2:7">
      <c r="B109" s="499" t="s">
        <v>10</v>
      </c>
      <c r="C109" s="499" t="s">
        <v>402</v>
      </c>
      <c r="D109" s="499" t="s">
        <v>403</v>
      </c>
      <c r="E109" s="499" t="s">
        <v>404</v>
      </c>
      <c r="F109" s="499" t="s">
        <v>405</v>
      </c>
      <c r="G109" s="536"/>
    </row>
    <row r="110" spans="2:7" ht="3" customHeight="1">
      <c r="B110" s="536"/>
      <c r="C110" s="536"/>
      <c r="D110" s="503"/>
      <c r="E110" s="504"/>
      <c r="F110" s="505"/>
      <c r="G110" s="536"/>
    </row>
    <row r="111" spans="2:7">
      <c r="B111" s="536" t="s">
        <v>539</v>
      </c>
      <c r="C111" s="536" t="s">
        <v>540</v>
      </c>
      <c r="D111" s="503">
        <f>((8000*632)/10^7)+((8000*525)/10^7)</f>
        <v>0.92559999999999998</v>
      </c>
      <c r="E111" s="503"/>
      <c r="F111" s="503">
        <f>((8000*549)/10^7)+((8000*0)/10^7)</f>
        <v>0.43919999999999998</v>
      </c>
      <c r="G111" s="536"/>
    </row>
    <row r="112" spans="2:7">
      <c r="B112" s="536" t="s">
        <v>539</v>
      </c>
      <c r="C112" s="536" t="s">
        <v>541</v>
      </c>
      <c r="D112" s="503">
        <f>SUM(D113:D115)</f>
        <v>1.16018400956</v>
      </c>
      <c r="E112" s="504">
        <f>SUM(E113:E115)</f>
        <v>46</v>
      </c>
      <c r="F112" s="503">
        <f>SUM(F113:F115)</f>
        <v>0.44551000000000002</v>
      </c>
      <c r="G112" s="536"/>
    </row>
    <row r="113" spans="2:6" outlineLevel="1">
      <c r="B113" s="536" t="s">
        <v>539</v>
      </c>
      <c r="C113" s="536" t="s">
        <v>542</v>
      </c>
      <c r="D113" s="503">
        <f>((41374*160)/10^7)+((4.78*2%)/10^7)</f>
        <v>0.66198400956000003</v>
      </c>
      <c r="E113" s="504">
        <v>2</v>
      </c>
      <c r="F113" s="505">
        <f>((11338*160)/10^7)+(((11338*1000)*2%)/10^7)</f>
        <v>0.20408400000000002</v>
      </c>
    </row>
    <row r="114" spans="2:6" outlineLevel="1">
      <c r="B114" s="536" t="s">
        <v>539</v>
      </c>
      <c r="C114" s="536" t="s">
        <v>543</v>
      </c>
      <c r="D114" s="503">
        <v>0.49820000000000003</v>
      </c>
      <c r="E114" s="504">
        <v>39</v>
      </c>
      <c r="F114" s="505">
        <f>(((8550*1200)+(110453*1000))*2%)/10^7</f>
        <v>0.241426</v>
      </c>
    </row>
    <row r="115" spans="2:6" outlineLevel="1">
      <c r="B115" s="536" t="s">
        <v>539</v>
      </c>
      <c r="C115" s="536" t="s">
        <v>544</v>
      </c>
      <c r="D115" s="503">
        <v>0</v>
      </c>
      <c r="E115" s="504">
        <v>5</v>
      </c>
      <c r="F115" s="505"/>
    </row>
    <row r="116" spans="2:6">
      <c r="B116" s="556"/>
      <c r="C116" s="556"/>
      <c r="D116" s="558"/>
      <c r="E116" s="558"/>
      <c r="F116" s="558"/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X1097"/>
  <sheetViews>
    <sheetView zoomScale="63" zoomScaleNormal="85" zoomScaleSheetLayoutView="50" workbookViewId="0">
      <pane xSplit="7" ySplit="4" topLeftCell="H133" activePane="bottomRight" state="frozen"/>
      <selection pane="topRight" activeCell="H1" sqref="H1"/>
      <selection pane="bottomLeft" activeCell="A6" sqref="A6"/>
      <selection pane="bottomRight"/>
    </sheetView>
  </sheetViews>
  <sheetFormatPr defaultColWidth="11.5546875" defaultRowHeight="13.8" outlineLevelRow="3" outlineLevelCol="1"/>
  <cols>
    <col min="1" max="1" width="3" style="189" customWidth="1"/>
    <col min="2" max="2" width="11.5546875" style="190" customWidth="1"/>
    <col min="3" max="3" width="26.44140625" style="189" customWidth="1"/>
    <col min="4" max="4" width="13.44140625" style="189" customWidth="1"/>
    <col min="5" max="5" width="0.44140625" style="191" customWidth="1"/>
    <col min="6" max="6" width="0.44140625" style="243" customWidth="1"/>
    <col min="7" max="7" width="0.44140625" style="191" customWidth="1"/>
    <col min="8" max="8" width="77.44140625" style="193" customWidth="1" outlineLevel="1"/>
    <col min="9" max="11" width="30.5546875" style="193" customWidth="1" outlineLevel="1"/>
    <col min="12" max="12" width="0.44140625" style="191" customWidth="1"/>
    <col min="13" max="13" width="0.44140625" style="243" customWidth="1"/>
    <col min="14" max="14" width="0.44140625" style="191" customWidth="1"/>
    <col min="15" max="18" width="10.5546875" style="313" customWidth="1" outlineLevel="1"/>
    <col min="19" max="19" width="0.44140625" style="191" customWidth="1" outlineLevel="1"/>
    <col min="20" max="20" width="0.44140625" style="243" customWidth="1"/>
    <col min="21" max="16384" width="11.5546875" style="189"/>
  </cols>
  <sheetData>
    <row r="1" spans="2:18" ht="17.25" customHeight="1">
      <c r="B1" s="560"/>
      <c r="C1" s="561"/>
      <c r="D1" s="559"/>
      <c r="F1" s="192"/>
      <c r="H1" s="562">
        <f>SUBTOTAL(3,H10:H1427)/2</f>
        <v>353</v>
      </c>
      <c r="I1" s="562">
        <f>SUBTOTAL(3,I10:I1427)/2</f>
        <v>0</v>
      </c>
      <c r="J1" s="562">
        <f>SUBTOTAL(3,J10:J1427)/2</f>
        <v>0</v>
      </c>
      <c r="K1" s="562">
        <f>SUBTOTAL(3,K10:K1427)/2</f>
        <v>0</v>
      </c>
      <c r="M1" s="192"/>
      <c r="O1" s="563">
        <f>SUM(O8)</f>
        <v>157.06980153157573</v>
      </c>
      <c r="P1" s="563">
        <f>SUM(P8)</f>
        <v>0</v>
      </c>
      <c r="Q1" s="563">
        <f>SUM(Q8)</f>
        <v>0</v>
      </c>
      <c r="R1" s="563">
        <f>SUM(R8)</f>
        <v>0</v>
      </c>
    </row>
    <row r="2" spans="2:18" s="194" customFormat="1" ht="17.399999999999999">
      <c r="B2" s="195" t="s">
        <v>545</v>
      </c>
      <c r="C2" s="195"/>
      <c r="D2" s="195"/>
      <c r="E2" s="196"/>
      <c r="F2" s="197"/>
      <c r="G2" s="196"/>
      <c r="H2" s="1" t="s">
        <v>402</v>
      </c>
      <c r="I2" s="1" t="s">
        <v>402</v>
      </c>
      <c r="J2" s="1" t="s">
        <v>402</v>
      </c>
      <c r="K2" s="1" t="s">
        <v>402</v>
      </c>
      <c r="L2" s="196"/>
      <c r="M2" s="197"/>
      <c r="N2" s="196"/>
      <c r="O2" s="336" t="s">
        <v>546</v>
      </c>
      <c r="P2" s="336" t="s">
        <v>546</v>
      </c>
      <c r="Q2" s="336" t="s">
        <v>546</v>
      </c>
      <c r="R2" s="336" t="s">
        <v>546</v>
      </c>
    </row>
    <row r="3" spans="2:18" s="194" customFormat="1" ht="2.1" customHeight="1">
      <c r="B3" s="198"/>
      <c r="C3" s="199"/>
      <c r="D3" s="199"/>
      <c r="E3" s="200"/>
      <c r="F3" s="197"/>
      <c r="G3" s="200"/>
      <c r="H3" s="201"/>
      <c r="I3" s="201"/>
      <c r="J3" s="201"/>
      <c r="K3" s="201"/>
      <c r="L3" s="200"/>
      <c r="M3" s="197"/>
      <c r="N3" s="200"/>
      <c r="O3" s="337"/>
      <c r="P3" s="337"/>
      <c r="Q3" s="337"/>
      <c r="R3" s="337"/>
    </row>
    <row r="4" spans="2:18" s="207" customFormat="1" ht="15.6">
      <c r="B4" s="202" t="s">
        <v>547</v>
      </c>
      <c r="C4" s="203"/>
      <c r="D4" s="203"/>
      <c r="E4" s="204"/>
      <c r="F4" s="205"/>
      <c r="G4" s="204"/>
      <c r="H4" s="206" t="s">
        <v>2</v>
      </c>
      <c r="I4" s="206" t="s">
        <v>3</v>
      </c>
      <c r="J4" s="206" t="s">
        <v>4</v>
      </c>
      <c r="K4" s="206" t="s">
        <v>5</v>
      </c>
      <c r="L4" s="204"/>
      <c r="M4" s="205"/>
      <c r="N4" s="204"/>
      <c r="O4" s="206" t="s">
        <v>2</v>
      </c>
      <c r="P4" s="206" t="s">
        <v>3</v>
      </c>
      <c r="Q4" s="206" t="s">
        <v>4</v>
      </c>
      <c r="R4" s="206" t="s">
        <v>5</v>
      </c>
    </row>
    <row r="5" spans="2:18" s="212" customFormat="1" ht="2.1" customHeight="1">
      <c r="B5" s="208"/>
      <c r="C5" s="209"/>
      <c r="D5" s="209"/>
      <c r="E5" s="210"/>
      <c r="F5" s="192"/>
      <c r="G5" s="210"/>
      <c r="H5" s="211"/>
      <c r="I5" s="211"/>
      <c r="J5" s="211"/>
      <c r="K5" s="211"/>
      <c r="L5" s="210"/>
      <c r="M5" s="192"/>
      <c r="N5" s="210"/>
      <c r="O5" s="338"/>
      <c r="P5" s="338"/>
      <c r="Q5" s="338"/>
      <c r="R5" s="338"/>
    </row>
    <row r="6" spans="2:18" s="212" customFormat="1" ht="2.1" customHeight="1">
      <c r="B6" s="213"/>
      <c r="C6" s="214"/>
      <c r="D6" s="214"/>
      <c r="E6" s="210"/>
      <c r="F6" s="192"/>
      <c r="G6" s="210"/>
      <c r="H6" s="215"/>
      <c r="I6" s="215"/>
      <c r="J6" s="215"/>
      <c r="K6" s="215"/>
      <c r="L6" s="210"/>
      <c r="M6" s="192"/>
      <c r="N6" s="210"/>
      <c r="O6" s="339"/>
      <c r="P6" s="339"/>
      <c r="Q6" s="339"/>
      <c r="R6" s="339"/>
    </row>
    <row r="7" spans="2:18" ht="2.1" customHeight="1">
      <c r="B7" s="560"/>
      <c r="C7" s="559"/>
      <c r="D7" s="559"/>
      <c r="F7" s="192"/>
      <c r="H7" s="562"/>
      <c r="I7" s="562"/>
      <c r="J7" s="562"/>
      <c r="K7" s="562"/>
      <c r="M7" s="192"/>
      <c r="O7" s="563"/>
      <c r="P7" s="563"/>
      <c r="Q7" s="563"/>
      <c r="R7" s="563"/>
    </row>
    <row r="8" spans="2:18" s="216" customFormat="1" ht="15.6">
      <c r="B8" s="217"/>
      <c r="E8" s="218"/>
      <c r="F8" s="205"/>
      <c r="G8" s="218"/>
      <c r="H8" s="219">
        <f>SUM(H10+H22+H113+H235+H308+H415+H809+H354)</f>
        <v>582</v>
      </c>
      <c r="I8" s="219">
        <f>SUM(I10+I22+I113+I235+I308+I415+I809+I354)</f>
        <v>0</v>
      </c>
      <c r="J8" s="219">
        <f>SUM(J10+J22+J113+J235+J308+J415+J809+J354)</f>
        <v>0</v>
      </c>
      <c r="K8" s="219">
        <f>SUM(K10+K22+K113+K235+K308+K415+K809+K354)</f>
        <v>0</v>
      </c>
      <c r="L8" s="220"/>
      <c r="M8" s="205"/>
      <c r="N8" s="220"/>
      <c r="O8" s="364">
        <f>SUM(O10+O22+O113+O235+O308+O415+O809+O354)</f>
        <v>157.06980153157573</v>
      </c>
      <c r="P8" s="364">
        <f>SUM(P10+P22+P113+P235+P308+P415+P809+P354)</f>
        <v>0</v>
      </c>
      <c r="Q8" s="364">
        <f>SUM(Q10+Q22+Q113+Q235+Q308+Q415+Q809+Q354)</f>
        <v>0</v>
      </c>
      <c r="R8" s="364">
        <f>SUM(R10+R22+R113+R235+R308+R415+R809+R354)</f>
        <v>0</v>
      </c>
    </row>
    <row r="9" spans="2:18" s="194" customFormat="1" ht="2.1" customHeight="1">
      <c r="B9" s="198"/>
      <c r="C9" s="199"/>
      <c r="D9" s="199"/>
      <c r="E9" s="200"/>
      <c r="F9" s="197"/>
      <c r="G9" s="200"/>
      <c r="H9" s="201"/>
      <c r="I9" s="201"/>
      <c r="J9" s="201"/>
      <c r="K9" s="201"/>
      <c r="L9" s="221"/>
      <c r="M9" s="197"/>
      <c r="N9" s="221"/>
      <c r="O9" s="337"/>
      <c r="P9" s="337"/>
      <c r="Q9" s="337"/>
      <c r="R9" s="337"/>
    </row>
    <row r="10" spans="2:18" s="228" customFormat="1" ht="15.6">
      <c r="B10" s="222" t="s">
        <v>548</v>
      </c>
      <c r="C10" s="223" t="s">
        <v>549</v>
      </c>
      <c r="D10" s="224" t="s">
        <v>17</v>
      </c>
      <c r="E10" s="225"/>
      <c r="F10" s="226"/>
      <c r="G10" s="225"/>
      <c r="H10" s="227">
        <f>SUM(H12+H19)</f>
        <v>16</v>
      </c>
      <c r="I10" s="227"/>
      <c r="J10" s="227"/>
      <c r="K10" s="227"/>
      <c r="L10" s="225"/>
      <c r="M10" s="226"/>
      <c r="N10" s="225"/>
      <c r="O10" s="340">
        <f>SUM(O12+O19)</f>
        <v>0.45</v>
      </c>
      <c r="P10" s="340"/>
      <c r="Q10" s="340"/>
      <c r="R10" s="340"/>
    </row>
    <row r="11" spans="2:18" ht="3" customHeight="1" outlineLevel="1">
      <c r="B11" s="229"/>
      <c r="C11" s="230"/>
      <c r="D11" s="231"/>
      <c r="E11" s="232"/>
      <c r="F11" s="192"/>
      <c r="G11" s="232"/>
      <c r="H11" s="233"/>
      <c r="I11" s="233"/>
      <c r="J11" s="233"/>
      <c r="K11" s="233"/>
      <c r="L11" s="232"/>
      <c r="M11" s="192"/>
      <c r="N11" s="232"/>
      <c r="O11" s="341"/>
      <c r="P11" s="341"/>
      <c r="Q11" s="341"/>
      <c r="R11" s="341"/>
    </row>
    <row r="12" spans="2:18" s="234" customFormat="1" outlineLevel="1">
      <c r="B12" s="235" t="s">
        <v>261</v>
      </c>
      <c r="C12" s="315" t="s">
        <v>550</v>
      </c>
      <c r="D12" s="235"/>
      <c r="E12" s="232"/>
      <c r="F12" s="192"/>
      <c r="G12" s="232"/>
      <c r="H12" s="236">
        <f>SUM(H13:H17)</f>
        <v>10</v>
      </c>
      <c r="I12" s="236"/>
      <c r="J12" s="236"/>
      <c r="K12" s="236"/>
      <c r="L12" s="232"/>
      <c r="M12" s="192"/>
      <c r="N12" s="232"/>
      <c r="O12" s="260">
        <f>SUM(O13:O17)</f>
        <v>0</v>
      </c>
      <c r="P12" s="260"/>
      <c r="Q12" s="260"/>
      <c r="R12" s="260"/>
    </row>
    <row r="13" spans="2:18" outlineLevel="2">
      <c r="B13" s="238" t="s">
        <v>407</v>
      </c>
      <c r="C13" s="242" t="s">
        <v>173</v>
      </c>
      <c r="D13" s="249" t="s">
        <v>17</v>
      </c>
      <c r="E13" s="239"/>
      <c r="F13" s="192"/>
      <c r="G13" s="239"/>
      <c r="H13" s="249">
        <v>3</v>
      </c>
      <c r="I13" s="249"/>
      <c r="J13" s="249"/>
      <c r="K13" s="249"/>
      <c r="L13" s="239"/>
      <c r="M13" s="192"/>
      <c r="N13" s="239"/>
      <c r="O13" s="311"/>
      <c r="P13" s="311"/>
      <c r="Q13" s="311"/>
      <c r="R13" s="311"/>
    </row>
    <row r="14" spans="2:18" outlineLevel="2">
      <c r="B14" s="238" t="s">
        <v>407</v>
      </c>
      <c r="C14" s="242" t="s">
        <v>265</v>
      </c>
      <c r="D14" s="249" t="s">
        <v>17</v>
      </c>
      <c r="E14" s="239"/>
      <c r="F14" s="192"/>
      <c r="G14" s="239"/>
      <c r="H14" s="249">
        <v>2</v>
      </c>
      <c r="I14" s="249"/>
      <c r="J14" s="249"/>
      <c r="K14" s="249"/>
      <c r="L14" s="239"/>
      <c r="M14" s="192"/>
      <c r="N14" s="239"/>
      <c r="O14" s="311"/>
      <c r="P14" s="311"/>
      <c r="Q14" s="311"/>
      <c r="R14" s="311"/>
    </row>
    <row r="15" spans="2:18" outlineLevel="2">
      <c r="B15" s="238"/>
      <c r="C15" s="242" t="s">
        <v>267</v>
      </c>
      <c r="D15" s="249" t="s">
        <v>17</v>
      </c>
      <c r="E15" s="239"/>
      <c r="F15" s="192"/>
      <c r="G15" s="239"/>
      <c r="H15" s="249">
        <v>1</v>
      </c>
      <c r="I15" s="249"/>
      <c r="J15" s="249"/>
      <c r="K15" s="249"/>
      <c r="L15" s="239"/>
      <c r="M15" s="192"/>
      <c r="N15" s="239"/>
      <c r="O15" s="311"/>
      <c r="P15" s="311"/>
      <c r="Q15" s="311"/>
      <c r="R15" s="311"/>
    </row>
    <row r="16" spans="2:18" outlineLevel="2">
      <c r="B16" s="238"/>
      <c r="C16" s="242" t="s">
        <v>269</v>
      </c>
      <c r="D16" s="249" t="s">
        <v>17</v>
      </c>
      <c r="E16" s="239"/>
      <c r="F16" s="192"/>
      <c r="G16" s="239"/>
      <c r="H16" s="249">
        <v>2</v>
      </c>
      <c r="I16" s="249"/>
      <c r="J16" s="249"/>
      <c r="K16" s="249"/>
      <c r="L16" s="239"/>
      <c r="M16" s="192"/>
      <c r="N16" s="239"/>
      <c r="O16" s="311"/>
      <c r="P16" s="311"/>
      <c r="Q16" s="311"/>
      <c r="R16" s="311"/>
    </row>
    <row r="17" spans="2:15" outlineLevel="2">
      <c r="B17" s="238"/>
      <c r="C17" s="242" t="s">
        <v>551</v>
      </c>
      <c r="D17" s="249" t="s">
        <v>17</v>
      </c>
      <c r="E17" s="239"/>
      <c r="F17" s="192"/>
      <c r="G17" s="239"/>
      <c r="H17" s="249">
        <v>2</v>
      </c>
      <c r="I17" s="249"/>
      <c r="J17" s="249"/>
      <c r="K17" s="249"/>
      <c r="L17" s="239"/>
      <c r="M17" s="192"/>
      <c r="N17" s="239"/>
      <c r="O17" s="311"/>
    </row>
    <row r="18" spans="2:15" ht="3" customHeight="1" outlineLevel="1">
      <c r="B18" s="565"/>
      <c r="C18" s="565"/>
      <c r="D18" s="566"/>
      <c r="E18" s="248"/>
      <c r="F18" s="192"/>
      <c r="G18" s="248"/>
      <c r="H18" s="259"/>
      <c r="I18" s="259"/>
      <c r="J18" s="259"/>
      <c r="K18" s="259"/>
      <c r="L18" s="248"/>
      <c r="M18" s="192"/>
      <c r="N18" s="248"/>
      <c r="O18" s="342"/>
    </row>
    <row r="19" spans="2:15" s="234" customFormat="1" outlineLevel="1">
      <c r="B19" s="235" t="s">
        <v>552</v>
      </c>
      <c r="C19" s="235"/>
      <c r="D19" s="235"/>
      <c r="E19" s="232"/>
      <c r="F19" s="250"/>
      <c r="G19" s="232"/>
      <c r="H19" s="236">
        <f t="shared" ref="H19" si="0">SUM(H20:H20)</f>
        <v>6</v>
      </c>
      <c r="I19" s="236"/>
      <c r="J19" s="236"/>
      <c r="K19" s="236"/>
      <c r="L19" s="232"/>
      <c r="M19" s="250"/>
      <c r="N19" s="232"/>
      <c r="O19" s="260">
        <f>SUM(O20:O20)</f>
        <v>0.45</v>
      </c>
    </row>
    <row r="20" spans="2:15" outlineLevel="2">
      <c r="B20" s="238"/>
      <c r="C20" s="565" t="s">
        <v>553</v>
      </c>
      <c r="D20" s="566" t="s">
        <v>17</v>
      </c>
      <c r="E20" s="232"/>
      <c r="F20" s="250"/>
      <c r="G20" s="232"/>
      <c r="H20" s="567">
        <v>6</v>
      </c>
      <c r="I20" s="249"/>
      <c r="J20" s="249"/>
      <c r="K20" s="249"/>
      <c r="L20" s="232"/>
      <c r="M20" s="250"/>
      <c r="N20" s="232"/>
      <c r="O20" s="563">
        <v>0.45</v>
      </c>
    </row>
    <row r="21" spans="2:15" ht="3" customHeight="1">
      <c r="B21" s="565"/>
      <c r="C21" s="565"/>
      <c r="D21" s="566"/>
      <c r="E21" s="248"/>
      <c r="F21" s="192"/>
      <c r="G21" s="248"/>
      <c r="H21" s="259"/>
      <c r="I21" s="259"/>
      <c r="J21" s="259"/>
      <c r="K21" s="259"/>
      <c r="L21" s="248"/>
      <c r="M21" s="192"/>
      <c r="N21" s="248"/>
      <c r="O21" s="342"/>
    </row>
    <row r="22" spans="2:15" s="228" customFormat="1" ht="15.6">
      <c r="B22" s="222" t="s">
        <v>411</v>
      </c>
      <c r="C22" s="223" t="s">
        <v>554</v>
      </c>
      <c r="D22" s="224" t="s">
        <v>17</v>
      </c>
      <c r="E22" s="225"/>
      <c r="F22" s="226"/>
      <c r="G22" s="225"/>
      <c r="H22" s="227">
        <f>SUM(H24+H55+H63+H70+H84+H90+H101+H105+H110+H66+H94)</f>
        <v>65</v>
      </c>
      <c r="I22" s="227"/>
      <c r="J22" s="227"/>
      <c r="K22" s="227"/>
      <c r="L22" s="225"/>
      <c r="M22" s="226"/>
      <c r="N22" s="225"/>
      <c r="O22" s="340">
        <f>SUM(O24+O55+O63+O70+O84+O90+O101+O105+O110+O66+O94)</f>
        <v>51.697725000000013</v>
      </c>
    </row>
    <row r="23" spans="2:15" ht="3" customHeight="1" outlineLevel="1">
      <c r="B23" s="229"/>
      <c r="C23" s="230"/>
      <c r="D23" s="231"/>
      <c r="E23" s="232"/>
      <c r="F23" s="192"/>
      <c r="G23" s="232"/>
      <c r="H23" s="233"/>
      <c r="I23" s="233"/>
      <c r="J23" s="233"/>
      <c r="K23" s="233"/>
      <c r="L23" s="232"/>
      <c r="M23" s="192"/>
      <c r="N23" s="232"/>
      <c r="O23" s="341"/>
    </row>
    <row r="24" spans="2:15" s="234" customFormat="1" outlineLevel="1">
      <c r="B24" s="235" t="s">
        <v>555</v>
      </c>
      <c r="C24" s="235"/>
      <c r="D24" s="235"/>
      <c r="E24" s="232"/>
      <c r="F24" s="192"/>
      <c r="G24" s="232"/>
      <c r="H24" s="236">
        <f>COUNTA(H25:H53)</f>
        <v>29</v>
      </c>
      <c r="I24" s="236"/>
      <c r="J24" s="236"/>
      <c r="K24" s="236"/>
      <c r="L24" s="232"/>
      <c r="M24" s="192"/>
      <c r="N24" s="232"/>
      <c r="O24" s="260">
        <f>SUM(O25:O53)</f>
        <v>7.5999999999999988</v>
      </c>
    </row>
    <row r="25" spans="2:15" ht="13.35" customHeight="1" outlineLevel="2">
      <c r="B25" s="242"/>
      <c r="C25" s="565" t="s">
        <v>556</v>
      </c>
      <c r="D25" s="566" t="s">
        <v>17</v>
      </c>
      <c r="E25" s="239"/>
      <c r="F25" s="192"/>
      <c r="G25" s="239"/>
      <c r="H25" s="568" t="s">
        <v>557</v>
      </c>
      <c r="I25" s="568"/>
      <c r="J25" s="568"/>
      <c r="K25" s="568"/>
      <c r="L25" s="239"/>
      <c r="M25" s="192"/>
      <c r="N25" s="239"/>
      <c r="O25" s="343">
        <v>0.26</v>
      </c>
    </row>
    <row r="26" spans="2:15" ht="13.35" customHeight="1" outlineLevel="2">
      <c r="B26" s="242"/>
      <c r="C26" s="565" t="s">
        <v>558</v>
      </c>
      <c r="D26" s="565" t="s">
        <v>17</v>
      </c>
      <c r="E26" s="243"/>
      <c r="F26" s="192"/>
      <c r="G26" s="243"/>
      <c r="H26" s="568" t="s">
        <v>122</v>
      </c>
      <c r="I26" s="568"/>
      <c r="J26" s="568"/>
      <c r="K26" s="568"/>
      <c r="L26" s="243"/>
      <c r="M26" s="192"/>
      <c r="N26" s="243"/>
      <c r="O26" s="343">
        <v>7.0000000000000007E-2</v>
      </c>
    </row>
    <row r="27" spans="2:15" ht="13.35" customHeight="1" outlineLevel="2">
      <c r="B27" s="242"/>
      <c r="C27" s="565" t="s">
        <v>558</v>
      </c>
      <c r="D27" s="565" t="s">
        <v>17</v>
      </c>
      <c r="E27" s="243"/>
      <c r="F27" s="192"/>
      <c r="G27" s="243"/>
      <c r="H27" s="568" t="s">
        <v>128</v>
      </c>
      <c r="I27" s="568"/>
      <c r="J27" s="568"/>
      <c r="K27" s="568"/>
      <c r="L27" s="243"/>
      <c r="M27" s="192"/>
      <c r="N27" s="243"/>
      <c r="O27" s="343">
        <v>0.18</v>
      </c>
    </row>
    <row r="28" spans="2:15" ht="13.35" customHeight="1" outlineLevel="2">
      <c r="B28" s="242"/>
      <c r="C28" s="565" t="s">
        <v>559</v>
      </c>
      <c r="D28" s="565" t="s">
        <v>17</v>
      </c>
      <c r="E28" s="243"/>
      <c r="F28" s="192"/>
      <c r="G28" s="243"/>
      <c r="H28" s="568" t="s">
        <v>133</v>
      </c>
      <c r="I28" s="568"/>
      <c r="J28" s="568"/>
      <c r="K28" s="568"/>
      <c r="L28" s="243"/>
      <c r="M28" s="192"/>
      <c r="N28" s="243"/>
      <c r="O28" s="343">
        <v>0.13</v>
      </c>
    </row>
    <row r="29" spans="2:15" ht="13.35" customHeight="1" outlineLevel="2">
      <c r="B29" s="242"/>
      <c r="C29" s="565" t="s">
        <v>559</v>
      </c>
      <c r="D29" s="565" t="s">
        <v>17</v>
      </c>
      <c r="E29" s="243"/>
      <c r="F29" s="192"/>
      <c r="G29" s="243"/>
      <c r="H29" s="568" t="s">
        <v>134</v>
      </c>
      <c r="I29" s="568"/>
      <c r="J29" s="568"/>
      <c r="K29" s="568"/>
      <c r="L29" s="243"/>
      <c r="M29" s="192"/>
      <c r="N29" s="243"/>
      <c r="O29" s="343">
        <v>0.13</v>
      </c>
    </row>
    <row r="30" spans="2:15" ht="13.35" customHeight="1" outlineLevel="2">
      <c r="B30" s="242"/>
      <c r="C30" s="565" t="s">
        <v>559</v>
      </c>
      <c r="D30" s="565" t="s">
        <v>17</v>
      </c>
      <c r="E30" s="243"/>
      <c r="F30" s="192"/>
      <c r="G30" s="243"/>
      <c r="H30" s="568" t="s">
        <v>135</v>
      </c>
      <c r="I30" s="568"/>
      <c r="J30" s="568"/>
      <c r="K30" s="568"/>
      <c r="L30" s="243"/>
      <c r="M30" s="192"/>
      <c r="N30" s="243"/>
      <c r="O30" s="343">
        <v>0.13</v>
      </c>
    </row>
    <row r="31" spans="2:15" ht="13.35" customHeight="1" outlineLevel="2">
      <c r="B31" s="242"/>
      <c r="C31" s="565" t="s">
        <v>559</v>
      </c>
      <c r="D31" s="565" t="s">
        <v>17</v>
      </c>
      <c r="E31" s="243"/>
      <c r="F31" s="192"/>
      <c r="G31" s="243"/>
      <c r="H31" s="568" t="s">
        <v>560</v>
      </c>
      <c r="I31" s="568"/>
      <c r="J31" s="568"/>
      <c r="K31" s="568"/>
      <c r="L31" s="243"/>
      <c r="M31" s="192"/>
      <c r="N31" s="243"/>
      <c r="O31" s="343">
        <v>0.08</v>
      </c>
    </row>
    <row r="32" spans="2:15" ht="13.35" customHeight="1" outlineLevel="2">
      <c r="B32" s="242"/>
      <c r="C32" s="565" t="s">
        <v>559</v>
      </c>
      <c r="D32" s="565" t="s">
        <v>17</v>
      </c>
      <c r="E32" s="243"/>
      <c r="F32" s="192"/>
      <c r="G32" s="243"/>
      <c r="H32" s="568" t="s">
        <v>136</v>
      </c>
      <c r="I32" s="568"/>
      <c r="J32" s="568"/>
      <c r="K32" s="568"/>
      <c r="L32" s="243"/>
      <c r="M32" s="192"/>
      <c r="N32" s="243"/>
      <c r="O32" s="343">
        <v>0.22</v>
      </c>
    </row>
    <row r="33" spans="2:15" ht="13.35" customHeight="1" outlineLevel="2">
      <c r="B33" s="242"/>
      <c r="C33" s="565" t="s">
        <v>559</v>
      </c>
      <c r="D33" s="565" t="s">
        <v>17</v>
      </c>
      <c r="E33" s="243"/>
      <c r="F33" s="192"/>
      <c r="G33" s="243"/>
      <c r="H33" s="568" t="s">
        <v>561</v>
      </c>
      <c r="I33" s="568"/>
      <c r="J33" s="568"/>
      <c r="K33" s="568"/>
      <c r="L33" s="243"/>
      <c r="M33" s="192"/>
      <c r="N33" s="243"/>
      <c r="O33" s="343">
        <v>0.08</v>
      </c>
    </row>
    <row r="34" spans="2:15" ht="13.35" customHeight="1" outlineLevel="2">
      <c r="B34" s="242"/>
      <c r="C34" s="565" t="s">
        <v>559</v>
      </c>
      <c r="D34" s="565" t="s">
        <v>17</v>
      </c>
      <c r="E34" s="243"/>
      <c r="F34" s="192"/>
      <c r="G34" s="243"/>
      <c r="H34" s="568" t="s">
        <v>137</v>
      </c>
      <c r="I34" s="568"/>
      <c r="J34" s="568"/>
      <c r="K34" s="568"/>
      <c r="L34" s="243"/>
      <c r="M34" s="192"/>
      <c r="N34" s="243"/>
      <c r="O34" s="343">
        <v>0.22</v>
      </c>
    </row>
    <row r="35" spans="2:15" ht="13.35" customHeight="1" outlineLevel="2">
      <c r="B35" s="242"/>
      <c r="C35" s="565" t="s">
        <v>559</v>
      </c>
      <c r="D35" s="565" t="s">
        <v>17</v>
      </c>
      <c r="E35" s="243"/>
      <c r="F35" s="192"/>
      <c r="G35" s="243"/>
      <c r="H35" s="568" t="s">
        <v>562</v>
      </c>
      <c r="I35" s="568"/>
      <c r="J35" s="568"/>
      <c r="K35" s="568"/>
      <c r="L35" s="243"/>
      <c r="M35" s="192"/>
      <c r="N35" s="243"/>
      <c r="O35" s="343">
        <v>0.08</v>
      </c>
    </row>
    <row r="36" spans="2:15" ht="13.35" customHeight="1" outlineLevel="2">
      <c r="B36" s="242"/>
      <c r="C36" s="565" t="s">
        <v>559</v>
      </c>
      <c r="D36" s="565" t="s">
        <v>17</v>
      </c>
      <c r="E36" s="243"/>
      <c r="F36" s="192"/>
      <c r="G36" s="243"/>
      <c r="H36" s="568" t="s">
        <v>138</v>
      </c>
      <c r="I36" s="568"/>
      <c r="J36" s="568"/>
      <c r="K36" s="568"/>
      <c r="L36" s="243"/>
      <c r="M36" s="192"/>
      <c r="N36" s="243"/>
      <c r="O36" s="343">
        <v>0.22</v>
      </c>
    </row>
    <row r="37" spans="2:15" ht="13.35" customHeight="1" outlineLevel="2">
      <c r="B37" s="242"/>
      <c r="C37" s="565" t="s">
        <v>559</v>
      </c>
      <c r="D37" s="565" t="s">
        <v>17</v>
      </c>
      <c r="E37" s="243"/>
      <c r="F37" s="192"/>
      <c r="G37" s="243"/>
      <c r="H37" s="568" t="s">
        <v>563</v>
      </c>
      <c r="I37" s="568"/>
      <c r="J37" s="568"/>
      <c r="K37" s="568"/>
      <c r="L37" s="243"/>
      <c r="M37" s="192"/>
      <c r="N37" s="243"/>
      <c r="O37" s="343">
        <v>0.2</v>
      </c>
    </row>
    <row r="38" spans="2:15" ht="13.35" customHeight="1" outlineLevel="2">
      <c r="B38" s="242"/>
      <c r="C38" s="565" t="s">
        <v>559</v>
      </c>
      <c r="D38" s="565" t="s">
        <v>17</v>
      </c>
      <c r="E38" s="243"/>
      <c r="F38" s="192"/>
      <c r="G38" s="243"/>
      <c r="H38" s="568" t="s">
        <v>564</v>
      </c>
      <c r="I38" s="568"/>
      <c r="J38" s="568"/>
      <c r="K38" s="568"/>
      <c r="L38" s="243"/>
      <c r="M38" s="192"/>
      <c r="N38" s="243"/>
      <c r="O38" s="343">
        <v>0.2</v>
      </c>
    </row>
    <row r="39" spans="2:15" ht="13.35" customHeight="1" outlineLevel="2">
      <c r="B39" s="242"/>
      <c r="C39" s="565" t="s">
        <v>559</v>
      </c>
      <c r="D39" s="565" t="s">
        <v>17</v>
      </c>
      <c r="E39" s="243"/>
      <c r="F39" s="192"/>
      <c r="G39" s="243"/>
      <c r="H39" s="568" t="s">
        <v>139</v>
      </c>
      <c r="I39" s="568"/>
      <c r="J39" s="568"/>
      <c r="K39" s="568"/>
      <c r="L39" s="243"/>
      <c r="M39" s="192"/>
      <c r="N39" s="243"/>
      <c r="O39" s="343">
        <v>0.3</v>
      </c>
    </row>
    <row r="40" spans="2:15" ht="13.35" customHeight="1" outlineLevel="2">
      <c r="B40" s="242"/>
      <c r="C40" s="565" t="s">
        <v>559</v>
      </c>
      <c r="D40" s="565" t="s">
        <v>17</v>
      </c>
      <c r="E40" s="243"/>
      <c r="F40" s="192"/>
      <c r="G40" s="243"/>
      <c r="H40" s="568" t="s">
        <v>140</v>
      </c>
      <c r="I40" s="568"/>
      <c r="J40" s="568"/>
      <c r="K40" s="568"/>
      <c r="L40" s="243"/>
      <c r="M40" s="192"/>
      <c r="N40" s="243"/>
      <c r="O40" s="343">
        <v>0.3</v>
      </c>
    </row>
    <row r="41" spans="2:15" ht="13.35" customHeight="1" outlineLevel="2">
      <c r="B41" s="242"/>
      <c r="C41" s="565" t="s">
        <v>559</v>
      </c>
      <c r="D41" s="565" t="s">
        <v>17</v>
      </c>
      <c r="E41" s="243"/>
      <c r="F41" s="192"/>
      <c r="G41" s="243"/>
      <c r="H41" s="568" t="s">
        <v>141</v>
      </c>
      <c r="I41" s="568"/>
      <c r="J41" s="568"/>
      <c r="K41" s="568"/>
      <c r="L41" s="243"/>
      <c r="M41" s="192"/>
      <c r="N41" s="243"/>
      <c r="O41" s="343">
        <v>0.03</v>
      </c>
    </row>
    <row r="42" spans="2:15" ht="13.35" customHeight="1" outlineLevel="2">
      <c r="B42" s="242"/>
      <c r="C42" s="565" t="s">
        <v>559</v>
      </c>
      <c r="D42" s="565" t="s">
        <v>17</v>
      </c>
      <c r="E42" s="243"/>
      <c r="F42" s="192"/>
      <c r="G42" s="243"/>
      <c r="H42" s="568" t="s">
        <v>142</v>
      </c>
      <c r="I42" s="568"/>
      <c r="J42" s="568"/>
      <c r="K42" s="568"/>
      <c r="L42" s="243"/>
      <c r="M42" s="192"/>
      <c r="N42" s="243"/>
      <c r="O42" s="343">
        <v>0.1</v>
      </c>
    </row>
    <row r="43" spans="2:15" ht="13.35" customHeight="1" outlineLevel="2">
      <c r="B43" s="242"/>
      <c r="C43" s="565" t="s">
        <v>559</v>
      </c>
      <c r="D43" s="565" t="s">
        <v>17</v>
      </c>
      <c r="E43" s="243"/>
      <c r="F43" s="192"/>
      <c r="G43" s="243"/>
      <c r="H43" s="568" t="s">
        <v>143</v>
      </c>
      <c r="I43" s="568"/>
      <c r="J43" s="568"/>
      <c r="K43" s="568"/>
      <c r="L43" s="243"/>
      <c r="M43" s="192"/>
      <c r="N43" s="243"/>
      <c r="O43" s="343">
        <v>0.1</v>
      </c>
    </row>
    <row r="44" spans="2:15" ht="13.35" customHeight="1" outlineLevel="2">
      <c r="B44" s="242"/>
      <c r="C44" s="565" t="s">
        <v>559</v>
      </c>
      <c r="D44" s="565" t="s">
        <v>17</v>
      </c>
      <c r="E44" s="243"/>
      <c r="F44" s="192"/>
      <c r="G44" s="243"/>
      <c r="H44" s="568" t="s">
        <v>144</v>
      </c>
      <c r="I44" s="568"/>
      <c r="J44" s="568"/>
      <c r="K44" s="568"/>
      <c r="L44" s="243"/>
      <c r="M44" s="192"/>
      <c r="N44" s="243"/>
      <c r="O44" s="343">
        <v>0.4</v>
      </c>
    </row>
    <row r="45" spans="2:15" ht="13.35" customHeight="1" outlineLevel="2">
      <c r="B45" s="242"/>
      <c r="C45" s="565" t="s">
        <v>559</v>
      </c>
      <c r="D45" s="565" t="s">
        <v>17</v>
      </c>
      <c r="E45" s="243"/>
      <c r="F45" s="192"/>
      <c r="G45" s="243"/>
      <c r="H45" s="568" t="s">
        <v>145</v>
      </c>
      <c r="I45" s="568"/>
      <c r="J45" s="568"/>
      <c r="K45" s="568"/>
      <c r="L45" s="243"/>
      <c r="M45" s="192"/>
      <c r="N45" s="243"/>
      <c r="O45" s="343">
        <v>0.4</v>
      </c>
    </row>
    <row r="46" spans="2:15" ht="13.35" customHeight="1" outlineLevel="2">
      <c r="B46" s="242"/>
      <c r="C46" s="565" t="s">
        <v>559</v>
      </c>
      <c r="D46" s="565" t="s">
        <v>17</v>
      </c>
      <c r="E46" s="243"/>
      <c r="F46" s="192"/>
      <c r="G46" s="243"/>
      <c r="H46" s="568" t="s">
        <v>122</v>
      </c>
      <c r="I46" s="568"/>
      <c r="J46" s="568"/>
      <c r="K46" s="568"/>
      <c r="L46" s="243"/>
      <c r="M46" s="192"/>
      <c r="N46" s="243"/>
      <c r="O46" s="343">
        <v>0.02</v>
      </c>
    </row>
    <row r="47" spans="2:15" ht="13.35" customHeight="1" outlineLevel="2">
      <c r="B47" s="242"/>
      <c r="C47" s="565" t="s">
        <v>559</v>
      </c>
      <c r="D47" s="565" t="s">
        <v>17</v>
      </c>
      <c r="E47" s="243"/>
      <c r="F47" s="192"/>
      <c r="G47" s="243"/>
      <c r="H47" s="568" t="s">
        <v>129</v>
      </c>
      <c r="I47" s="568"/>
      <c r="J47" s="568"/>
      <c r="K47" s="568"/>
      <c r="L47" s="243"/>
      <c r="M47" s="192"/>
      <c r="N47" s="243"/>
      <c r="O47" s="343">
        <v>0.01</v>
      </c>
    </row>
    <row r="48" spans="2:15" ht="13.35" customHeight="1" outlineLevel="2">
      <c r="B48" s="242"/>
      <c r="C48" s="565" t="s">
        <v>559</v>
      </c>
      <c r="D48" s="565" t="s">
        <v>17</v>
      </c>
      <c r="E48" s="243"/>
      <c r="F48" s="192"/>
      <c r="G48" s="243"/>
      <c r="H48" s="568" t="s">
        <v>565</v>
      </c>
      <c r="I48" s="568"/>
      <c r="J48" s="568"/>
      <c r="K48" s="568"/>
      <c r="L48" s="243"/>
      <c r="M48" s="192"/>
      <c r="N48" s="243"/>
      <c r="O48" s="343">
        <v>0.01</v>
      </c>
    </row>
    <row r="49" spans="2:15" ht="13.35" customHeight="1" outlineLevel="2">
      <c r="B49" s="242"/>
      <c r="C49" s="565" t="s">
        <v>566</v>
      </c>
      <c r="D49" s="565" t="s">
        <v>17</v>
      </c>
      <c r="E49" s="243"/>
      <c r="F49" s="192"/>
      <c r="G49" s="243"/>
      <c r="H49" s="568" t="s">
        <v>285</v>
      </c>
      <c r="I49" s="568"/>
      <c r="J49" s="568"/>
      <c r="K49" s="568"/>
      <c r="L49" s="243"/>
      <c r="M49" s="192"/>
      <c r="N49" s="243"/>
      <c r="O49" s="343">
        <v>0.88</v>
      </c>
    </row>
    <row r="50" spans="2:15" ht="13.35" customHeight="1" outlineLevel="2">
      <c r="B50" s="242"/>
      <c r="C50" s="565" t="s">
        <v>566</v>
      </c>
      <c r="D50" s="565" t="s">
        <v>17</v>
      </c>
      <c r="E50" s="239"/>
      <c r="F50" s="192"/>
      <c r="G50" s="239"/>
      <c r="H50" s="245" t="s">
        <v>33</v>
      </c>
      <c r="I50" s="245"/>
      <c r="J50" s="245"/>
      <c r="K50" s="245"/>
      <c r="L50" s="239"/>
      <c r="M50" s="192"/>
      <c r="N50" s="239"/>
      <c r="O50" s="343">
        <v>1.76</v>
      </c>
    </row>
    <row r="51" spans="2:15" ht="13.35" customHeight="1" outlineLevel="2">
      <c r="B51" s="242"/>
      <c r="C51" s="565" t="s">
        <v>566</v>
      </c>
      <c r="D51" s="565" t="s">
        <v>17</v>
      </c>
      <c r="E51" s="239"/>
      <c r="F51" s="192"/>
      <c r="G51" s="239"/>
      <c r="H51" s="245" t="s">
        <v>567</v>
      </c>
      <c r="I51" s="245"/>
      <c r="J51" s="245"/>
      <c r="K51" s="245"/>
      <c r="L51" s="239"/>
      <c r="M51" s="192"/>
      <c r="N51" s="239"/>
      <c r="O51" s="343">
        <v>0.88</v>
      </c>
    </row>
    <row r="52" spans="2:15" ht="13.35" customHeight="1" outlineLevel="2">
      <c r="B52" s="242"/>
      <c r="C52" s="565" t="s">
        <v>566</v>
      </c>
      <c r="D52" s="565" t="s">
        <v>17</v>
      </c>
      <c r="E52" s="243"/>
      <c r="F52" s="192"/>
      <c r="G52" s="243"/>
      <c r="H52" s="245" t="s">
        <v>568</v>
      </c>
      <c r="I52" s="245"/>
      <c r="J52" s="245"/>
      <c r="K52" s="245"/>
      <c r="L52" s="243"/>
      <c r="M52" s="192"/>
      <c r="N52" s="243"/>
      <c r="O52" s="343">
        <v>0.11</v>
      </c>
    </row>
    <row r="53" spans="2:15" ht="13.35" customHeight="1" outlineLevel="2">
      <c r="B53" s="242"/>
      <c r="C53" s="565" t="s">
        <v>566</v>
      </c>
      <c r="D53" s="565" t="s">
        <v>17</v>
      </c>
      <c r="E53" s="239"/>
      <c r="F53" s="192"/>
      <c r="G53" s="239"/>
      <c r="H53" s="245" t="s">
        <v>569</v>
      </c>
      <c r="I53" s="245"/>
      <c r="J53" s="245"/>
      <c r="K53" s="245"/>
      <c r="L53" s="239"/>
      <c r="M53" s="192"/>
      <c r="N53" s="239"/>
      <c r="O53" s="343">
        <v>0.1</v>
      </c>
    </row>
    <row r="54" spans="2:15" ht="3" customHeight="1" outlineLevel="1">
      <c r="B54" s="560"/>
      <c r="C54" s="559"/>
      <c r="D54" s="559"/>
      <c r="F54" s="192"/>
      <c r="H54" s="569"/>
      <c r="I54" s="569"/>
      <c r="J54" s="569"/>
      <c r="K54" s="569"/>
      <c r="L54" s="248"/>
      <c r="M54" s="192"/>
      <c r="N54" s="248"/>
      <c r="O54" s="570"/>
    </row>
    <row r="55" spans="2:15" s="234" customFormat="1" outlineLevel="1">
      <c r="B55" s="235" t="s">
        <v>570</v>
      </c>
      <c r="C55" s="235"/>
      <c r="D55" s="235"/>
      <c r="E55" s="232"/>
      <c r="F55" s="250"/>
      <c r="G55" s="232"/>
      <c r="H55" s="236">
        <f>COUNTA(H56:H61)</f>
        <v>6</v>
      </c>
      <c r="I55" s="236"/>
      <c r="J55" s="236"/>
      <c r="K55" s="236"/>
      <c r="L55" s="232"/>
      <c r="M55" s="250"/>
      <c r="N55" s="232"/>
      <c r="O55" s="260">
        <f>SUM(O56:O61)</f>
        <v>36.066825000000009</v>
      </c>
    </row>
    <row r="56" spans="2:15" ht="12.75" customHeight="1" outlineLevel="2">
      <c r="B56" s="238"/>
      <c r="C56" s="565" t="s">
        <v>571</v>
      </c>
      <c r="D56" s="566" t="s">
        <v>17</v>
      </c>
      <c r="E56" s="232"/>
      <c r="F56" s="250"/>
      <c r="G56" s="232"/>
      <c r="H56" s="571" t="s">
        <v>284</v>
      </c>
      <c r="I56" s="571"/>
      <c r="J56" s="571"/>
      <c r="K56" s="571"/>
      <c r="L56" s="232"/>
      <c r="M56" s="250"/>
      <c r="N56" s="232"/>
      <c r="O56" s="563">
        <v>8.2201500000000021</v>
      </c>
    </row>
    <row r="57" spans="2:15" ht="12.75" customHeight="1" outlineLevel="2">
      <c r="B57" s="238"/>
      <c r="C57" s="565" t="s">
        <v>571</v>
      </c>
      <c r="D57" s="566" t="s">
        <v>17</v>
      </c>
      <c r="E57" s="232"/>
      <c r="F57" s="250"/>
      <c r="G57" s="232"/>
      <c r="H57" s="252" t="s">
        <v>31</v>
      </c>
      <c r="I57" s="252"/>
      <c r="J57" s="252"/>
      <c r="K57" s="252"/>
      <c r="L57" s="232"/>
      <c r="M57" s="250"/>
      <c r="N57" s="232"/>
      <c r="O57" s="563">
        <v>7.8095500000000015</v>
      </c>
    </row>
    <row r="58" spans="2:15" ht="12.75" customHeight="1" outlineLevel="2">
      <c r="B58" s="238"/>
      <c r="C58" s="565" t="s">
        <v>571</v>
      </c>
      <c r="D58" s="566" t="s">
        <v>17</v>
      </c>
      <c r="E58" s="232"/>
      <c r="F58" s="250"/>
      <c r="G58" s="232"/>
      <c r="H58" s="252" t="s">
        <v>59</v>
      </c>
      <c r="I58" s="252"/>
      <c r="J58" s="252"/>
      <c r="K58" s="252"/>
      <c r="L58" s="232"/>
      <c r="M58" s="250"/>
      <c r="N58" s="232"/>
      <c r="O58" s="563">
        <v>7.8095500000000015</v>
      </c>
    </row>
    <row r="59" spans="2:15" ht="12.75" customHeight="1" outlineLevel="2">
      <c r="B59" s="238"/>
      <c r="C59" s="565" t="s">
        <v>571</v>
      </c>
      <c r="D59" s="566" t="s">
        <v>17</v>
      </c>
      <c r="E59" s="232"/>
      <c r="F59" s="250"/>
      <c r="G59" s="232"/>
      <c r="H59" s="252" t="s">
        <v>32</v>
      </c>
      <c r="I59" s="252"/>
      <c r="J59" s="252"/>
      <c r="K59" s="252"/>
      <c r="L59" s="232"/>
      <c r="M59" s="250"/>
      <c r="N59" s="232"/>
      <c r="O59" s="563">
        <v>4.0074250000000013</v>
      </c>
    </row>
    <row r="60" spans="2:15" ht="12.75" customHeight="1" outlineLevel="2">
      <c r="B60" s="238"/>
      <c r="C60" s="565" t="s">
        <v>571</v>
      </c>
      <c r="D60" s="566" t="s">
        <v>17</v>
      </c>
      <c r="E60" s="232"/>
      <c r="F60" s="250"/>
      <c r="G60" s="232"/>
      <c r="H60" s="571" t="s">
        <v>170</v>
      </c>
      <c r="I60" s="571"/>
      <c r="J60" s="571"/>
      <c r="K60" s="571"/>
      <c r="L60" s="232"/>
      <c r="M60" s="250"/>
      <c r="N60" s="232"/>
      <c r="O60" s="563">
        <v>4.110075000000001</v>
      </c>
    </row>
    <row r="61" spans="2:15" ht="12.75" customHeight="1" outlineLevel="2">
      <c r="B61" s="238"/>
      <c r="C61" s="565" t="s">
        <v>571</v>
      </c>
      <c r="D61" s="566" t="s">
        <v>17</v>
      </c>
      <c r="E61" s="232"/>
      <c r="F61" s="250"/>
      <c r="G61" s="232"/>
      <c r="H61" s="571" t="s">
        <v>285</v>
      </c>
      <c r="I61" s="571"/>
      <c r="J61" s="571"/>
      <c r="K61" s="571"/>
      <c r="L61" s="232"/>
      <c r="M61" s="250"/>
      <c r="N61" s="232"/>
      <c r="O61" s="563">
        <v>4.110075000000001</v>
      </c>
    </row>
    <row r="62" spans="2:15" ht="3" customHeight="1" outlineLevel="1">
      <c r="B62" s="238"/>
      <c r="C62" s="565"/>
      <c r="D62" s="566"/>
      <c r="E62" s="232"/>
      <c r="F62" s="250"/>
      <c r="G62" s="232"/>
      <c r="H62" s="569"/>
      <c r="I62" s="569"/>
      <c r="J62" s="569"/>
      <c r="K62" s="569"/>
      <c r="L62" s="232"/>
      <c r="M62" s="250"/>
      <c r="N62" s="232"/>
      <c r="O62" s="570"/>
    </row>
    <row r="63" spans="2:15" s="234" customFormat="1" outlineLevel="1">
      <c r="B63" s="267" t="s">
        <v>572</v>
      </c>
      <c r="C63" s="235"/>
      <c r="D63" s="235"/>
      <c r="E63" s="232"/>
      <c r="F63" s="250"/>
      <c r="G63" s="232"/>
      <c r="H63" s="236">
        <f>COUNTA(H64:H64)</f>
        <v>1</v>
      </c>
      <c r="I63" s="236"/>
      <c r="J63" s="236"/>
      <c r="K63" s="236"/>
      <c r="L63" s="232"/>
      <c r="M63" s="250"/>
      <c r="N63" s="232"/>
      <c r="O63" s="260">
        <f>SUM(O64:O64)</f>
        <v>1.2875000000000001</v>
      </c>
    </row>
    <row r="64" spans="2:15" outlineLevel="2">
      <c r="B64" s="238"/>
      <c r="C64" s="565" t="s">
        <v>573</v>
      </c>
      <c r="D64" s="566" t="s">
        <v>17</v>
      </c>
      <c r="E64" s="232"/>
      <c r="F64" s="250"/>
      <c r="G64" s="232"/>
      <c r="H64" s="568" t="s">
        <v>284</v>
      </c>
      <c r="I64" s="568"/>
      <c r="J64" s="568"/>
      <c r="K64" s="568"/>
      <c r="L64" s="232"/>
      <c r="M64" s="250"/>
      <c r="N64" s="232"/>
      <c r="O64" s="572">
        <v>1.2875000000000001</v>
      </c>
    </row>
    <row r="65" spans="2:15" ht="3" customHeight="1" outlineLevel="1">
      <c r="B65" s="560"/>
      <c r="C65" s="559"/>
      <c r="D65" s="559"/>
      <c r="H65" s="562"/>
      <c r="I65" s="562"/>
      <c r="J65" s="562"/>
      <c r="K65" s="562"/>
      <c r="O65" s="563"/>
    </row>
    <row r="66" spans="2:15" s="234" customFormat="1" outlineLevel="1">
      <c r="B66" s="235" t="s">
        <v>574</v>
      </c>
      <c r="C66" s="235"/>
      <c r="D66" s="235"/>
      <c r="E66" s="232"/>
      <c r="F66" s="250"/>
      <c r="G66" s="232"/>
      <c r="H66" s="236">
        <f>COUNTA(H67:H68)</f>
        <v>2</v>
      </c>
      <c r="I66" s="236"/>
      <c r="J66" s="236"/>
      <c r="K66" s="236"/>
      <c r="L66" s="232"/>
      <c r="M66" s="250"/>
      <c r="N66" s="232"/>
      <c r="O66" s="260">
        <f>SUM(O67:O68)</f>
        <v>3.003400000000001</v>
      </c>
    </row>
    <row r="67" spans="2:15" outlineLevel="2">
      <c r="B67" s="238"/>
      <c r="C67" s="565" t="s">
        <v>575</v>
      </c>
      <c r="D67" s="566" t="s">
        <v>17</v>
      </c>
      <c r="E67" s="232"/>
      <c r="F67" s="250"/>
      <c r="G67" s="232"/>
      <c r="H67" s="568" t="s">
        <v>284</v>
      </c>
      <c r="I67" s="568"/>
      <c r="J67" s="568"/>
      <c r="K67" s="568"/>
      <c r="L67" s="232"/>
      <c r="M67" s="250"/>
      <c r="N67" s="232"/>
      <c r="O67" s="572">
        <v>1.5180500000000003</v>
      </c>
    </row>
    <row r="68" spans="2:15" outlineLevel="2">
      <c r="B68" s="238"/>
      <c r="C68" s="565" t="s">
        <v>575</v>
      </c>
      <c r="D68" s="566" t="s">
        <v>17</v>
      </c>
      <c r="E68" s="232"/>
      <c r="F68" s="250"/>
      <c r="G68" s="232"/>
      <c r="H68" s="252" t="s">
        <v>31</v>
      </c>
      <c r="I68" s="252"/>
      <c r="J68" s="252"/>
      <c r="K68" s="252"/>
      <c r="L68" s="232"/>
      <c r="M68" s="250"/>
      <c r="N68" s="232"/>
      <c r="O68" s="328">
        <v>1.4853500000000004</v>
      </c>
    </row>
    <row r="69" spans="2:15" ht="3" customHeight="1" outlineLevel="1">
      <c r="B69" s="238"/>
      <c r="C69" s="565"/>
      <c r="D69" s="566"/>
      <c r="E69" s="232"/>
      <c r="F69" s="250"/>
      <c r="G69" s="232"/>
      <c r="H69" s="569"/>
      <c r="I69" s="569"/>
      <c r="J69" s="569"/>
      <c r="K69" s="569"/>
      <c r="L69" s="232"/>
      <c r="M69" s="250"/>
      <c r="N69" s="232"/>
      <c r="O69" s="570"/>
    </row>
    <row r="70" spans="2:15" s="234" customFormat="1" outlineLevel="1">
      <c r="B70" s="235" t="s">
        <v>576</v>
      </c>
      <c r="C70" s="235"/>
      <c r="D70" s="235"/>
      <c r="E70" s="232"/>
      <c r="F70" s="250"/>
      <c r="G70" s="232"/>
      <c r="H70" s="236">
        <f>COUNTA(H71:H82)</f>
        <v>12</v>
      </c>
      <c r="I70" s="236"/>
      <c r="J70" s="236"/>
      <c r="K70" s="236"/>
      <c r="L70" s="232"/>
      <c r="M70" s="250"/>
      <c r="N70" s="232"/>
      <c r="O70" s="260">
        <f>SUM(O71:O82)</f>
        <v>2.4299999999999997</v>
      </c>
    </row>
    <row r="71" spans="2:15" outlineLevel="2">
      <c r="B71" s="238"/>
      <c r="C71" s="565" t="s">
        <v>577</v>
      </c>
      <c r="D71" s="566" t="s">
        <v>17</v>
      </c>
      <c r="E71" s="232"/>
      <c r="F71" s="250"/>
      <c r="G71" s="232"/>
      <c r="H71" s="568" t="s">
        <v>33</v>
      </c>
      <c r="I71" s="568"/>
      <c r="J71" s="568"/>
      <c r="K71" s="568"/>
      <c r="L71" s="232"/>
      <c r="M71" s="250"/>
      <c r="N71" s="232"/>
      <c r="O71" s="573">
        <v>0.31</v>
      </c>
    </row>
    <row r="72" spans="2:15" outlineLevel="2">
      <c r="B72" s="238"/>
      <c r="C72" s="565" t="s">
        <v>577</v>
      </c>
      <c r="D72" s="566" t="s">
        <v>17</v>
      </c>
      <c r="E72" s="232"/>
      <c r="F72" s="250"/>
      <c r="G72" s="232"/>
      <c r="H72" s="574" t="s">
        <v>168</v>
      </c>
      <c r="I72" s="574"/>
      <c r="J72" s="574"/>
      <c r="K72" s="574"/>
      <c r="L72" s="232"/>
      <c r="M72" s="250"/>
      <c r="N72" s="232"/>
      <c r="O72" s="575">
        <v>0.3</v>
      </c>
    </row>
    <row r="73" spans="2:15" outlineLevel="2">
      <c r="B73" s="238"/>
      <c r="C73" s="565" t="s">
        <v>577</v>
      </c>
      <c r="D73" s="566" t="s">
        <v>17</v>
      </c>
      <c r="E73" s="232"/>
      <c r="F73" s="250"/>
      <c r="G73" s="232"/>
      <c r="H73" s="574" t="s">
        <v>171</v>
      </c>
      <c r="I73" s="574"/>
      <c r="J73" s="574"/>
      <c r="K73" s="574"/>
      <c r="L73" s="232"/>
      <c r="M73" s="250"/>
      <c r="N73" s="232"/>
      <c r="O73" s="575">
        <v>0.3</v>
      </c>
    </row>
    <row r="74" spans="2:15" outlineLevel="2">
      <c r="B74" s="238"/>
      <c r="C74" s="565" t="s">
        <v>577</v>
      </c>
      <c r="D74" s="566" t="s">
        <v>17</v>
      </c>
      <c r="E74" s="232"/>
      <c r="F74" s="250"/>
      <c r="G74" s="232"/>
      <c r="H74" s="574" t="s">
        <v>169</v>
      </c>
      <c r="I74" s="574"/>
      <c r="J74" s="574"/>
      <c r="K74" s="574"/>
      <c r="L74" s="232"/>
      <c r="M74" s="250"/>
      <c r="N74" s="232"/>
      <c r="O74" s="575">
        <v>0.14000000000000001</v>
      </c>
    </row>
    <row r="75" spans="2:15" outlineLevel="2">
      <c r="B75" s="238"/>
      <c r="C75" s="565" t="s">
        <v>577</v>
      </c>
      <c r="D75" s="566" t="s">
        <v>17</v>
      </c>
      <c r="E75" s="232"/>
      <c r="F75" s="250"/>
      <c r="G75" s="232"/>
      <c r="H75" s="574" t="s">
        <v>578</v>
      </c>
      <c r="I75" s="574"/>
      <c r="J75" s="574"/>
      <c r="K75" s="574"/>
      <c r="L75" s="232"/>
      <c r="M75" s="250"/>
      <c r="N75" s="232"/>
      <c r="O75" s="575">
        <v>0.09</v>
      </c>
    </row>
    <row r="76" spans="2:15" outlineLevel="2">
      <c r="B76" s="238"/>
      <c r="C76" s="565" t="s">
        <v>577</v>
      </c>
      <c r="D76" s="566" t="s">
        <v>17</v>
      </c>
      <c r="E76" s="232"/>
      <c r="F76" s="250"/>
      <c r="G76" s="232"/>
      <c r="H76" s="574" t="s">
        <v>579</v>
      </c>
      <c r="I76" s="574"/>
      <c r="J76" s="574"/>
      <c r="K76" s="574"/>
      <c r="L76" s="232"/>
      <c r="M76" s="250"/>
      <c r="N76" s="232"/>
      <c r="O76" s="575">
        <v>0.03</v>
      </c>
    </row>
    <row r="77" spans="2:15" outlineLevel="2">
      <c r="B77" s="238"/>
      <c r="C77" s="565" t="s">
        <v>577</v>
      </c>
      <c r="D77" s="566" t="s">
        <v>17</v>
      </c>
      <c r="E77" s="232"/>
      <c r="F77" s="250"/>
      <c r="G77" s="232"/>
      <c r="H77" s="574" t="s">
        <v>87</v>
      </c>
      <c r="I77" s="574"/>
      <c r="J77" s="574"/>
      <c r="K77" s="574"/>
      <c r="L77" s="232"/>
      <c r="M77" s="250"/>
      <c r="N77" s="232"/>
      <c r="O77" s="575">
        <v>0.03</v>
      </c>
    </row>
    <row r="78" spans="2:15" outlineLevel="2">
      <c r="B78" s="238"/>
      <c r="C78" s="565" t="s">
        <v>577</v>
      </c>
      <c r="D78" s="566" t="s">
        <v>17</v>
      </c>
      <c r="E78" s="232"/>
      <c r="F78" s="250"/>
      <c r="G78" s="232"/>
      <c r="H78" s="574" t="s">
        <v>580</v>
      </c>
      <c r="I78" s="574"/>
      <c r="J78" s="574"/>
      <c r="K78" s="574"/>
      <c r="L78" s="232"/>
      <c r="M78" s="250"/>
      <c r="N78" s="232"/>
      <c r="O78" s="575">
        <v>0.15</v>
      </c>
    </row>
    <row r="79" spans="2:15" outlineLevel="2">
      <c r="B79" s="238"/>
      <c r="C79" s="565" t="s">
        <v>581</v>
      </c>
      <c r="D79" s="566" t="s">
        <v>17</v>
      </c>
      <c r="E79" s="232"/>
      <c r="F79" s="250"/>
      <c r="G79" s="232"/>
      <c r="H79" s="576" t="s">
        <v>284</v>
      </c>
      <c r="I79" s="576"/>
      <c r="J79" s="576"/>
      <c r="K79" s="576"/>
      <c r="L79" s="232"/>
      <c r="M79" s="250"/>
      <c r="N79" s="232"/>
      <c r="O79" s="563">
        <v>0.31</v>
      </c>
    </row>
    <row r="80" spans="2:15" outlineLevel="2">
      <c r="B80" s="238"/>
      <c r="C80" s="565" t="s">
        <v>581</v>
      </c>
      <c r="D80" s="566" t="s">
        <v>17</v>
      </c>
      <c r="E80" s="232"/>
      <c r="F80" s="250"/>
      <c r="G80" s="232"/>
      <c r="H80" s="576" t="s">
        <v>31</v>
      </c>
      <c r="I80" s="576"/>
      <c r="J80" s="576"/>
      <c r="K80" s="576"/>
      <c r="L80" s="232"/>
      <c r="M80" s="250"/>
      <c r="N80" s="232"/>
      <c r="O80" s="563">
        <v>0.31</v>
      </c>
    </row>
    <row r="81" spans="2:15" outlineLevel="2">
      <c r="B81" s="238"/>
      <c r="C81" s="565" t="s">
        <v>581</v>
      </c>
      <c r="D81" s="566" t="s">
        <v>17</v>
      </c>
      <c r="E81" s="232"/>
      <c r="F81" s="250"/>
      <c r="G81" s="232"/>
      <c r="H81" s="576" t="s">
        <v>32</v>
      </c>
      <c r="I81" s="576"/>
      <c r="J81" s="576"/>
      <c r="K81" s="576"/>
      <c r="L81" s="232"/>
      <c r="M81" s="250"/>
      <c r="N81" s="232"/>
      <c r="O81" s="563">
        <v>0.31</v>
      </c>
    </row>
    <row r="82" spans="2:15" outlineLevel="2">
      <c r="B82" s="238"/>
      <c r="C82" s="565" t="s">
        <v>581</v>
      </c>
      <c r="D82" s="566" t="s">
        <v>17</v>
      </c>
      <c r="E82" s="232"/>
      <c r="F82" s="250"/>
      <c r="G82" s="232"/>
      <c r="H82" s="576" t="s">
        <v>285</v>
      </c>
      <c r="I82" s="576"/>
      <c r="J82" s="576"/>
      <c r="K82" s="576"/>
      <c r="L82" s="232"/>
      <c r="M82" s="250"/>
      <c r="N82" s="232"/>
      <c r="O82" s="563">
        <v>0.15</v>
      </c>
    </row>
    <row r="83" spans="2:15" ht="3" customHeight="1" outlineLevel="1">
      <c r="B83" s="238"/>
      <c r="C83" s="565"/>
      <c r="D83" s="566"/>
      <c r="E83" s="232"/>
      <c r="F83" s="250"/>
      <c r="G83" s="232"/>
      <c r="H83" s="569"/>
      <c r="I83" s="569"/>
      <c r="J83" s="569"/>
      <c r="K83" s="569"/>
      <c r="L83" s="232"/>
      <c r="M83" s="250"/>
      <c r="N83" s="232"/>
      <c r="O83" s="570"/>
    </row>
    <row r="84" spans="2:15" s="234" customFormat="1" outlineLevel="1">
      <c r="B84" s="235" t="s">
        <v>582</v>
      </c>
      <c r="C84" s="235"/>
      <c r="D84" s="235"/>
      <c r="E84" s="232"/>
      <c r="F84" s="250"/>
      <c r="G84" s="232"/>
      <c r="H84" s="236">
        <f>COUNTA(H85:H88)</f>
        <v>4</v>
      </c>
      <c r="I84" s="236"/>
      <c r="J84" s="236"/>
      <c r="K84" s="236"/>
      <c r="L84" s="232"/>
      <c r="M84" s="250"/>
      <c r="N84" s="232"/>
      <c r="O84" s="260">
        <f>SUM(O85:O88)</f>
        <v>0.27</v>
      </c>
    </row>
    <row r="85" spans="2:15" outlineLevel="2">
      <c r="B85" s="238"/>
      <c r="C85" s="565" t="s">
        <v>245</v>
      </c>
      <c r="D85" s="566" t="s">
        <v>17</v>
      </c>
      <c r="E85" s="232"/>
      <c r="F85" s="250"/>
      <c r="G85" s="232"/>
      <c r="H85" s="576" t="s">
        <v>235</v>
      </c>
      <c r="I85" s="576"/>
      <c r="J85" s="576"/>
      <c r="K85" s="576"/>
      <c r="L85" s="232"/>
      <c r="M85" s="250"/>
      <c r="N85" s="232"/>
      <c r="O85" s="563">
        <v>0.27</v>
      </c>
    </row>
    <row r="86" spans="2:15" outlineLevel="2">
      <c r="B86" s="238"/>
      <c r="C86" s="565" t="s">
        <v>245</v>
      </c>
      <c r="D86" s="566" t="s">
        <v>17</v>
      </c>
      <c r="E86" s="232"/>
      <c r="F86" s="250"/>
      <c r="G86" s="232"/>
      <c r="H86" s="576" t="s">
        <v>31</v>
      </c>
      <c r="I86" s="576"/>
      <c r="J86" s="576"/>
      <c r="K86" s="576"/>
      <c r="L86" s="232"/>
      <c r="M86" s="250"/>
      <c r="N86" s="232"/>
      <c r="O86" s="563"/>
    </row>
    <row r="87" spans="2:15" outlineLevel="2">
      <c r="B87" s="238"/>
      <c r="C87" s="565" t="s">
        <v>245</v>
      </c>
      <c r="D87" s="566" t="s">
        <v>17</v>
      </c>
      <c r="E87" s="232"/>
      <c r="F87" s="250"/>
      <c r="G87" s="232"/>
      <c r="H87" s="576" t="s">
        <v>33</v>
      </c>
      <c r="I87" s="576"/>
      <c r="J87" s="576"/>
      <c r="K87" s="576"/>
      <c r="L87" s="232"/>
      <c r="M87" s="250"/>
      <c r="N87" s="232"/>
      <c r="O87" s="563"/>
    </row>
    <row r="88" spans="2:15" outlineLevel="2">
      <c r="B88" s="238"/>
      <c r="C88" s="565" t="s">
        <v>245</v>
      </c>
      <c r="D88" s="566" t="s">
        <v>17</v>
      </c>
      <c r="E88" s="232"/>
      <c r="F88" s="250"/>
      <c r="G88" s="232"/>
      <c r="H88" s="577" t="s">
        <v>32</v>
      </c>
      <c r="I88" s="577"/>
      <c r="J88" s="577"/>
      <c r="K88" s="577"/>
      <c r="L88" s="232"/>
      <c r="M88" s="250"/>
      <c r="N88" s="232"/>
      <c r="O88" s="563"/>
    </row>
    <row r="89" spans="2:15" ht="3" customHeight="1" outlineLevel="1">
      <c r="B89" s="238"/>
      <c r="C89" s="565"/>
      <c r="D89" s="566"/>
      <c r="E89" s="232"/>
      <c r="F89" s="250"/>
      <c r="G89" s="232"/>
      <c r="H89" s="569"/>
      <c r="I89" s="569"/>
      <c r="J89" s="569"/>
      <c r="K89" s="569"/>
      <c r="L89" s="232"/>
      <c r="M89" s="250"/>
      <c r="N89" s="232"/>
      <c r="O89" s="570"/>
    </row>
    <row r="90" spans="2:15" s="234" customFormat="1" outlineLevel="1">
      <c r="B90" s="267" t="s">
        <v>583</v>
      </c>
      <c r="C90" s="235"/>
      <c r="D90" s="235"/>
      <c r="E90" s="232"/>
      <c r="F90" s="250"/>
      <c r="G90" s="232"/>
      <c r="H90" s="236"/>
      <c r="I90" s="236"/>
      <c r="J90" s="236"/>
      <c r="K90" s="236"/>
      <c r="L90" s="232"/>
      <c r="M90" s="250"/>
      <c r="N90" s="232"/>
      <c r="O90" s="260">
        <f>SUM(O91:O92)</f>
        <v>0</v>
      </c>
    </row>
    <row r="91" spans="2:15" outlineLevel="2">
      <c r="B91" s="238"/>
      <c r="C91" s="565" t="s">
        <v>584</v>
      </c>
      <c r="D91" s="566" t="s">
        <v>17</v>
      </c>
      <c r="E91" s="232"/>
      <c r="F91" s="250"/>
      <c r="G91" s="232"/>
      <c r="H91" s="571"/>
      <c r="I91" s="571"/>
      <c r="J91" s="571"/>
      <c r="K91" s="571"/>
      <c r="L91" s="232"/>
      <c r="M91" s="250"/>
      <c r="N91" s="232"/>
      <c r="O91" s="572"/>
    </row>
    <row r="92" spans="2:15" outlineLevel="2">
      <c r="B92" s="238"/>
      <c r="C92" s="565"/>
      <c r="D92" s="566"/>
      <c r="E92" s="232"/>
      <c r="F92" s="250"/>
      <c r="G92" s="232"/>
      <c r="H92" s="252"/>
      <c r="I92" s="252"/>
      <c r="J92" s="252"/>
      <c r="K92" s="252"/>
      <c r="L92" s="232"/>
      <c r="M92" s="250"/>
      <c r="N92" s="232"/>
      <c r="O92" s="572"/>
    </row>
    <row r="93" spans="2:15" ht="3" customHeight="1" outlineLevel="1">
      <c r="B93" s="238"/>
      <c r="C93" s="565"/>
      <c r="D93" s="566"/>
      <c r="E93" s="232"/>
      <c r="F93" s="250"/>
      <c r="G93" s="232"/>
      <c r="H93" s="569"/>
      <c r="I93" s="569"/>
      <c r="J93" s="569"/>
      <c r="K93" s="569"/>
      <c r="L93" s="232"/>
      <c r="M93" s="250"/>
      <c r="N93" s="232"/>
      <c r="O93" s="570"/>
    </row>
    <row r="94" spans="2:15" s="234" customFormat="1" outlineLevel="1">
      <c r="B94" s="255" t="s">
        <v>248</v>
      </c>
      <c r="C94" s="235"/>
      <c r="D94" s="235"/>
      <c r="E94" s="232"/>
      <c r="F94" s="250"/>
      <c r="G94" s="232"/>
      <c r="H94" s="236">
        <f>COUNTA(H95:H99)</f>
        <v>5</v>
      </c>
      <c r="I94" s="236"/>
      <c r="J94" s="236"/>
      <c r="K94" s="236"/>
      <c r="L94" s="232"/>
      <c r="M94" s="250"/>
      <c r="N94" s="232"/>
      <c r="O94" s="260">
        <f>SUM(O95:O99)</f>
        <v>0.995</v>
      </c>
    </row>
    <row r="95" spans="2:15" outlineLevel="2">
      <c r="B95" s="238"/>
      <c r="C95" s="565" t="s">
        <v>248</v>
      </c>
      <c r="D95" s="566" t="s">
        <v>17</v>
      </c>
      <c r="E95" s="232"/>
      <c r="F95" s="250"/>
      <c r="G95" s="232"/>
      <c r="H95" s="577" t="s">
        <v>31</v>
      </c>
      <c r="I95" s="577"/>
      <c r="J95" s="577"/>
      <c r="K95" s="577"/>
      <c r="L95" s="232"/>
      <c r="M95" s="250"/>
      <c r="N95" s="232"/>
      <c r="O95" s="563">
        <v>0.19</v>
      </c>
    </row>
    <row r="96" spans="2:15" outlineLevel="2">
      <c r="B96" s="238"/>
      <c r="C96" s="565" t="s">
        <v>248</v>
      </c>
      <c r="D96" s="566" t="s">
        <v>17</v>
      </c>
      <c r="E96" s="232"/>
      <c r="F96" s="250"/>
      <c r="G96" s="232"/>
      <c r="H96" s="577" t="s">
        <v>292</v>
      </c>
      <c r="I96" s="577"/>
      <c r="J96" s="577"/>
      <c r="K96" s="577"/>
      <c r="L96" s="232"/>
      <c r="M96" s="250"/>
      <c r="N96" s="232"/>
      <c r="O96" s="563">
        <v>0.19</v>
      </c>
    </row>
    <row r="97" spans="2:15" outlineLevel="2">
      <c r="B97" s="238"/>
      <c r="C97" s="565" t="s">
        <v>248</v>
      </c>
      <c r="D97" s="566" t="s">
        <v>17</v>
      </c>
      <c r="E97" s="232"/>
      <c r="F97" s="250"/>
      <c r="G97" s="232"/>
      <c r="H97" s="577" t="s">
        <v>585</v>
      </c>
      <c r="I97" s="577"/>
      <c r="J97" s="577"/>
      <c r="K97" s="577"/>
      <c r="L97" s="232"/>
      <c r="M97" s="250"/>
      <c r="N97" s="232"/>
      <c r="O97" s="563">
        <v>0.246</v>
      </c>
    </row>
    <row r="98" spans="2:15" outlineLevel="2">
      <c r="B98" s="238"/>
      <c r="C98" s="565" t="s">
        <v>248</v>
      </c>
      <c r="D98" s="566" t="s">
        <v>17</v>
      </c>
      <c r="E98" s="232"/>
      <c r="F98" s="250"/>
      <c r="G98" s="232"/>
      <c r="H98" s="577" t="s">
        <v>586</v>
      </c>
      <c r="I98" s="577"/>
      <c r="J98" s="577"/>
      <c r="K98" s="577"/>
      <c r="L98" s="232"/>
      <c r="M98" s="250"/>
      <c r="N98" s="232"/>
      <c r="O98" s="563">
        <v>0.246</v>
      </c>
    </row>
    <row r="99" spans="2:15" outlineLevel="2">
      <c r="B99" s="238"/>
      <c r="C99" s="565" t="s">
        <v>248</v>
      </c>
      <c r="D99" s="566" t="s">
        <v>17</v>
      </c>
      <c r="E99" s="232"/>
      <c r="F99" s="250"/>
      <c r="G99" s="232"/>
      <c r="H99" s="577" t="s">
        <v>587</v>
      </c>
      <c r="I99" s="577"/>
      <c r="J99" s="577"/>
      <c r="K99" s="577"/>
      <c r="L99" s="232"/>
      <c r="M99" s="250"/>
      <c r="N99" s="232"/>
      <c r="O99" s="563">
        <v>0.123</v>
      </c>
    </row>
    <row r="100" spans="2:15" ht="3" customHeight="1" outlineLevel="1">
      <c r="B100" s="238"/>
      <c r="C100" s="565"/>
      <c r="D100" s="566"/>
      <c r="E100" s="232"/>
      <c r="F100" s="250"/>
      <c r="G100" s="232"/>
      <c r="H100" s="569"/>
      <c r="I100" s="569"/>
      <c r="J100" s="569"/>
      <c r="K100" s="569"/>
      <c r="L100" s="232"/>
      <c r="M100" s="250"/>
      <c r="N100" s="232"/>
      <c r="O100" s="570"/>
    </row>
    <row r="101" spans="2:15" s="234" customFormat="1" outlineLevel="1">
      <c r="B101" s="255" t="s">
        <v>588</v>
      </c>
      <c r="C101" s="235"/>
      <c r="D101" s="235"/>
      <c r="E101" s="232"/>
      <c r="F101" s="250"/>
      <c r="G101" s="232"/>
      <c r="H101" s="236">
        <f>COUNTA(H102:H103)</f>
        <v>2</v>
      </c>
      <c r="I101" s="236"/>
      <c r="J101" s="236"/>
      <c r="K101" s="236"/>
      <c r="L101" s="232"/>
      <c r="M101" s="250"/>
      <c r="N101" s="232"/>
      <c r="O101" s="260">
        <f>SUM(O102:O103)</f>
        <v>0</v>
      </c>
    </row>
    <row r="102" spans="2:15" outlineLevel="2">
      <c r="B102" s="238"/>
      <c r="C102" s="565" t="s">
        <v>588</v>
      </c>
      <c r="D102" s="566" t="s">
        <v>17</v>
      </c>
      <c r="E102" s="232"/>
      <c r="F102" s="250"/>
      <c r="G102" s="232"/>
      <c r="H102" s="577" t="s">
        <v>284</v>
      </c>
      <c r="I102" s="577"/>
      <c r="J102" s="577"/>
      <c r="K102" s="577"/>
      <c r="L102" s="232"/>
      <c r="M102" s="250"/>
      <c r="N102" s="232"/>
      <c r="O102" s="563"/>
    </row>
    <row r="103" spans="2:15" outlineLevel="2">
      <c r="B103" s="238"/>
      <c r="C103" s="565" t="s">
        <v>588</v>
      </c>
      <c r="D103" s="566" t="s">
        <v>17</v>
      </c>
      <c r="E103" s="232"/>
      <c r="F103" s="250"/>
      <c r="G103" s="232"/>
      <c r="H103" s="577" t="s">
        <v>31</v>
      </c>
      <c r="I103" s="577"/>
      <c r="J103" s="577"/>
      <c r="K103" s="577"/>
      <c r="L103" s="232"/>
      <c r="M103" s="250"/>
      <c r="N103" s="232"/>
      <c r="O103" s="563"/>
    </row>
    <row r="104" spans="2:15" ht="3" customHeight="1" outlineLevel="1">
      <c r="B104" s="238"/>
      <c r="C104" s="565"/>
      <c r="D104" s="566"/>
      <c r="E104" s="232"/>
      <c r="F104" s="250"/>
      <c r="G104" s="232"/>
      <c r="H104" s="569"/>
      <c r="I104" s="569"/>
      <c r="J104" s="569"/>
      <c r="K104" s="569"/>
      <c r="L104" s="232"/>
      <c r="M104" s="250"/>
      <c r="N104" s="232"/>
      <c r="O104" s="570"/>
    </row>
    <row r="105" spans="2:15" s="234" customFormat="1" outlineLevel="1">
      <c r="B105" s="235" t="s">
        <v>589</v>
      </c>
      <c r="C105" s="235"/>
      <c r="D105" s="235"/>
      <c r="E105" s="232"/>
      <c r="F105" s="250"/>
      <c r="G105" s="232"/>
      <c r="H105" s="236">
        <f>COUNTA(H106:H108)</f>
        <v>3</v>
      </c>
      <c r="I105" s="236"/>
      <c r="J105" s="236"/>
      <c r="K105" s="236"/>
      <c r="L105" s="232"/>
      <c r="M105" s="250"/>
      <c r="N105" s="232"/>
      <c r="O105" s="260">
        <f>SUM(O108:O108)</f>
        <v>0</v>
      </c>
    </row>
    <row r="106" spans="2:15" s="327" customFormat="1" outlineLevel="2" collapsed="1">
      <c r="B106" s="242"/>
      <c r="C106" s="242" t="s">
        <v>360</v>
      </c>
      <c r="D106" s="566" t="s">
        <v>17</v>
      </c>
      <c r="E106" s="232"/>
      <c r="F106" s="250"/>
      <c r="G106" s="232"/>
      <c r="H106" s="571" t="s">
        <v>284</v>
      </c>
      <c r="I106" s="571"/>
      <c r="J106" s="571"/>
      <c r="K106" s="571"/>
      <c r="L106" s="232"/>
      <c r="M106" s="250"/>
      <c r="N106" s="232"/>
      <c r="O106" s="563"/>
    </row>
    <row r="107" spans="2:15" s="327" customFormat="1" outlineLevel="2">
      <c r="B107" s="242"/>
      <c r="C107" s="242" t="s">
        <v>360</v>
      </c>
      <c r="D107" s="566" t="s">
        <v>17</v>
      </c>
      <c r="E107" s="232"/>
      <c r="F107" s="250"/>
      <c r="G107" s="232"/>
      <c r="H107" s="571" t="s">
        <v>31</v>
      </c>
      <c r="I107" s="571"/>
      <c r="J107" s="571"/>
      <c r="K107" s="571"/>
      <c r="L107" s="232"/>
      <c r="M107" s="250"/>
      <c r="N107" s="232"/>
      <c r="O107" s="563"/>
    </row>
    <row r="108" spans="2:15" outlineLevel="2">
      <c r="B108" s="242"/>
      <c r="C108" s="242" t="s">
        <v>360</v>
      </c>
      <c r="D108" s="566" t="s">
        <v>17</v>
      </c>
      <c r="E108" s="232"/>
      <c r="F108" s="250"/>
      <c r="G108" s="232"/>
      <c r="H108" s="571" t="s">
        <v>32</v>
      </c>
      <c r="I108" s="571"/>
      <c r="J108" s="571"/>
      <c r="K108" s="571"/>
      <c r="L108" s="232"/>
      <c r="M108" s="250"/>
      <c r="N108" s="232"/>
      <c r="O108" s="563"/>
    </row>
    <row r="109" spans="2:15" ht="3" customHeight="1" outlineLevel="1">
      <c r="B109" s="242"/>
      <c r="C109" s="242"/>
      <c r="D109" s="249"/>
      <c r="E109" s="232"/>
      <c r="F109" s="250"/>
      <c r="G109" s="232"/>
      <c r="H109" s="258"/>
      <c r="I109" s="258"/>
      <c r="J109" s="258"/>
      <c r="K109" s="258"/>
      <c r="L109" s="232"/>
      <c r="M109" s="250"/>
      <c r="N109" s="232"/>
      <c r="O109" s="570"/>
    </row>
    <row r="110" spans="2:15" s="234" customFormat="1" outlineLevel="1">
      <c r="B110" s="235" t="s">
        <v>552</v>
      </c>
      <c r="C110" s="235"/>
      <c r="D110" s="235"/>
      <c r="E110" s="232"/>
      <c r="F110" s="250"/>
      <c r="G110" s="232"/>
      <c r="H110" s="236">
        <f>COUNTA(H111)</f>
        <v>1</v>
      </c>
      <c r="I110" s="236"/>
      <c r="J110" s="236"/>
      <c r="K110" s="236"/>
      <c r="L110" s="232"/>
      <c r="M110" s="250"/>
      <c r="N110" s="232"/>
      <c r="O110" s="260">
        <f>SUM(O111:O111)</f>
        <v>4.4999999999999998E-2</v>
      </c>
    </row>
    <row r="111" spans="2:15" outlineLevel="2">
      <c r="B111" s="238"/>
      <c r="C111" s="565" t="s">
        <v>590</v>
      </c>
      <c r="D111" s="566" t="s">
        <v>17</v>
      </c>
      <c r="E111" s="232"/>
      <c r="F111" s="250"/>
      <c r="G111" s="232"/>
      <c r="H111" s="566" t="s">
        <v>591</v>
      </c>
      <c r="I111" s="566"/>
      <c r="J111" s="566"/>
      <c r="K111" s="566"/>
      <c r="L111" s="232"/>
      <c r="M111" s="250"/>
      <c r="N111" s="232"/>
      <c r="O111" s="563">
        <f>(3000*150)/10000000</f>
        <v>4.4999999999999998E-2</v>
      </c>
    </row>
    <row r="112" spans="2:15">
      <c r="B112" s="560"/>
      <c r="C112" s="559"/>
      <c r="D112" s="559"/>
      <c r="H112" s="562"/>
      <c r="I112" s="562"/>
      <c r="J112" s="562"/>
      <c r="K112" s="562"/>
      <c r="O112" s="563"/>
    </row>
    <row r="113" spans="2:15" s="228" customFormat="1" ht="15.6">
      <c r="B113" s="222" t="s">
        <v>428</v>
      </c>
      <c r="C113" s="223" t="s">
        <v>592</v>
      </c>
      <c r="D113" s="224" t="s">
        <v>17</v>
      </c>
      <c r="E113" s="225"/>
      <c r="F113" s="226"/>
      <c r="G113" s="225"/>
      <c r="H113" s="227">
        <f>SUM(H115,H119,H131,H168,H177,H179,H181,H183,H187,H189,H193,H197,H199,H203,H206,H212,H216,H220,H226,H228,H230,H232)</f>
        <v>67</v>
      </c>
      <c r="I113" s="227"/>
      <c r="J113" s="227"/>
      <c r="K113" s="227"/>
      <c r="L113" s="225"/>
      <c r="M113" s="226"/>
      <c r="N113" s="225"/>
      <c r="O113" s="340">
        <f>SUM(O115,O119,O131,O168,O177,O179,O181,O183,O187,O189,O193,O197,O199,O203,O206,O212,O216,O220,O226,O228,O230,O232)</f>
        <v>13.623554339271637</v>
      </c>
    </row>
    <row r="114" spans="2:15" ht="3" customHeight="1" outlineLevel="1">
      <c r="B114" s="229"/>
      <c r="C114" s="230"/>
      <c r="D114" s="231"/>
      <c r="E114" s="232"/>
      <c r="F114" s="192"/>
      <c r="G114" s="232"/>
      <c r="H114" s="233"/>
      <c r="I114" s="233"/>
      <c r="J114" s="233"/>
      <c r="K114" s="233"/>
      <c r="L114" s="232"/>
      <c r="M114" s="192"/>
      <c r="N114" s="232"/>
      <c r="O114" s="341"/>
    </row>
    <row r="115" spans="2:15" s="234" customFormat="1" outlineLevel="1">
      <c r="B115" s="235" t="s">
        <v>593</v>
      </c>
      <c r="C115" s="235"/>
      <c r="D115" s="235"/>
      <c r="E115" s="232"/>
      <c r="F115" s="192"/>
      <c r="G115" s="232"/>
      <c r="H115" s="236">
        <f>COUNTA(H116:H117)</f>
        <v>2</v>
      </c>
      <c r="I115" s="236"/>
      <c r="J115" s="236"/>
      <c r="K115" s="236"/>
      <c r="L115" s="232"/>
      <c r="M115" s="192"/>
      <c r="N115" s="232"/>
      <c r="O115" s="260">
        <f>SUM(O116:O117)</f>
        <v>0</v>
      </c>
    </row>
    <row r="116" spans="2:15" outlineLevel="2">
      <c r="B116" s="238" t="s">
        <v>428</v>
      </c>
      <c r="C116" s="242" t="s">
        <v>593</v>
      </c>
      <c r="D116" s="242" t="s">
        <v>17</v>
      </c>
      <c r="E116" s="239"/>
      <c r="F116" s="192"/>
      <c r="G116" s="239"/>
      <c r="H116" s="254" t="s">
        <v>284</v>
      </c>
      <c r="I116" s="254"/>
      <c r="J116" s="254"/>
      <c r="K116" s="254"/>
      <c r="L116" s="239"/>
      <c r="M116" s="192"/>
      <c r="N116" s="239"/>
      <c r="O116" s="311"/>
    </row>
    <row r="117" spans="2:15" outlineLevel="2">
      <c r="B117" s="238" t="s">
        <v>428</v>
      </c>
      <c r="C117" s="242" t="s">
        <v>593</v>
      </c>
      <c r="D117" s="242" t="s">
        <v>17</v>
      </c>
      <c r="E117" s="239"/>
      <c r="F117" s="192"/>
      <c r="G117" s="239"/>
      <c r="H117" s="254" t="s">
        <v>31</v>
      </c>
      <c r="I117" s="254"/>
      <c r="J117" s="254"/>
      <c r="K117" s="254"/>
      <c r="L117" s="239"/>
      <c r="M117" s="192"/>
      <c r="N117" s="239"/>
      <c r="O117" s="311"/>
    </row>
    <row r="118" spans="2:15" ht="3" customHeight="1" outlineLevel="1">
      <c r="B118" s="229"/>
      <c r="C118" s="230"/>
      <c r="D118" s="231"/>
      <c r="E118" s="232"/>
      <c r="F118" s="192"/>
      <c r="G118" s="232"/>
      <c r="H118" s="233"/>
      <c r="I118" s="233"/>
      <c r="J118" s="233"/>
      <c r="K118" s="233"/>
      <c r="L118" s="232"/>
      <c r="M118" s="192"/>
      <c r="N118" s="232"/>
      <c r="O118" s="341"/>
    </row>
    <row r="119" spans="2:15" s="234" customFormat="1" outlineLevel="1">
      <c r="B119" s="235" t="s">
        <v>594</v>
      </c>
      <c r="C119" s="235"/>
      <c r="D119" s="235"/>
      <c r="E119" s="232"/>
      <c r="F119" s="192"/>
      <c r="G119" s="232"/>
      <c r="H119" s="236">
        <f>COUNTA(H120:H129)</f>
        <v>10</v>
      </c>
      <c r="I119" s="236"/>
      <c r="J119" s="236"/>
      <c r="K119" s="236"/>
      <c r="L119" s="232"/>
      <c r="M119" s="192"/>
      <c r="N119" s="232"/>
      <c r="O119" s="260">
        <f>SUM(O120:O129)</f>
        <v>0.90157258987772559</v>
      </c>
    </row>
    <row r="120" spans="2:15" outlineLevel="2">
      <c r="B120" s="238" t="s">
        <v>428</v>
      </c>
      <c r="C120" s="242" t="s">
        <v>594</v>
      </c>
      <c r="D120" s="242" t="s">
        <v>17</v>
      </c>
      <c r="E120" s="239"/>
      <c r="F120" s="192"/>
      <c r="G120" s="239"/>
      <c r="H120" s="266" t="s">
        <v>224</v>
      </c>
      <c r="I120" s="266"/>
      <c r="J120" s="266"/>
      <c r="K120" s="266"/>
      <c r="L120" s="239"/>
      <c r="M120" s="192"/>
      <c r="N120" s="239"/>
      <c r="O120" s="345">
        <v>0.25575333042562204</v>
      </c>
    </row>
    <row r="121" spans="2:15" outlineLevel="2">
      <c r="B121" s="238" t="s">
        <v>428</v>
      </c>
      <c r="C121" s="242" t="s">
        <v>594</v>
      </c>
      <c r="D121" s="242" t="s">
        <v>17</v>
      </c>
      <c r="E121" s="239"/>
      <c r="F121" s="192"/>
      <c r="G121" s="239"/>
      <c r="H121" s="266" t="s">
        <v>178</v>
      </c>
      <c r="I121" s="266"/>
      <c r="J121" s="266"/>
      <c r="K121" s="266"/>
      <c r="L121" s="239"/>
      <c r="M121" s="192"/>
      <c r="N121" s="239"/>
      <c r="O121" s="345">
        <v>8.1564148364617506E-2</v>
      </c>
    </row>
    <row r="122" spans="2:15" s="261" customFormat="1" outlineLevel="2">
      <c r="B122" s="262" t="s">
        <v>428</v>
      </c>
      <c r="C122" s="263" t="s">
        <v>594</v>
      </c>
      <c r="D122" s="263" t="s">
        <v>17</v>
      </c>
      <c r="E122" s="264"/>
      <c r="F122" s="265"/>
      <c r="G122" s="264"/>
      <c r="H122" s="245" t="s">
        <v>61</v>
      </c>
      <c r="I122" s="245"/>
      <c r="J122" s="245"/>
      <c r="K122" s="245"/>
      <c r="L122" s="264"/>
      <c r="M122" s="265"/>
      <c r="N122" s="264"/>
      <c r="O122" s="344">
        <v>0.18696938245168926</v>
      </c>
    </row>
    <row r="123" spans="2:15" outlineLevel="2">
      <c r="B123" s="238"/>
      <c r="C123" s="242" t="s">
        <v>594</v>
      </c>
      <c r="D123" s="242" t="s">
        <v>17</v>
      </c>
      <c r="E123" s="239"/>
      <c r="F123" s="192"/>
      <c r="G123" s="239"/>
      <c r="H123" s="266" t="s">
        <v>107</v>
      </c>
      <c r="I123" s="266"/>
      <c r="J123" s="266"/>
      <c r="K123" s="266"/>
      <c r="L123" s="239"/>
      <c r="M123" s="192"/>
      <c r="N123" s="239"/>
      <c r="O123" s="345">
        <v>2.7188049454872507E-2</v>
      </c>
    </row>
    <row r="124" spans="2:15" s="261" customFormat="1" outlineLevel="2">
      <c r="B124" s="262"/>
      <c r="C124" s="263" t="s">
        <v>594</v>
      </c>
      <c r="D124" s="263" t="s">
        <v>17</v>
      </c>
      <c r="E124" s="264"/>
      <c r="F124" s="265"/>
      <c r="G124" s="264"/>
      <c r="H124" s="245" t="s">
        <v>65</v>
      </c>
      <c r="I124" s="245"/>
      <c r="J124" s="245"/>
      <c r="K124" s="245"/>
      <c r="L124" s="264"/>
      <c r="M124" s="265"/>
      <c r="N124" s="264"/>
      <c r="O124" s="344">
        <v>0.11218162947101355</v>
      </c>
    </row>
    <row r="125" spans="2:15" outlineLevel="2">
      <c r="B125" s="238"/>
      <c r="C125" s="242" t="s">
        <v>594</v>
      </c>
      <c r="D125" s="242" t="s">
        <v>17</v>
      </c>
      <c r="E125" s="239"/>
      <c r="F125" s="192"/>
      <c r="G125" s="239"/>
      <c r="H125" s="266" t="s">
        <v>23</v>
      </c>
      <c r="I125" s="266"/>
      <c r="J125" s="266"/>
      <c r="K125" s="266"/>
      <c r="L125" s="239"/>
      <c r="M125" s="192"/>
      <c r="N125" s="239"/>
      <c r="O125" s="345">
        <v>3.7393876490337853E-2</v>
      </c>
    </row>
    <row r="126" spans="2:15" s="261" customFormat="1" outlineLevel="2">
      <c r="B126" s="262"/>
      <c r="C126" s="263" t="s">
        <v>594</v>
      </c>
      <c r="D126" s="263" t="s">
        <v>17</v>
      </c>
      <c r="E126" s="264"/>
      <c r="F126" s="265"/>
      <c r="G126" s="264"/>
      <c r="H126" s="245" t="s">
        <v>66</v>
      </c>
      <c r="I126" s="245"/>
      <c r="J126" s="245"/>
      <c r="K126" s="245"/>
      <c r="L126" s="264"/>
      <c r="M126" s="265"/>
      <c r="N126" s="264"/>
      <c r="O126" s="344">
        <v>3.7393876490337853E-2</v>
      </c>
    </row>
    <row r="127" spans="2:15" s="261" customFormat="1" outlineLevel="2">
      <c r="B127" s="262"/>
      <c r="C127" s="242" t="s">
        <v>594</v>
      </c>
      <c r="D127" s="242" t="s">
        <v>17</v>
      </c>
      <c r="E127" s="264"/>
      <c r="F127" s="265"/>
      <c r="G127" s="264"/>
      <c r="H127" s="266" t="s">
        <v>106</v>
      </c>
      <c r="I127" s="266"/>
      <c r="J127" s="266"/>
      <c r="K127" s="266"/>
      <c r="L127" s="264"/>
      <c r="M127" s="265"/>
      <c r="N127" s="264"/>
      <c r="O127" s="345">
        <v>0.10875219781949003</v>
      </c>
    </row>
    <row r="128" spans="2:15" s="261" customFormat="1" outlineLevel="2">
      <c r="B128" s="262"/>
      <c r="C128" s="242" t="s">
        <v>594</v>
      </c>
      <c r="D128" s="242" t="s">
        <v>17</v>
      </c>
      <c r="E128" s="264"/>
      <c r="F128" s="265"/>
      <c r="G128" s="264"/>
      <c r="H128" s="245" t="s">
        <v>225</v>
      </c>
      <c r="I128" s="245"/>
      <c r="J128" s="245"/>
      <c r="K128" s="245"/>
      <c r="L128" s="264"/>
      <c r="M128" s="265"/>
      <c r="N128" s="264"/>
      <c r="O128" s="344">
        <v>2.7188049454872507E-2</v>
      </c>
    </row>
    <row r="129" spans="2:15" s="261" customFormat="1" outlineLevel="2">
      <c r="B129" s="262"/>
      <c r="C129" s="242" t="s">
        <v>594</v>
      </c>
      <c r="D129" s="242" t="s">
        <v>17</v>
      </c>
      <c r="E129" s="264"/>
      <c r="F129" s="265"/>
      <c r="G129" s="264"/>
      <c r="H129" s="266" t="s">
        <v>24</v>
      </c>
      <c r="I129" s="266"/>
      <c r="J129" s="266"/>
      <c r="K129" s="266"/>
      <c r="L129" s="264"/>
      <c r="M129" s="265"/>
      <c r="N129" s="264"/>
      <c r="O129" s="345">
        <v>2.7188049454872507E-2</v>
      </c>
    </row>
    <row r="130" spans="2:15" ht="3" customHeight="1" outlineLevel="1">
      <c r="B130" s="238"/>
      <c r="C130" s="242"/>
      <c r="D130" s="242"/>
      <c r="E130" s="239"/>
      <c r="F130" s="192"/>
      <c r="G130" s="239"/>
      <c r="H130" s="241"/>
      <c r="I130" s="241"/>
      <c r="J130" s="241"/>
      <c r="K130" s="241"/>
      <c r="L130" s="239"/>
      <c r="M130" s="192"/>
      <c r="N130" s="239"/>
      <c r="O130" s="343"/>
    </row>
    <row r="131" spans="2:15" s="234" customFormat="1" outlineLevel="1">
      <c r="B131" s="235" t="s">
        <v>182</v>
      </c>
      <c r="C131" s="235"/>
      <c r="D131" s="235"/>
      <c r="E131" s="232"/>
      <c r="F131" s="192"/>
      <c r="G131" s="232"/>
      <c r="H131" s="236">
        <f>COUNTA(H132:H166)</f>
        <v>35</v>
      </c>
      <c r="I131" s="236"/>
      <c r="J131" s="236"/>
      <c r="K131" s="236"/>
      <c r="L131" s="232"/>
      <c r="M131" s="192"/>
      <c r="N131" s="232"/>
      <c r="O131" s="260">
        <f>SUM(O132:O166)</f>
        <v>9.8799999999999955</v>
      </c>
    </row>
    <row r="132" spans="2:15" ht="21.6" customHeight="1" outlineLevel="2">
      <c r="B132" s="238" t="s">
        <v>428</v>
      </c>
      <c r="C132" s="242" t="s">
        <v>182</v>
      </c>
      <c r="D132" s="242" t="s">
        <v>17</v>
      </c>
      <c r="E132" s="232"/>
      <c r="F132" s="250"/>
      <c r="G132" s="232"/>
      <c r="H132" s="266" t="s">
        <v>23</v>
      </c>
      <c r="I132" s="266"/>
      <c r="J132" s="266"/>
      <c r="K132" s="266"/>
      <c r="L132" s="232"/>
      <c r="M132" s="250"/>
      <c r="N132" s="232"/>
      <c r="O132" s="344">
        <v>7.0000000000000007E-2</v>
      </c>
    </row>
    <row r="133" spans="2:15" ht="20.85" customHeight="1" outlineLevel="2">
      <c r="B133" s="238" t="s">
        <v>428</v>
      </c>
      <c r="C133" s="242" t="s">
        <v>182</v>
      </c>
      <c r="D133" s="242" t="s">
        <v>17</v>
      </c>
      <c r="E133" s="232"/>
      <c r="F133" s="250"/>
      <c r="G133" s="232"/>
      <c r="H133" s="266" t="s">
        <v>66</v>
      </c>
      <c r="I133" s="266"/>
      <c r="J133" s="266"/>
      <c r="K133" s="266"/>
      <c r="L133" s="232"/>
      <c r="M133" s="250"/>
      <c r="N133" s="232"/>
      <c r="O133" s="344">
        <v>7.0000000000000007E-2</v>
      </c>
    </row>
    <row r="134" spans="2:15" ht="21" customHeight="1" outlineLevel="2">
      <c r="B134" s="238" t="s">
        <v>428</v>
      </c>
      <c r="C134" s="242" t="s">
        <v>182</v>
      </c>
      <c r="D134" s="242" t="s">
        <v>17</v>
      </c>
      <c r="E134" s="232"/>
      <c r="F134" s="250"/>
      <c r="G134" s="232"/>
      <c r="H134" s="266" t="s">
        <v>106</v>
      </c>
      <c r="I134" s="266"/>
      <c r="J134" s="266"/>
      <c r="K134" s="266"/>
      <c r="L134" s="232"/>
      <c r="M134" s="250"/>
      <c r="N134" s="232"/>
      <c r="O134" s="344">
        <v>0.15</v>
      </c>
    </row>
    <row r="135" spans="2:15" ht="21" customHeight="1" outlineLevel="2">
      <c r="B135" s="238"/>
      <c r="C135" s="242" t="s">
        <v>182</v>
      </c>
      <c r="D135" s="242" t="s">
        <v>17</v>
      </c>
      <c r="E135" s="232"/>
      <c r="F135" s="250"/>
      <c r="G135" s="232"/>
      <c r="H135" s="578" t="s">
        <v>595</v>
      </c>
      <c r="I135" s="578"/>
      <c r="J135" s="578"/>
      <c r="K135" s="578"/>
      <c r="L135" s="232"/>
      <c r="M135" s="250"/>
      <c r="N135" s="232"/>
      <c r="O135" s="579">
        <v>0.04</v>
      </c>
    </row>
    <row r="136" spans="2:15" ht="18.600000000000001" customHeight="1" outlineLevel="2">
      <c r="B136" s="238"/>
      <c r="C136" s="242" t="s">
        <v>182</v>
      </c>
      <c r="D136" s="242" t="s">
        <v>17</v>
      </c>
      <c r="E136" s="232"/>
      <c r="F136" s="250"/>
      <c r="G136" s="232"/>
      <c r="H136" s="580" t="s">
        <v>88</v>
      </c>
      <c r="I136" s="580"/>
      <c r="J136" s="580"/>
      <c r="K136" s="580"/>
      <c r="L136" s="232"/>
      <c r="M136" s="250"/>
      <c r="N136" s="232"/>
      <c r="O136" s="581">
        <v>0.04</v>
      </c>
    </row>
    <row r="137" spans="2:15" ht="21" customHeight="1" outlineLevel="2">
      <c r="B137" s="238"/>
      <c r="C137" s="242" t="s">
        <v>182</v>
      </c>
      <c r="D137" s="242" t="s">
        <v>17</v>
      </c>
      <c r="E137" s="232"/>
      <c r="F137" s="250"/>
      <c r="G137" s="232"/>
      <c r="H137" s="266" t="s">
        <v>596</v>
      </c>
      <c r="I137" s="266"/>
      <c r="J137" s="266"/>
      <c r="K137" s="266"/>
      <c r="L137" s="232"/>
      <c r="M137" s="250"/>
      <c r="N137" s="232"/>
      <c r="O137" s="344">
        <v>0.06</v>
      </c>
    </row>
    <row r="138" spans="2:15" ht="18.600000000000001" customHeight="1" outlineLevel="2">
      <c r="B138" s="238"/>
      <c r="C138" s="242" t="s">
        <v>182</v>
      </c>
      <c r="D138" s="242" t="s">
        <v>17</v>
      </c>
      <c r="E138" s="232"/>
      <c r="F138" s="250"/>
      <c r="G138" s="232"/>
      <c r="H138" s="266" t="s">
        <v>597</v>
      </c>
      <c r="I138" s="266"/>
      <c r="J138" s="266"/>
      <c r="K138" s="266"/>
      <c r="L138" s="232"/>
      <c r="M138" s="250"/>
      <c r="N138" s="232"/>
      <c r="O138" s="344">
        <v>0.03</v>
      </c>
    </row>
    <row r="139" spans="2:15" ht="21" customHeight="1" outlineLevel="2">
      <c r="B139" s="238"/>
      <c r="C139" s="242" t="s">
        <v>182</v>
      </c>
      <c r="D139" s="242" t="s">
        <v>17</v>
      </c>
      <c r="E139" s="232"/>
      <c r="F139" s="250"/>
      <c r="G139" s="232"/>
      <c r="H139" s="266" t="s">
        <v>598</v>
      </c>
      <c r="I139" s="266"/>
      <c r="J139" s="266"/>
      <c r="K139" s="266"/>
      <c r="L139" s="232"/>
      <c r="M139" s="250"/>
      <c r="N139" s="232"/>
      <c r="O139" s="344">
        <v>0.06</v>
      </c>
    </row>
    <row r="140" spans="2:15" ht="23.1" customHeight="1" outlineLevel="2">
      <c r="B140" s="238" t="s">
        <v>428</v>
      </c>
      <c r="C140" s="242" t="s">
        <v>182</v>
      </c>
      <c r="D140" s="242" t="s">
        <v>17</v>
      </c>
      <c r="E140" s="232"/>
      <c r="F140" s="250"/>
      <c r="G140" s="232"/>
      <c r="H140" s="266" t="s">
        <v>599</v>
      </c>
      <c r="I140" s="266"/>
      <c r="J140" s="266"/>
      <c r="K140" s="266"/>
      <c r="L140" s="232"/>
      <c r="M140" s="250"/>
      <c r="N140" s="232"/>
      <c r="O140" s="344">
        <v>0.06</v>
      </c>
    </row>
    <row r="141" spans="2:15" ht="27.6" customHeight="1" outlineLevel="2">
      <c r="B141" s="238"/>
      <c r="C141" s="242" t="s">
        <v>182</v>
      </c>
      <c r="D141" s="242" t="s">
        <v>17</v>
      </c>
      <c r="E141" s="232"/>
      <c r="F141" s="250"/>
      <c r="G141" s="232"/>
      <c r="H141" s="266" t="s">
        <v>600</v>
      </c>
      <c r="I141" s="266"/>
      <c r="J141" s="266"/>
      <c r="K141" s="266"/>
      <c r="L141" s="232"/>
      <c r="M141" s="250"/>
      <c r="N141" s="232"/>
      <c r="O141" s="344">
        <v>0.03</v>
      </c>
    </row>
    <row r="142" spans="2:15" ht="21.6" customHeight="1" outlineLevel="2">
      <c r="B142" s="238"/>
      <c r="C142" s="242" t="s">
        <v>182</v>
      </c>
      <c r="D142" s="242" t="s">
        <v>17</v>
      </c>
      <c r="E142" s="232"/>
      <c r="F142" s="250"/>
      <c r="G142" s="232"/>
      <c r="H142" s="266" t="s">
        <v>601</v>
      </c>
      <c r="I142" s="266"/>
      <c r="J142" s="266"/>
      <c r="K142" s="266"/>
      <c r="L142" s="232"/>
      <c r="M142" s="250"/>
      <c r="N142" s="232"/>
      <c r="O142" s="344">
        <v>0.03</v>
      </c>
    </row>
    <row r="143" spans="2:15" ht="25.35" customHeight="1" outlineLevel="2">
      <c r="B143" s="238"/>
      <c r="C143" s="242" t="s">
        <v>182</v>
      </c>
      <c r="D143" s="242" t="s">
        <v>17</v>
      </c>
      <c r="E143" s="232"/>
      <c r="F143" s="250"/>
      <c r="G143" s="232"/>
      <c r="H143" s="266" t="s">
        <v>602</v>
      </c>
      <c r="I143" s="266"/>
      <c r="J143" s="266"/>
      <c r="K143" s="266"/>
      <c r="L143" s="232"/>
      <c r="M143" s="250"/>
      <c r="N143" s="232"/>
      <c r="O143" s="344">
        <v>0.13</v>
      </c>
    </row>
    <row r="144" spans="2:15" ht="32.1" customHeight="1" outlineLevel="2">
      <c r="B144" s="238"/>
      <c r="C144" s="242" t="s">
        <v>182</v>
      </c>
      <c r="D144" s="242" t="s">
        <v>17</v>
      </c>
      <c r="E144" s="232"/>
      <c r="F144" s="250"/>
      <c r="G144" s="232"/>
      <c r="H144" s="266" t="s">
        <v>603</v>
      </c>
      <c r="I144" s="266"/>
      <c r="J144" s="266"/>
      <c r="K144" s="266"/>
      <c r="L144" s="232"/>
      <c r="M144" s="250"/>
      <c r="N144" s="232"/>
      <c r="O144" s="344">
        <v>0.1</v>
      </c>
    </row>
    <row r="145" spans="2:15" outlineLevel="2">
      <c r="B145" s="238"/>
      <c r="C145" s="242" t="s">
        <v>182</v>
      </c>
      <c r="D145" s="242" t="s">
        <v>17</v>
      </c>
      <c r="E145" s="232"/>
      <c r="F145" s="250"/>
      <c r="G145" s="232"/>
      <c r="H145" s="266" t="s">
        <v>604</v>
      </c>
      <c r="I145" s="266"/>
      <c r="J145" s="266"/>
      <c r="K145" s="266"/>
      <c r="L145" s="232"/>
      <c r="M145" s="250"/>
      <c r="N145" s="232"/>
      <c r="O145" s="344">
        <v>0.13</v>
      </c>
    </row>
    <row r="146" spans="2:15" outlineLevel="2">
      <c r="B146" s="238"/>
      <c r="C146" s="242" t="s">
        <v>182</v>
      </c>
      <c r="D146" s="242" t="s">
        <v>17</v>
      </c>
      <c r="E146" s="232"/>
      <c r="F146" s="250"/>
      <c r="G146" s="232"/>
      <c r="H146" s="266" t="s">
        <v>605</v>
      </c>
      <c r="I146" s="266"/>
      <c r="J146" s="266"/>
      <c r="K146" s="266"/>
      <c r="L146" s="232"/>
      <c r="M146" s="250"/>
      <c r="N146" s="232"/>
      <c r="O146" s="344">
        <v>0.27</v>
      </c>
    </row>
    <row r="147" spans="2:15" outlineLevel="2">
      <c r="B147" s="238"/>
      <c r="C147" s="242" t="s">
        <v>182</v>
      </c>
      <c r="D147" s="242" t="s">
        <v>17</v>
      </c>
      <c r="E147" s="232"/>
      <c r="F147" s="250"/>
      <c r="G147" s="232"/>
      <c r="H147" s="266" t="s">
        <v>606</v>
      </c>
      <c r="I147" s="266"/>
      <c r="J147" s="266"/>
      <c r="K147" s="266"/>
      <c r="L147" s="232"/>
      <c r="M147" s="250"/>
      <c r="N147" s="232"/>
      <c r="O147" s="344">
        <v>0.27</v>
      </c>
    </row>
    <row r="148" spans="2:15" ht="20.100000000000001" customHeight="1" outlineLevel="2">
      <c r="B148" s="238"/>
      <c r="C148" s="242" t="s">
        <v>182</v>
      </c>
      <c r="D148" s="242" t="s">
        <v>17</v>
      </c>
      <c r="E148" s="232"/>
      <c r="F148" s="250"/>
      <c r="G148" s="232"/>
      <c r="H148" s="245" t="s">
        <v>224</v>
      </c>
      <c r="I148" s="245"/>
      <c r="J148" s="245"/>
      <c r="K148" s="245"/>
      <c r="L148" s="232"/>
      <c r="M148" s="250"/>
      <c r="N148" s="232"/>
      <c r="O148" s="344">
        <v>0.14000000000000001</v>
      </c>
    </row>
    <row r="149" spans="2:15" ht="20.100000000000001" customHeight="1" outlineLevel="2">
      <c r="B149" s="238"/>
      <c r="C149" s="242" t="s">
        <v>182</v>
      </c>
      <c r="D149" s="242" t="s">
        <v>17</v>
      </c>
      <c r="E149" s="232"/>
      <c r="F149" s="250"/>
      <c r="G149" s="232"/>
      <c r="H149" s="245" t="s">
        <v>607</v>
      </c>
      <c r="I149" s="245"/>
      <c r="J149" s="245"/>
      <c r="K149" s="245"/>
      <c r="L149" s="232"/>
      <c r="M149" s="250"/>
      <c r="N149" s="232"/>
      <c r="O149" s="344">
        <v>0.14000000000000001</v>
      </c>
    </row>
    <row r="150" spans="2:15" ht="20.100000000000001" customHeight="1" outlineLevel="2">
      <c r="B150" s="238"/>
      <c r="C150" s="242" t="s">
        <v>182</v>
      </c>
      <c r="D150" s="242" t="s">
        <v>17</v>
      </c>
      <c r="E150" s="232"/>
      <c r="F150" s="250"/>
      <c r="G150" s="232"/>
      <c r="H150" s="245" t="s">
        <v>227</v>
      </c>
      <c r="I150" s="245"/>
      <c r="J150" s="245"/>
      <c r="K150" s="245"/>
      <c r="L150" s="232"/>
      <c r="M150" s="250"/>
      <c r="N150" s="232"/>
      <c r="O150" s="344">
        <v>0.55000000000000004</v>
      </c>
    </row>
    <row r="151" spans="2:15" ht="20.100000000000001" customHeight="1" outlineLevel="2">
      <c r="B151" s="238"/>
      <c r="C151" s="242" t="s">
        <v>182</v>
      </c>
      <c r="D151" s="242" t="s">
        <v>17</v>
      </c>
      <c r="E151" s="232"/>
      <c r="F151" s="250"/>
      <c r="G151" s="232"/>
      <c r="H151" s="245" t="s">
        <v>608</v>
      </c>
      <c r="I151" s="245"/>
      <c r="J151" s="245"/>
      <c r="K151" s="245"/>
      <c r="L151" s="232"/>
      <c r="M151" s="250"/>
      <c r="N151" s="232"/>
      <c r="O151" s="344">
        <v>0.55000000000000004</v>
      </c>
    </row>
    <row r="152" spans="2:15" ht="20.100000000000001" customHeight="1" outlineLevel="2">
      <c r="B152" s="238"/>
      <c r="C152" s="242" t="s">
        <v>182</v>
      </c>
      <c r="D152" s="242" t="s">
        <v>17</v>
      </c>
      <c r="E152" s="232"/>
      <c r="F152" s="250"/>
      <c r="G152" s="232"/>
      <c r="H152" s="245" t="s">
        <v>609</v>
      </c>
      <c r="I152" s="245"/>
      <c r="J152" s="245"/>
      <c r="K152" s="245"/>
      <c r="L152" s="232"/>
      <c r="M152" s="250"/>
      <c r="N152" s="232"/>
      <c r="O152" s="344">
        <v>2.2400000000000002</v>
      </c>
    </row>
    <row r="153" spans="2:15" ht="20.100000000000001" customHeight="1" outlineLevel="2">
      <c r="B153" s="238"/>
      <c r="C153" s="242" t="s">
        <v>182</v>
      </c>
      <c r="D153" s="242" t="s">
        <v>17</v>
      </c>
      <c r="E153" s="232"/>
      <c r="F153" s="250"/>
      <c r="G153" s="232"/>
      <c r="H153" s="245" t="s">
        <v>610</v>
      </c>
      <c r="I153" s="245"/>
      <c r="J153" s="245"/>
      <c r="K153" s="245"/>
      <c r="L153" s="232"/>
      <c r="M153" s="250"/>
      <c r="N153" s="232"/>
      <c r="O153" s="344">
        <v>2.2400000000000002</v>
      </c>
    </row>
    <row r="154" spans="2:15" ht="20.100000000000001" customHeight="1" outlineLevel="2">
      <c r="B154" s="238"/>
      <c r="C154" s="242" t="s">
        <v>182</v>
      </c>
      <c r="D154" s="242" t="s">
        <v>17</v>
      </c>
      <c r="E154" s="232"/>
      <c r="F154" s="250"/>
      <c r="G154" s="232"/>
      <c r="H154" s="266" t="s">
        <v>611</v>
      </c>
      <c r="I154" s="266"/>
      <c r="J154" s="266"/>
      <c r="K154" s="266"/>
      <c r="L154" s="232"/>
      <c r="M154" s="250"/>
      <c r="N154" s="232"/>
      <c r="O154" s="344">
        <v>0.1</v>
      </c>
    </row>
    <row r="155" spans="2:15" ht="20.100000000000001" customHeight="1" outlineLevel="2">
      <c r="B155" s="238"/>
      <c r="C155" s="242" t="s">
        <v>182</v>
      </c>
      <c r="D155" s="242" t="s">
        <v>17</v>
      </c>
      <c r="E155" s="232"/>
      <c r="F155" s="250"/>
      <c r="G155" s="232"/>
      <c r="H155" s="266" t="s">
        <v>612</v>
      </c>
      <c r="I155" s="266"/>
      <c r="J155" s="266"/>
      <c r="K155" s="266"/>
      <c r="L155" s="232"/>
      <c r="M155" s="250"/>
      <c r="N155" s="232"/>
      <c r="O155" s="344">
        <v>0.13</v>
      </c>
    </row>
    <row r="156" spans="2:15" ht="20.100000000000001" customHeight="1" outlineLevel="2">
      <c r="B156" s="238"/>
      <c r="C156" s="242" t="s">
        <v>182</v>
      </c>
      <c r="D156" s="242" t="s">
        <v>17</v>
      </c>
      <c r="E156" s="232"/>
      <c r="F156" s="250"/>
      <c r="G156" s="232"/>
      <c r="H156" s="266" t="s">
        <v>228</v>
      </c>
      <c r="I156" s="266"/>
      <c r="J156" s="266"/>
      <c r="K156" s="266"/>
      <c r="L156" s="232"/>
      <c r="M156" s="250"/>
      <c r="N156" s="232"/>
      <c r="O156" s="344">
        <v>0.2</v>
      </c>
    </row>
    <row r="157" spans="2:15" ht="20.100000000000001" customHeight="1" outlineLevel="2">
      <c r="B157" s="238"/>
      <c r="C157" s="242" t="s">
        <v>182</v>
      </c>
      <c r="D157" s="242" t="s">
        <v>17</v>
      </c>
      <c r="E157" s="232"/>
      <c r="F157" s="250"/>
      <c r="G157" s="232"/>
      <c r="H157" s="266" t="s">
        <v>613</v>
      </c>
      <c r="I157" s="266"/>
      <c r="J157" s="266"/>
      <c r="K157" s="266"/>
      <c r="L157" s="232"/>
      <c r="M157" s="250"/>
      <c r="N157" s="232"/>
      <c r="O157" s="344">
        <v>0.27</v>
      </c>
    </row>
    <row r="158" spans="2:15" ht="20.100000000000001" customHeight="1" outlineLevel="2">
      <c r="B158" s="238"/>
      <c r="C158" s="242" t="s">
        <v>182</v>
      </c>
      <c r="D158" s="242" t="s">
        <v>17</v>
      </c>
      <c r="E158" s="232"/>
      <c r="F158" s="250"/>
      <c r="G158" s="232"/>
      <c r="H158" s="266" t="s">
        <v>614</v>
      </c>
      <c r="I158" s="266"/>
      <c r="J158" s="266"/>
      <c r="K158" s="266"/>
      <c r="L158" s="232"/>
      <c r="M158" s="250"/>
      <c r="N158" s="232"/>
      <c r="O158" s="344">
        <v>0.2</v>
      </c>
    </row>
    <row r="159" spans="2:15" ht="20.100000000000001" customHeight="1" outlineLevel="2">
      <c r="B159" s="238"/>
      <c r="C159" s="242" t="s">
        <v>182</v>
      </c>
      <c r="D159" s="242" t="s">
        <v>17</v>
      </c>
      <c r="E159" s="232"/>
      <c r="F159" s="250"/>
      <c r="G159" s="232"/>
      <c r="H159" s="266" t="s">
        <v>615</v>
      </c>
      <c r="I159" s="266"/>
      <c r="J159" s="266"/>
      <c r="K159" s="266"/>
      <c r="L159" s="232"/>
      <c r="M159" s="250"/>
      <c r="N159" s="232"/>
      <c r="O159" s="344">
        <v>0.27</v>
      </c>
    </row>
    <row r="160" spans="2:15" ht="20.100000000000001" customHeight="1" outlineLevel="2">
      <c r="B160" s="238"/>
      <c r="C160" s="242" t="s">
        <v>182</v>
      </c>
      <c r="D160" s="242" t="s">
        <v>17</v>
      </c>
      <c r="E160" s="232"/>
      <c r="F160" s="250"/>
      <c r="G160" s="232"/>
      <c r="H160" s="266" t="s">
        <v>616</v>
      </c>
      <c r="I160" s="266"/>
      <c r="J160" s="266"/>
      <c r="K160" s="266"/>
      <c r="L160" s="232"/>
      <c r="M160" s="250"/>
      <c r="N160" s="232"/>
      <c r="O160" s="344">
        <v>0.2</v>
      </c>
    </row>
    <row r="161" spans="2:15" ht="20.100000000000001" customHeight="1" outlineLevel="2">
      <c r="B161" s="238"/>
      <c r="C161" s="242" t="s">
        <v>182</v>
      </c>
      <c r="D161" s="242" t="s">
        <v>17</v>
      </c>
      <c r="E161" s="232"/>
      <c r="F161" s="250"/>
      <c r="G161" s="232"/>
      <c r="H161" s="266" t="s">
        <v>617</v>
      </c>
      <c r="I161" s="266"/>
      <c r="J161" s="266"/>
      <c r="K161" s="266"/>
      <c r="L161" s="232"/>
      <c r="M161" s="250"/>
      <c r="N161" s="232"/>
      <c r="O161" s="344">
        <v>0.27</v>
      </c>
    </row>
    <row r="162" spans="2:15" ht="20.100000000000001" customHeight="1" outlineLevel="2">
      <c r="B162" s="238"/>
      <c r="C162" s="242" t="s">
        <v>182</v>
      </c>
      <c r="D162" s="242" t="s">
        <v>17</v>
      </c>
      <c r="E162" s="232"/>
      <c r="F162" s="250"/>
      <c r="G162" s="232"/>
      <c r="H162" s="245" t="s">
        <v>618</v>
      </c>
      <c r="I162" s="245"/>
      <c r="J162" s="245"/>
      <c r="K162" s="245"/>
      <c r="L162" s="232"/>
      <c r="M162" s="250"/>
      <c r="N162" s="232"/>
      <c r="O162" s="344">
        <v>0.2</v>
      </c>
    </row>
    <row r="163" spans="2:15" ht="20.100000000000001" customHeight="1" outlineLevel="2">
      <c r="B163" s="238"/>
      <c r="C163" s="242" t="s">
        <v>182</v>
      </c>
      <c r="D163" s="242" t="s">
        <v>17</v>
      </c>
      <c r="E163" s="232"/>
      <c r="F163" s="250"/>
      <c r="G163" s="232"/>
      <c r="H163" s="245" t="s">
        <v>619</v>
      </c>
      <c r="I163" s="245"/>
      <c r="J163" s="245"/>
      <c r="K163" s="245"/>
      <c r="L163" s="232"/>
      <c r="M163" s="250"/>
      <c r="N163" s="232"/>
      <c r="O163" s="344">
        <v>0.27</v>
      </c>
    </row>
    <row r="164" spans="2:15" ht="20.100000000000001" customHeight="1" outlineLevel="2">
      <c r="B164" s="238"/>
      <c r="C164" s="242" t="s">
        <v>182</v>
      </c>
      <c r="D164" s="242" t="s">
        <v>17</v>
      </c>
      <c r="E164" s="232"/>
      <c r="F164" s="250"/>
      <c r="G164" s="232"/>
      <c r="H164" s="245" t="s">
        <v>65</v>
      </c>
      <c r="I164" s="245"/>
      <c r="J164" s="245"/>
      <c r="K164" s="245"/>
      <c r="L164" s="232"/>
      <c r="M164" s="250"/>
      <c r="N164" s="232"/>
      <c r="O164" s="344">
        <v>0.22</v>
      </c>
    </row>
    <row r="165" spans="2:15" ht="20.100000000000001" customHeight="1" outlineLevel="2">
      <c r="B165" s="238"/>
      <c r="C165" s="242" t="s">
        <v>182</v>
      </c>
      <c r="D165" s="242" t="s">
        <v>17</v>
      </c>
      <c r="E165" s="232"/>
      <c r="F165" s="250"/>
      <c r="G165" s="232"/>
      <c r="H165" s="245" t="s">
        <v>178</v>
      </c>
      <c r="I165" s="245"/>
      <c r="J165" s="245"/>
      <c r="K165" s="245"/>
      <c r="L165" s="232"/>
      <c r="M165" s="250"/>
      <c r="N165" s="232"/>
      <c r="O165" s="344">
        <v>0.11</v>
      </c>
    </row>
    <row r="166" spans="2:15" ht="20.100000000000001" customHeight="1" outlineLevel="2">
      <c r="B166" s="238"/>
      <c r="C166" s="242" t="s">
        <v>182</v>
      </c>
      <c r="D166" s="242" t="s">
        <v>17</v>
      </c>
      <c r="E166" s="232"/>
      <c r="F166" s="250"/>
      <c r="G166" s="232"/>
      <c r="H166" s="559" t="s">
        <v>107</v>
      </c>
      <c r="I166" s="559"/>
      <c r="J166" s="559"/>
      <c r="K166" s="559"/>
      <c r="L166" s="232"/>
      <c r="M166" s="250"/>
      <c r="N166" s="232"/>
      <c r="O166" s="579">
        <v>0.04</v>
      </c>
    </row>
    <row r="167" spans="2:15" ht="3" customHeight="1" outlineLevel="1">
      <c r="B167" s="238"/>
      <c r="C167" s="565"/>
      <c r="D167" s="566"/>
      <c r="E167" s="232"/>
      <c r="F167" s="250"/>
      <c r="G167" s="232"/>
      <c r="H167" s="582"/>
      <c r="I167" s="582"/>
      <c r="J167" s="582"/>
      <c r="K167" s="582"/>
      <c r="L167" s="232"/>
      <c r="M167" s="250"/>
      <c r="N167" s="232"/>
      <c r="O167" s="581"/>
    </row>
    <row r="168" spans="2:15" s="234" customFormat="1" outlineLevel="1">
      <c r="B168" s="235" t="s">
        <v>620</v>
      </c>
      <c r="C168" s="235"/>
      <c r="D168" s="235"/>
      <c r="E168" s="232"/>
      <c r="F168" s="250"/>
      <c r="G168" s="232"/>
      <c r="H168" s="236">
        <f>COUNTA(H169:H175)</f>
        <v>7</v>
      </c>
      <c r="I168" s="236"/>
      <c r="J168" s="236"/>
      <c r="K168" s="236"/>
      <c r="L168" s="232"/>
      <c r="M168" s="250"/>
      <c r="N168" s="232"/>
      <c r="O168" s="260">
        <f>SUM(O169:O175)</f>
        <v>1.6447754763030082</v>
      </c>
    </row>
    <row r="169" spans="2:15" outlineLevel="2">
      <c r="B169" s="238"/>
      <c r="C169" s="565" t="s">
        <v>620</v>
      </c>
      <c r="D169" s="566" t="s">
        <v>17</v>
      </c>
      <c r="E169" s="232"/>
      <c r="F169" s="250"/>
      <c r="G169" s="232"/>
      <c r="H169" s="568" t="s">
        <v>621</v>
      </c>
      <c r="I169" s="568"/>
      <c r="J169" s="568"/>
      <c r="K169" s="568"/>
      <c r="L169" s="232"/>
      <c r="M169" s="250"/>
      <c r="N169" s="232"/>
      <c r="O169" s="572">
        <v>0.11</v>
      </c>
    </row>
    <row r="170" spans="2:15" outlineLevel="2">
      <c r="B170" s="238"/>
      <c r="C170" s="565" t="s">
        <v>620</v>
      </c>
      <c r="D170" s="566" t="s">
        <v>17</v>
      </c>
      <c r="E170" s="232"/>
      <c r="F170" s="250"/>
      <c r="G170" s="232"/>
      <c r="H170" s="559" t="s">
        <v>32</v>
      </c>
      <c r="I170" s="559"/>
      <c r="J170" s="559"/>
      <c r="K170" s="559"/>
      <c r="L170" s="232"/>
      <c r="M170" s="250"/>
      <c r="N170" s="232"/>
      <c r="O170" s="572"/>
    </row>
    <row r="171" spans="2:15" outlineLevel="2">
      <c r="B171" s="238"/>
      <c r="C171" s="565" t="s">
        <v>620</v>
      </c>
      <c r="D171" s="566" t="s">
        <v>17</v>
      </c>
      <c r="E171" s="232"/>
      <c r="F171" s="250"/>
      <c r="G171" s="232"/>
      <c r="H171" s="568" t="s">
        <v>178</v>
      </c>
      <c r="I171" s="568"/>
      <c r="J171" s="568"/>
      <c r="K171" s="568"/>
      <c r="L171" s="232"/>
      <c r="M171" s="250"/>
      <c r="N171" s="232"/>
      <c r="O171" s="572">
        <v>0.46</v>
      </c>
    </row>
    <row r="172" spans="2:15" outlineLevel="2">
      <c r="B172" s="238"/>
      <c r="C172" s="565" t="s">
        <v>620</v>
      </c>
      <c r="D172" s="566" t="s">
        <v>17</v>
      </c>
      <c r="E172" s="232"/>
      <c r="F172" s="250"/>
      <c r="G172" s="232"/>
      <c r="H172" s="568" t="s">
        <v>106</v>
      </c>
      <c r="I172" s="568"/>
      <c r="J172" s="568"/>
      <c r="K172" s="568"/>
      <c r="L172" s="232"/>
      <c r="M172" s="250"/>
      <c r="N172" s="232"/>
      <c r="O172" s="572">
        <v>0.62</v>
      </c>
    </row>
    <row r="173" spans="2:15" outlineLevel="2">
      <c r="B173" s="238"/>
      <c r="C173" s="565" t="s">
        <v>620</v>
      </c>
      <c r="D173" s="566" t="s">
        <v>17</v>
      </c>
      <c r="E173" s="232"/>
      <c r="F173" s="250"/>
      <c r="G173" s="232"/>
      <c r="H173" s="568" t="s">
        <v>108</v>
      </c>
      <c r="I173" s="568"/>
      <c r="J173" s="568"/>
      <c r="K173" s="568"/>
      <c r="L173" s="232"/>
      <c r="M173" s="250"/>
      <c r="N173" s="232"/>
      <c r="O173" s="572">
        <v>0.1547754763030085</v>
      </c>
    </row>
    <row r="174" spans="2:15" outlineLevel="2">
      <c r="B174" s="238"/>
      <c r="C174" s="565" t="s">
        <v>620</v>
      </c>
      <c r="D174" s="566" t="s">
        <v>17</v>
      </c>
      <c r="E174" s="232"/>
      <c r="F174" s="250"/>
      <c r="G174" s="232"/>
      <c r="H174" s="568" t="s">
        <v>88</v>
      </c>
      <c r="I174" s="568"/>
      <c r="J174" s="568"/>
      <c r="K174" s="568"/>
      <c r="L174" s="232"/>
      <c r="M174" s="250"/>
      <c r="N174" s="232"/>
      <c r="O174" s="572">
        <v>0.15</v>
      </c>
    </row>
    <row r="175" spans="2:15" outlineLevel="2">
      <c r="B175" s="238"/>
      <c r="C175" s="565" t="s">
        <v>620</v>
      </c>
      <c r="D175" s="566" t="s">
        <v>17</v>
      </c>
      <c r="E175" s="232"/>
      <c r="F175" s="250"/>
      <c r="G175" s="232"/>
      <c r="H175" s="568" t="s">
        <v>107</v>
      </c>
      <c r="I175" s="568"/>
      <c r="J175" s="568"/>
      <c r="K175" s="568"/>
      <c r="L175" s="232"/>
      <c r="M175" s="250"/>
      <c r="N175" s="232"/>
      <c r="O175" s="572">
        <v>0.15</v>
      </c>
    </row>
    <row r="176" spans="2:15" ht="3" customHeight="1" outlineLevel="1">
      <c r="B176" s="560"/>
      <c r="C176" s="559"/>
      <c r="D176" s="559"/>
      <c r="H176" s="562"/>
      <c r="I176" s="562"/>
      <c r="J176" s="562"/>
      <c r="K176" s="562"/>
      <c r="O176" s="563"/>
    </row>
    <row r="177" spans="2:15" s="234" customFormat="1" outlineLevel="1">
      <c r="B177" s="267" t="s">
        <v>273</v>
      </c>
      <c r="C177" s="235"/>
      <c r="D177" s="235"/>
      <c r="E177" s="232"/>
      <c r="F177" s="250"/>
      <c r="G177" s="232"/>
      <c r="H177" s="236">
        <v>0</v>
      </c>
      <c r="I177" s="236"/>
      <c r="J177" s="236"/>
      <c r="K177" s="236"/>
      <c r="L177" s="232"/>
      <c r="M177" s="250"/>
      <c r="N177" s="232"/>
      <c r="O177" s="260"/>
    </row>
    <row r="178" spans="2:15" ht="3" customHeight="1" outlineLevel="1">
      <c r="B178" s="238"/>
      <c r="C178" s="565"/>
      <c r="D178" s="566"/>
      <c r="E178" s="232"/>
      <c r="F178" s="250"/>
      <c r="G178" s="232"/>
      <c r="H178" s="582"/>
      <c r="I178" s="582"/>
      <c r="J178" s="582"/>
      <c r="K178" s="582"/>
      <c r="L178" s="232"/>
      <c r="M178" s="250"/>
      <c r="N178" s="232"/>
      <c r="O178" s="581"/>
    </row>
    <row r="179" spans="2:15" s="234" customFormat="1" outlineLevel="1">
      <c r="B179" s="267" t="s">
        <v>340</v>
      </c>
      <c r="C179" s="235"/>
      <c r="D179" s="235"/>
      <c r="E179" s="232"/>
      <c r="F179" s="250"/>
      <c r="G179" s="232"/>
      <c r="H179" s="236">
        <v>0</v>
      </c>
      <c r="I179" s="236"/>
      <c r="J179" s="236"/>
      <c r="K179" s="236"/>
      <c r="L179" s="232"/>
      <c r="M179" s="250"/>
      <c r="N179" s="232"/>
      <c r="O179" s="260"/>
    </row>
    <row r="180" spans="2:15" ht="3" customHeight="1" outlineLevel="1">
      <c r="B180" s="238"/>
      <c r="C180" s="565"/>
      <c r="D180" s="566"/>
      <c r="E180" s="232"/>
      <c r="F180" s="250"/>
      <c r="G180" s="232"/>
      <c r="H180" s="582"/>
      <c r="I180" s="582"/>
      <c r="J180" s="582"/>
      <c r="K180" s="582"/>
      <c r="L180" s="232"/>
      <c r="M180" s="250"/>
      <c r="N180" s="232"/>
      <c r="O180" s="581"/>
    </row>
    <row r="181" spans="2:15" s="234" customFormat="1" outlineLevel="1" collapsed="1">
      <c r="B181" s="267" t="s">
        <v>622</v>
      </c>
      <c r="C181" s="235"/>
      <c r="D181" s="235"/>
      <c r="E181" s="232"/>
      <c r="F181" s="250"/>
      <c r="G181" s="232"/>
      <c r="H181" s="236">
        <v>0</v>
      </c>
      <c r="I181" s="236"/>
      <c r="J181" s="236"/>
      <c r="K181" s="236"/>
      <c r="L181" s="232"/>
      <c r="M181" s="250"/>
      <c r="N181" s="232"/>
      <c r="O181" s="260"/>
    </row>
    <row r="182" spans="2:15" ht="3" customHeight="1" outlineLevel="1">
      <c r="B182" s="238"/>
      <c r="C182" s="565"/>
      <c r="D182" s="566"/>
      <c r="E182" s="232"/>
      <c r="F182" s="250"/>
      <c r="G182" s="232"/>
      <c r="H182" s="582"/>
      <c r="I182" s="582"/>
      <c r="J182" s="582"/>
      <c r="K182" s="582"/>
      <c r="L182" s="232"/>
      <c r="M182" s="250"/>
      <c r="N182" s="232"/>
      <c r="O182" s="581"/>
    </row>
    <row r="183" spans="2:15" s="234" customFormat="1" outlineLevel="1">
      <c r="B183" s="235" t="s">
        <v>265</v>
      </c>
      <c r="C183" s="235"/>
      <c r="D183" s="235"/>
      <c r="E183" s="232"/>
      <c r="F183" s="250"/>
      <c r="G183" s="232"/>
      <c r="H183" s="236">
        <f>COUNTA(H184:H185)</f>
        <v>2</v>
      </c>
      <c r="I183" s="236"/>
      <c r="J183" s="236"/>
      <c r="K183" s="236"/>
      <c r="L183" s="232"/>
      <c r="M183" s="250"/>
      <c r="N183" s="232"/>
      <c r="O183" s="260">
        <f>SUM(O184:O185)</f>
        <v>0.35249999999999998</v>
      </c>
    </row>
    <row r="184" spans="2:15" outlineLevel="2">
      <c r="B184" s="238"/>
      <c r="C184" s="565" t="s">
        <v>265</v>
      </c>
      <c r="D184" s="566" t="s">
        <v>17</v>
      </c>
      <c r="E184" s="232"/>
      <c r="F184" s="250"/>
      <c r="G184" s="232"/>
      <c r="H184" s="568" t="s">
        <v>623</v>
      </c>
      <c r="I184" s="568"/>
      <c r="J184" s="568"/>
      <c r="K184" s="568"/>
      <c r="L184" s="232"/>
      <c r="M184" s="250"/>
      <c r="N184" s="232"/>
      <c r="O184" s="572">
        <v>0.23499999999999999</v>
      </c>
    </row>
    <row r="185" spans="2:15" outlineLevel="2">
      <c r="B185" s="238"/>
      <c r="C185" s="565" t="s">
        <v>265</v>
      </c>
      <c r="D185" s="566" t="s">
        <v>17</v>
      </c>
      <c r="E185" s="232"/>
      <c r="F185" s="250"/>
      <c r="G185" s="232"/>
      <c r="H185" s="568" t="s">
        <v>624</v>
      </c>
      <c r="I185" s="568"/>
      <c r="J185" s="568"/>
      <c r="K185" s="568"/>
      <c r="L185" s="232"/>
      <c r="M185" s="250"/>
      <c r="N185" s="232"/>
      <c r="O185" s="572">
        <v>0.11749999999999999</v>
      </c>
    </row>
    <row r="186" spans="2:15" ht="3" customHeight="1" outlineLevel="1">
      <c r="B186" s="238"/>
      <c r="C186" s="565"/>
      <c r="D186" s="566"/>
      <c r="E186" s="232"/>
      <c r="F186" s="250"/>
      <c r="G186" s="232"/>
      <c r="H186" s="582"/>
      <c r="I186" s="582"/>
      <c r="J186" s="582"/>
      <c r="K186" s="582"/>
      <c r="L186" s="232"/>
      <c r="M186" s="250"/>
      <c r="N186" s="232"/>
      <c r="O186" s="581"/>
    </row>
    <row r="187" spans="2:15" s="234" customFormat="1" outlineLevel="1" collapsed="1">
      <c r="B187" s="267" t="s">
        <v>625</v>
      </c>
      <c r="C187" s="235"/>
      <c r="D187" s="235"/>
      <c r="E187" s="232"/>
      <c r="F187" s="250"/>
      <c r="G187" s="232"/>
      <c r="H187" s="236">
        <v>0</v>
      </c>
      <c r="I187" s="236"/>
      <c r="J187" s="236"/>
      <c r="K187" s="236"/>
      <c r="L187" s="232"/>
      <c r="M187" s="250"/>
      <c r="N187" s="232"/>
      <c r="O187" s="260"/>
    </row>
    <row r="188" spans="2:15" ht="3" customHeight="1" outlineLevel="1">
      <c r="B188" s="238"/>
      <c r="C188" s="565"/>
      <c r="D188" s="566"/>
      <c r="E188" s="232"/>
      <c r="F188" s="250"/>
      <c r="G188" s="232"/>
      <c r="H188" s="268"/>
      <c r="I188" s="268"/>
      <c r="J188" s="268"/>
      <c r="K188" s="268"/>
      <c r="L188" s="232"/>
      <c r="M188" s="250"/>
      <c r="N188" s="232"/>
      <c r="O188" s="346"/>
    </row>
    <row r="189" spans="2:15" s="234" customFormat="1" outlineLevel="1">
      <c r="B189" s="235" t="s">
        <v>570</v>
      </c>
      <c r="C189" s="235"/>
      <c r="D189" s="235"/>
      <c r="E189" s="232"/>
      <c r="F189" s="250"/>
      <c r="G189" s="232"/>
      <c r="H189" s="236">
        <f>COUNTA(H190:H191)</f>
        <v>2</v>
      </c>
      <c r="I189" s="236"/>
      <c r="J189" s="236"/>
      <c r="K189" s="236"/>
      <c r="L189" s="232"/>
      <c r="M189" s="250"/>
      <c r="N189" s="232"/>
      <c r="O189" s="260">
        <f>SUM(O190:O191)</f>
        <v>0.5132500000000001</v>
      </c>
    </row>
    <row r="190" spans="2:15" outlineLevel="2">
      <c r="B190" s="238"/>
      <c r="C190" s="565" t="s">
        <v>571</v>
      </c>
      <c r="D190" s="566" t="s">
        <v>17</v>
      </c>
      <c r="E190" s="232"/>
      <c r="F190" s="250"/>
      <c r="G190" s="232"/>
      <c r="H190" s="252" t="s">
        <v>286</v>
      </c>
      <c r="I190" s="252"/>
      <c r="J190" s="252"/>
      <c r="K190" s="252"/>
      <c r="L190" s="232"/>
      <c r="M190" s="250"/>
      <c r="N190" s="232"/>
      <c r="O190" s="328">
        <v>0.41060000000000008</v>
      </c>
    </row>
    <row r="191" spans="2:15" outlineLevel="2">
      <c r="B191" s="238"/>
      <c r="C191" s="565" t="s">
        <v>571</v>
      </c>
      <c r="D191" s="566" t="s">
        <v>17</v>
      </c>
      <c r="E191" s="232"/>
      <c r="F191" s="250"/>
      <c r="G191" s="232"/>
      <c r="H191" s="568" t="s">
        <v>626</v>
      </c>
      <c r="I191" s="568"/>
      <c r="J191" s="568"/>
      <c r="K191" s="568"/>
      <c r="L191" s="232"/>
      <c r="M191" s="250"/>
      <c r="N191" s="232"/>
      <c r="O191" s="572">
        <v>0.10265000000000002</v>
      </c>
    </row>
    <row r="192" spans="2:15" ht="3" customHeight="1" outlineLevel="1">
      <c r="B192" s="560"/>
      <c r="C192" s="559"/>
      <c r="D192" s="559"/>
      <c r="H192" s="562"/>
      <c r="I192" s="562"/>
      <c r="J192" s="562"/>
      <c r="K192" s="562"/>
      <c r="O192" s="563"/>
    </row>
    <row r="193" spans="2:19" s="234" customFormat="1" outlineLevel="1">
      <c r="B193" s="267" t="s">
        <v>574</v>
      </c>
      <c r="C193" s="235"/>
      <c r="D193" s="235"/>
      <c r="E193" s="232"/>
      <c r="F193" s="250"/>
      <c r="G193" s="232"/>
      <c r="H193" s="236">
        <v>0</v>
      </c>
      <c r="I193" s="236"/>
      <c r="J193" s="236"/>
      <c r="K193" s="236"/>
      <c r="L193" s="232"/>
      <c r="M193" s="250"/>
      <c r="N193" s="232"/>
      <c r="O193" s="260"/>
      <c r="P193" s="260"/>
      <c r="Q193" s="260"/>
      <c r="R193" s="260"/>
      <c r="S193" s="237">
        <f>COUNTA(S194:S196)</f>
        <v>0</v>
      </c>
    </row>
    <row r="194" spans="2:19" outlineLevel="2">
      <c r="B194" s="238"/>
      <c r="C194" s="565" t="s">
        <v>575</v>
      </c>
      <c r="D194" s="566" t="s">
        <v>17</v>
      </c>
      <c r="E194" s="232"/>
      <c r="F194" s="250"/>
      <c r="G194" s="232"/>
      <c r="H194" s="568"/>
      <c r="I194" s="568"/>
      <c r="J194" s="568"/>
      <c r="K194" s="568"/>
      <c r="L194" s="232"/>
      <c r="M194" s="250"/>
      <c r="N194" s="232"/>
      <c r="O194" s="572"/>
      <c r="P194" s="572"/>
      <c r="Q194" s="572"/>
      <c r="R194" s="572"/>
      <c r="S194" s="237"/>
    </row>
    <row r="195" spans="2:19" outlineLevel="2">
      <c r="B195" s="238"/>
      <c r="C195" s="565"/>
      <c r="D195" s="566"/>
      <c r="E195" s="232"/>
      <c r="F195" s="250"/>
      <c r="G195" s="232"/>
      <c r="H195" s="252"/>
      <c r="I195" s="252"/>
      <c r="J195" s="252"/>
      <c r="K195" s="252"/>
      <c r="L195" s="232"/>
      <c r="M195" s="250"/>
      <c r="N195" s="232"/>
      <c r="O195" s="328"/>
      <c r="P195" s="328"/>
      <c r="Q195" s="328"/>
      <c r="R195" s="328"/>
      <c r="S195" s="237"/>
    </row>
    <row r="196" spans="2:19" ht="3" customHeight="1" outlineLevel="1">
      <c r="B196" s="238"/>
      <c r="C196" s="565"/>
      <c r="D196" s="566"/>
      <c r="E196" s="232"/>
      <c r="F196" s="250"/>
      <c r="G196" s="232"/>
      <c r="H196" s="268"/>
      <c r="I196" s="268"/>
      <c r="J196" s="268"/>
      <c r="K196" s="268"/>
      <c r="L196" s="232"/>
      <c r="M196" s="250"/>
      <c r="N196" s="232"/>
      <c r="O196" s="346"/>
      <c r="P196" s="346"/>
      <c r="Q196" s="346"/>
      <c r="R196" s="346"/>
      <c r="S196" s="237"/>
    </row>
    <row r="197" spans="2:19" s="234" customFormat="1" outlineLevel="1">
      <c r="B197" s="255" t="s">
        <v>269</v>
      </c>
      <c r="C197" s="235"/>
      <c r="D197" s="235"/>
      <c r="E197" s="232"/>
      <c r="F197" s="250"/>
      <c r="G197" s="232"/>
      <c r="H197" s="236">
        <v>1</v>
      </c>
      <c r="I197" s="236"/>
      <c r="J197" s="236"/>
      <c r="K197" s="236"/>
      <c r="L197" s="232"/>
      <c r="M197" s="250"/>
      <c r="N197" s="232"/>
      <c r="O197" s="260">
        <f>SUM(O198:O198)</f>
        <v>0.09</v>
      </c>
      <c r="P197" s="260"/>
      <c r="Q197" s="260"/>
      <c r="R197" s="260"/>
      <c r="S197" s="237"/>
    </row>
    <row r="198" spans="2:19" s="253" customFormat="1" outlineLevel="2">
      <c r="B198" s="242"/>
      <c r="C198" s="242" t="s">
        <v>269</v>
      </c>
      <c r="D198" s="249" t="s">
        <v>17</v>
      </c>
      <c r="E198" s="269"/>
      <c r="F198" s="270"/>
      <c r="G198" s="269"/>
      <c r="H198" s="256" t="s">
        <v>286</v>
      </c>
      <c r="I198" s="256"/>
      <c r="J198" s="256"/>
      <c r="K198" s="256"/>
      <c r="L198" s="269"/>
      <c r="M198" s="270"/>
      <c r="N198" s="269"/>
      <c r="O198" s="330">
        <v>0.09</v>
      </c>
      <c r="P198" s="330"/>
      <c r="Q198" s="330"/>
      <c r="R198" s="330"/>
      <c r="S198" s="271"/>
    </row>
    <row r="199" spans="2:19" s="329" customFormat="1" outlineLevel="1">
      <c r="B199" s="235" t="s">
        <v>267</v>
      </c>
      <c r="C199" s="235"/>
      <c r="D199" s="235"/>
      <c r="E199" s="232"/>
      <c r="F199" s="250"/>
      <c r="G199" s="232"/>
      <c r="H199" s="236">
        <f>COUNTA(H200:H201)</f>
        <v>2</v>
      </c>
      <c r="I199" s="236"/>
      <c r="J199" s="236"/>
      <c r="K199" s="236"/>
      <c r="L199" s="232"/>
      <c r="M199" s="250"/>
      <c r="N199" s="232"/>
      <c r="O199" s="260">
        <f>SUM(O200:O201)</f>
        <v>5.068627309090909E-2</v>
      </c>
      <c r="P199" s="260"/>
      <c r="Q199" s="260"/>
      <c r="R199" s="260"/>
      <c r="S199" s="237"/>
    </row>
    <row r="200" spans="2:19" s="327" customFormat="1" outlineLevel="2">
      <c r="B200" s="242"/>
      <c r="C200" s="242" t="s">
        <v>267</v>
      </c>
      <c r="D200" s="249" t="s">
        <v>17</v>
      </c>
      <c r="E200" s="232"/>
      <c r="F200" s="250"/>
      <c r="G200" s="232"/>
      <c r="H200" s="256" t="s">
        <v>286</v>
      </c>
      <c r="I200" s="256"/>
      <c r="J200" s="256"/>
      <c r="K200" s="256"/>
      <c r="L200" s="232"/>
      <c r="M200" s="250"/>
      <c r="N200" s="232"/>
      <c r="O200" s="279">
        <v>2.5343136545454545E-2</v>
      </c>
      <c r="P200" s="279"/>
      <c r="Q200" s="279"/>
      <c r="R200" s="279"/>
      <c r="S200" s="237"/>
    </row>
    <row r="201" spans="2:19" s="327" customFormat="1" outlineLevel="2">
      <c r="B201" s="242"/>
      <c r="C201" s="242" t="s">
        <v>267</v>
      </c>
      <c r="D201" s="249" t="s">
        <v>17</v>
      </c>
      <c r="E201" s="232"/>
      <c r="F201" s="250"/>
      <c r="G201" s="232"/>
      <c r="H201" s="367" t="s">
        <v>32</v>
      </c>
      <c r="I201" s="367"/>
      <c r="J201" s="367"/>
      <c r="K201" s="367"/>
      <c r="L201" s="232"/>
      <c r="M201" s="250"/>
      <c r="N201" s="232"/>
      <c r="O201" s="368">
        <v>2.5343136545454545E-2</v>
      </c>
      <c r="P201" s="368"/>
      <c r="Q201" s="368"/>
      <c r="R201" s="368"/>
      <c r="S201" s="237"/>
    </row>
    <row r="202" spans="2:19" ht="3" customHeight="1" outlineLevel="1">
      <c r="B202" s="238"/>
      <c r="C202" s="565"/>
      <c r="D202" s="566"/>
      <c r="E202" s="232"/>
      <c r="F202" s="250"/>
      <c r="G202" s="232"/>
      <c r="H202" s="268"/>
      <c r="I202" s="268"/>
      <c r="J202" s="268"/>
      <c r="K202" s="268"/>
      <c r="L202" s="232"/>
      <c r="M202" s="250"/>
      <c r="N202" s="232"/>
      <c r="O202" s="346"/>
      <c r="P202" s="346"/>
      <c r="Q202" s="346"/>
      <c r="R202" s="346"/>
      <c r="S202" s="237"/>
    </row>
    <row r="203" spans="2:19" s="234" customFormat="1" outlineLevel="1">
      <c r="B203" s="235" t="s">
        <v>627</v>
      </c>
      <c r="C203" s="235"/>
      <c r="D203" s="235"/>
      <c r="E203" s="232"/>
      <c r="F203" s="250"/>
      <c r="G203" s="232"/>
      <c r="H203" s="236">
        <f>COUNTA(H204)</f>
        <v>1</v>
      </c>
      <c r="I203" s="236"/>
      <c r="J203" s="236"/>
      <c r="K203" s="236"/>
      <c r="L203" s="232"/>
      <c r="M203" s="250"/>
      <c r="N203" s="232"/>
      <c r="O203" s="260">
        <f>SUM(O204)</f>
        <v>0.12330000000000002</v>
      </c>
      <c r="P203" s="260"/>
      <c r="Q203" s="260"/>
      <c r="R203" s="260"/>
      <c r="S203" s="237"/>
    </row>
    <row r="204" spans="2:19" outlineLevel="2">
      <c r="B204" s="242"/>
      <c r="C204" s="242" t="s">
        <v>627</v>
      </c>
      <c r="D204" s="249" t="s">
        <v>17</v>
      </c>
      <c r="E204" s="232"/>
      <c r="F204" s="250"/>
      <c r="G204" s="232"/>
      <c r="H204" s="256" t="s">
        <v>286</v>
      </c>
      <c r="I204" s="256"/>
      <c r="J204" s="256"/>
      <c r="K204" s="256"/>
      <c r="L204" s="232"/>
      <c r="M204" s="250"/>
      <c r="N204" s="232"/>
      <c r="O204" s="279">
        <v>0.12330000000000002</v>
      </c>
      <c r="P204" s="279"/>
      <c r="Q204" s="279"/>
      <c r="R204" s="279"/>
      <c r="S204" s="237"/>
    </row>
    <row r="205" spans="2:19" ht="3" customHeight="1" outlineLevel="1">
      <c r="B205" s="238"/>
      <c r="C205" s="565"/>
      <c r="D205" s="566"/>
      <c r="E205" s="232"/>
      <c r="F205" s="250"/>
      <c r="G205" s="232"/>
      <c r="H205" s="268"/>
      <c r="I205" s="268"/>
      <c r="J205" s="268"/>
      <c r="K205" s="268"/>
      <c r="L205" s="232"/>
      <c r="M205" s="250"/>
      <c r="N205" s="232"/>
      <c r="O205" s="346"/>
      <c r="P205" s="346"/>
      <c r="Q205" s="346"/>
      <c r="R205" s="346"/>
      <c r="S205" s="237"/>
    </row>
    <row r="206" spans="2:19" s="234" customFormat="1" outlineLevel="1">
      <c r="B206" s="267" t="s">
        <v>379</v>
      </c>
      <c r="C206" s="235"/>
      <c r="D206" s="235"/>
      <c r="E206" s="232"/>
      <c r="F206" s="250"/>
      <c r="G206" s="232"/>
      <c r="H206" s="236">
        <f>COUNTA(H207:H210)</f>
        <v>0</v>
      </c>
      <c r="I206" s="236"/>
      <c r="J206" s="236"/>
      <c r="K206" s="236"/>
      <c r="L206" s="232"/>
      <c r="M206" s="250"/>
      <c r="N206" s="232"/>
      <c r="O206" s="260">
        <f>SUM(O207:O210)</f>
        <v>0</v>
      </c>
      <c r="P206" s="260"/>
      <c r="Q206" s="260"/>
      <c r="R206" s="260"/>
      <c r="S206" s="237"/>
    </row>
    <row r="207" spans="2:19" outlineLevel="3">
      <c r="B207" s="242"/>
      <c r="C207" s="242" t="s">
        <v>379</v>
      </c>
      <c r="D207" s="249" t="s">
        <v>17</v>
      </c>
      <c r="E207" s="232"/>
      <c r="F207" s="250"/>
      <c r="G207" s="232"/>
      <c r="H207" s="256"/>
      <c r="I207" s="256"/>
      <c r="J207" s="256"/>
      <c r="K207" s="256"/>
      <c r="L207" s="232"/>
      <c r="M207" s="250"/>
      <c r="N207" s="232"/>
      <c r="O207" s="279"/>
      <c r="P207" s="279"/>
      <c r="Q207" s="279"/>
      <c r="R207" s="279"/>
      <c r="S207" s="237"/>
    </row>
    <row r="208" spans="2:19" outlineLevel="3">
      <c r="B208" s="242"/>
      <c r="C208" s="242" t="s">
        <v>379</v>
      </c>
      <c r="D208" s="249" t="s">
        <v>17</v>
      </c>
      <c r="E208" s="232"/>
      <c r="F208" s="250"/>
      <c r="G208" s="232"/>
      <c r="H208" s="256"/>
      <c r="I208" s="256"/>
      <c r="J208" s="256"/>
      <c r="K208" s="256"/>
      <c r="L208" s="232"/>
      <c r="M208" s="250"/>
      <c r="N208" s="232"/>
      <c r="O208" s="279"/>
      <c r="P208" s="279"/>
      <c r="Q208" s="279"/>
      <c r="R208" s="279"/>
      <c r="S208" s="237"/>
    </row>
    <row r="209" spans="2:15" outlineLevel="3">
      <c r="B209" s="242"/>
      <c r="C209" s="242" t="s">
        <v>379</v>
      </c>
      <c r="D209" s="249" t="s">
        <v>17</v>
      </c>
      <c r="E209" s="232"/>
      <c r="F209" s="250"/>
      <c r="G209" s="232"/>
      <c r="H209" s="256"/>
      <c r="I209" s="256"/>
      <c r="J209" s="256"/>
      <c r="K209" s="256"/>
      <c r="L209" s="232"/>
      <c r="M209" s="250"/>
      <c r="N209" s="232"/>
      <c r="O209" s="279"/>
    </row>
    <row r="210" spans="2:15" outlineLevel="3">
      <c r="B210" s="242"/>
      <c r="C210" s="242" t="s">
        <v>379</v>
      </c>
      <c r="D210" s="249" t="s">
        <v>17</v>
      </c>
      <c r="E210" s="232"/>
      <c r="F210" s="250"/>
      <c r="G210" s="232"/>
      <c r="H210" s="256"/>
      <c r="I210" s="256"/>
      <c r="J210" s="256"/>
      <c r="K210" s="256"/>
      <c r="L210" s="232"/>
      <c r="M210" s="250"/>
      <c r="N210" s="232"/>
      <c r="O210" s="279"/>
    </row>
    <row r="211" spans="2:15" ht="3" customHeight="1" outlineLevel="1">
      <c r="B211" s="242"/>
      <c r="C211" s="242"/>
      <c r="D211" s="249"/>
      <c r="E211" s="232"/>
      <c r="F211" s="250"/>
      <c r="G211" s="232"/>
      <c r="H211" s="256"/>
      <c r="I211" s="256"/>
      <c r="J211" s="256"/>
      <c r="K211" s="256"/>
      <c r="L211" s="232"/>
      <c r="M211" s="250"/>
      <c r="N211" s="232"/>
      <c r="O211" s="279"/>
    </row>
    <row r="212" spans="2:15" s="234" customFormat="1" outlineLevel="1">
      <c r="B212" s="267" t="s">
        <v>589</v>
      </c>
      <c r="C212" s="235"/>
      <c r="D212" s="235"/>
      <c r="E212" s="232"/>
      <c r="F212" s="250"/>
      <c r="G212" s="232"/>
      <c r="H212" s="236"/>
      <c r="I212" s="236"/>
      <c r="J212" s="236"/>
      <c r="K212" s="236"/>
      <c r="L212" s="232"/>
      <c r="M212" s="250"/>
      <c r="N212" s="232"/>
      <c r="O212" s="260">
        <f>SUM(O213:O214)</f>
        <v>0</v>
      </c>
    </row>
    <row r="213" spans="2:15" outlineLevel="3">
      <c r="B213" s="242"/>
      <c r="C213" s="242" t="s">
        <v>360</v>
      </c>
      <c r="D213" s="566" t="s">
        <v>17</v>
      </c>
      <c r="E213" s="232"/>
      <c r="F213" s="250"/>
      <c r="G213" s="232"/>
      <c r="H213" s="256" t="s">
        <v>628</v>
      </c>
      <c r="I213" s="256"/>
      <c r="J213" s="256"/>
      <c r="K213" s="256"/>
      <c r="L213" s="232"/>
      <c r="M213" s="250"/>
      <c r="N213" s="232"/>
      <c r="O213" s="563"/>
    </row>
    <row r="214" spans="2:15" outlineLevel="3">
      <c r="B214" s="242"/>
      <c r="C214" s="242" t="s">
        <v>360</v>
      </c>
      <c r="D214" s="566" t="s">
        <v>17</v>
      </c>
      <c r="E214" s="232"/>
      <c r="F214" s="250"/>
      <c r="G214" s="232"/>
      <c r="H214" s="256" t="s">
        <v>286</v>
      </c>
      <c r="I214" s="256"/>
      <c r="J214" s="256"/>
      <c r="K214" s="256"/>
      <c r="L214" s="232"/>
      <c r="M214" s="250"/>
      <c r="N214" s="232"/>
      <c r="O214" s="563"/>
    </row>
    <row r="215" spans="2:15" ht="3" customHeight="1" outlineLevel="1">
      <c r="B215" s="242"/>
      <c r="C215" s="242"/>
      <c r="D215" s="249"/>
      <c r="E215" s="232"/>
      <c r="F215" s="250"/>
      <c r="G215" s="232"/>
      <c r="H215" s="256"/>
      <c r="I215" s="256"/>
      <c r="J215" s="256"/>
      <c r="K215" s="256"/>
      <c r="L215" s="232"/>
      <c r="M215" s="250"/>
      <c r="N215" s="232"/>
      <c r="O215" s="279"/>
    </row>
    <row r="216" spans="2:15" s="319" customFormat="1" outlineLevel="1">
      <c r="B216" s="267" t="s">
        <v>629</v>
      </c>
      <c r="C216" s="235"/>
      <c r="D216" s="235"/>
      <c r="E216" s="232"/>
      <c r="F216" s="250"/>
      <c r="G216" s="232"/>
      <c r="H216" s="236">
        <f>COUNTA(H217:H218)</f>
        <v>0</v>
      </c>
      <c r="I216" s="236"/>
      <c r="J216" s="236"/>
      <c r="K216" s="236"/>
      <c r="L216" s="232"/>
      <c r="M216" s="250"/>
      <c r="N216" s="232"/>
      <c r="O216" s="260">
        <f>SUM(O217:O218)</f>
        <v>0</v>
      </c>
    </row>
    <row r="217" spans="2:15" outlineLevel="3">
      <c r="B217" s="242"/>
      <c r="C217" s="565" t="s">
        <v>584</v>
      </c>
      <c r="D217" s="566" t="s">
        <v>17</v>
      </c>
      <c r="E217" s="232"/>
      <c r="F217" s="250"/>
      <c r="G217" s="232"/>
      <c r="H217" s="256"/>
      <c r="I217" s="256"/>
      <c r="J217" s="256"/>
      <c r="K217" s="256"/>
      <c r="L217" s="232"/>
      <c r="M217" s="250"/>
      <c r="N217" s="232"/>
      <c r="O217" s="563"/>
    </row>
    <row r="218" spans="2:15" outlineLevel="3">
      <c r="B218" s="242"/>
      <c r="C218" s="565" t="s">
        <v>584</v>
      </c>
      <c r="D218" s="566" t="s">
        <v>17</v>
      </c>
      <c r="E218" s="232"/>
      <c r="F218" s="250"/>
      <c r="G218" s="232"/>
      <c r="H218" s="256"/>
      <c r="I218" s="256"/>
      <c r="J218" s="256"/>
      <c r="K218" s="256"/>
      <c r="L218" s="232"/>
      <c r="M218" s="250"/>
      <c r="N218" s="232"/>
      <c r="O218" s="563"/>
    </row>
    <row r="219" spans="2:15" ht="3" customHeight="1" outlineLevel="1">
      <c r="B219" s="242"/>
      <c r="C219" s="242"/>
      <c r="D219" s="566"/>
      <c r="E219" s="232"/>
      <c r="F219" s="250"/>
      <c r="G219" s="232"/>
      <c r="H219" s="571"/>
      <c r="I219" s="571"/>
      <c r="J219" s="571"/>
      <c r="K219" s="571"/>
      <c r="L219" s="232"/>
      <c r="M219" s="250"/>
      <c r="N219" s="232"/>
      <c r="O219" s="563"/>
    </row>
    <row r="220" spans="2:15" s="319" customFormat="1" outlineLevel="1">
      <c r="B220" s="235" t="s">
        <v>630</v>
      </c>
      <c r="C220" s="235"/>
      <c r="D220" s="235"/>
      <c r="E220" s="232"/>
      <c r="F220" s="250"/>
      <c r="G220" s="232"/>
      <c r="H220" s="236">
        <f>COUNTA(H221:H224)</f>
        <v>4</v>
      </c>
      <c r="I220" s="236"/>
      <c r="J220" s="236"/>
      <c r="K220" s="236"/>
      <c r="L220" s="232"/>
      <c r="M220" s="250"/>
      <c r="N220" s="232"/>
      <c r="O220" s="260">
        <f>SUM(O221:O224)</f>
        <v>0</v>
      </c>
    </row>
    <row r="221" spans="2:15" outlineLevel="3">
      <c r="B221" s="242"/>
      <c r="C221" s="565" t="s">
        <v>630</v>
      </c>
      <c r="D221" s="566" t="s">
        <v>17</v>
      </c>
      <c r="E221" s="232"/>
      <c r="F221" s="250"/>
      <c r="G221" s="232"/>
      <c r="H221" s="256" t="s">
        <v>30</v>
      </c>
      <c r="I221" s="256"/>
      <c r="J221" s="256"/>
      <c r="K221" s="256"/>
      <c r="L221" s="232"/>
      <c r="M221" s="250"/>
      <c r="N221" s="232"/>
      <c r="O221" s="563"/>
    </row>
    <row r="222" spans="2:15" outlineLevel="3">
      <c r="B222" s="242"/>
      <c r="C222" s="565" t="s">
        <v>630</v>
      </c>
      <c r="D222" s="566" t="s">
        <v>17</v>
      </c>
      <c r="E222" s="232"/>
      <c r="F222" s="250"/>
      <c r="G222" s="232"/>
      <c r="H222" s="256" t="s">
        <v>631</v>
      </c>
      <c r="I222" s="256"/>
      <c r="J222" s="256"/>
      <c r="K222" s="256"/>
      <c r="L222" s="232"/>
      <c r="M222" s="250"/>
      <c r="N222" s="232"/>
      <c r="O222" s="563"/>
    </row>
    <row r="223" spans="2:15" outlineLevel="3">
      <c r="B223" s="242"/>
      <c r="C223" s="565" t="s">
        <v>630</v>
      </c>
      <c r="D223" s="566" t="s">
        <v>17</v>
      </c>
      <c r="E223" s="232"/>
      <c r="F223" s="250"/>
      <c r="G223" s="232"/>
      <c r="H223" s="256" t="s">
        <v>632</v>
      </c>
      <c r="I223" s="256"/>
      <c r="J223" s="256"/>
      <c r="K223" s="256"/>
      <c r="L223" s="232"/>
      <c r="M223" s="250"/>
      <c r="N223" s="232"/>
      <c r="O223" s="563"/>
    </row>
    <row r="224" spans="2:15" outlineLevel="3">
      <c r="B224" s="242"/>
      <c r="C224" s="565" t="s">
        <v>630</v>
      </c>
      <c r="D224" s="566" t="s">
        <v>17</v>
      </c>
      <c r="E224" s="232"/>
      <c r="F224" s="250"/>
      <c r="G224" s="232"/>
      <c r="H224" s="256" t="s">
        <v>32</v>
      </c>
      <c r="I224" s="256"/>
      <c r="J224" s="256"/>
      <c r="K224" s="256"/>
      <c r="L224" s="232"/>
      <c r="M224" s="250"/>
      <c r="N224" s="232"/>
      <c r="O224" s="563"/>
    </row>
    <row r="225" spans="2:15" ht="3" customHeight="1" outlineLevel="1">
      <c r="B225" s="238"/>
      <c r="C225" s="565"/>
      <c r="D225" s="566"/>
      <c r="E225" s="232"/>
      <c r="F225" s="250"/>
      <c r="G225" s="232"/>
      <c r="H225" s="268">
        <v>3</v>
      </c>
      <c r="I225" s="268"/>
      <c r="J225" s="268"/>
      <c r="K225" s="268"/>
      <c r="L225" s="232"/>
      <c r="M225" s="250"/>
      <c r="N225" s="232"/>
      <c r="O225" s="346"/>
    </row>
    <row r="226" spans="2:15" s="234" customFormat="1" outlineLevel="1">
      <c r="B226" s="235" t="s">
        <v>384</v>
      </c>
      <c r="C226" s="235"/>
      <c r="D226" s="235"/>
      <c r="E226" s="232"/>
      <c r="F226" s="250"/>
      <c r="G226" s="232"/>
      <c r="H226" s="236"/>
      <c r="I226" s="236"/>
      <c r="J226" s="236"/>
      <c r="K226" s="236"/>
      <c r="L226" s="232"/>
      <c r="M226" s="250"/>
      <c r="N226" s="232"/>
      <c r="O226" s="260"/>
    </row>
    <row r="227" spans="2:15" ht="3" customHeight="1" outlineLevel="1">
      <c r="B227" s="238"/>
      <c r="C227" s="565"/>
      <c r="D227" s="566"/>
      <c r="E227" s="232"/>
      <c r="F227" s="250"/>
      <c r="G227" s="232"/>
      <c r="H227" s="268"/>
      <c r="I227" s="268"/>
      <c r="J227" s="268"/>
      <c r="K227" s="268"/>
      <c r="L227" s="232"/>
      <c r="M227" s="250"/>
      <c r="N227" s="232"/>
      <c r="O227" s="346"/>
    </row>
    <row r="228" spans="2:15" s="234" customFormat="1" outlineLevel="1">
      <c r="B228" s="267" t="s">
        <v>633</v>
      </c>
      <c r="C228" s="235"/>
      <c r="D228" s="235"/>
      <c r="E228" s="232"/>
      <c r="F228" s="250"/>
      <c r="G228" s="232"/>
      <c r="H228" s="236"/>
      <c r="I228" s="236"/>
      <c r="J228" s="236"/>
      <c r="K228" s="236"/>
      <c r="L228" s="232"/>
      <c r="M228" s="250"/>
      <c r="N228" s="232"/>
      <c r="O228" s="260"/>
    </row>
    <row r="229" spans="2:15" ht="3" customHeight="1" outlineLevel="1">
      <c r="B229" s="238"/>
      <c r="C229" s="565"/>
      <c r="D229" s="566"/>
      <c r="E229" s="232"/>
      <c r="F229" s="250"/>
      <c r="G229" s="232"/>
      <c r="H229" s="268"/>
      <c r="I229" s="268"/>
      <c r="J229" s="268"/>
      <c r="K229" s="268"/>
      <c r="L229" s="232"/>
      <c r="M229" s="250"/>
      <c r="N229" s="232"/>
      <c r="O229" s="346"/>
    </row>
    <row r="230" spans="2:15" s="234" customFormat="1" outlineLevel="1">
      <c r="B230" s="267" t="s">
        <v>634</v>
      </c>
      <c r="C230" s="235"/>
      <c r="D230" s="235"/>
      <c r="E230" s="232"/>
      <c r="F230" s="192"/>
      <c r="G230" s="232"/>
      <c r="H230" s="236"/>
      <c r="I230" s="236"/>
      <c r="J230" s="236"/>
      <c r="K230" s="236"/>
      <c r="L230" s="232"/>
      <c r="M230" s="192"/>
      <c r="N230" s="232"/>
      <c r="O230" s="260"/>
    </row>
    <row r="231" spans="2:15" ht="3" customHeight="1" outlineLevel="1">
      <c r="B231" s="565"/>
      <c r="C231" s="565"/>
      <c r="D231" s="566"/>
      <c r="E231" s="248"/>
      <c r="F231" s="192"/>
      <c r="G231" s="248"/>
      <c r="H231" s="259"/>
      <c r="I231" s="259"/>
      <c r="J231" s="259"/>
      <c r="K231" s="259"/>
      <c r="L231" s="248"/>
      <c r="M231" s="192"/>
      <c r="N231" s="248"/>
      <c r="O231" s="342"/>
    </row>
    <row r="232" spans="2:15" s="234" customFormat="1" outlineLevel="1">
      <c r="B232" s="235" t="s">
        <v>552</v>
      </c>
      <c r="C232" s="235"/>
      <c r="D232" s="235"/>
      <c r="E232" s="232"/>
      <c r="F232" s="250"/>
      <c r="G232" s="232"/>
      <c r="H232" s="236">
        <f>COUNTA(H233:H233)</f>
        <v>1</v>
      </c>
      <c r="I232" s="236"/>
      <c r="J232" s="236"/>
      <c r="K232" s="236"/>
      <c r="L232" s="232"/>
      <c r="M232" s="250"/>
      <c r="N232" s="232"/>
      <c r="O232" s="260">
        <f>SUM(O233:O233)</f>
        <v>6.7470000000000002E-2</v>
      </c>
    </row>
    <row r="233" spans="2:15" outlineLevel="2">
      <c r="B233" s="238"/>
      <c r="C233" s="565" t="s">
        <v>590</v>
      </c>
      <c r="D233" s="566" t="s">
        <v>17</v>
      </c>
      <c r="E233" s="232"/>
      <c r="F233" s="250"/>
      <c r="G233" s="232"/>
      <c r="H233" s="584" t="s">
        <v>635</v>
      </c>
      <c r="I233" s="584"/>
      <c r="J233" s="584"/>
      <c r="K233" s="584"/>
      <c r="L233" s="232"/>
      <c r="M233" s="250"/>
      <c r="N233" s="232"/>
      <c r="O233" s="585">
        <v>6.7470000000000002E-2</v>
      </c>
    </row>
    <row r="234" spans="2:15" ht="3" customHeight="1">
      <c r="B234" s="565"/>
      <c r="C234" s="565"/>
      <c r="D234" s="566"/>
      <c r="E234" s="248"/>
      <c r="F234" s="192"/>
      <c r="G234" s="248"/>
      <c r="H234" s="259"/>
      <c r="I234" s="259"/>
      <c r="J234" s="259"/>
      <c r="K234" s="259"/>
      <c r="L234" s="248"/>
      <c r="M234" s="192"/>
      <c r="N234" s="248"/>
      <c r="O234" s="342"/>
    </row>
    <row r="235" spans="2:15" s="228" customFormat="1" ht="15.6">
      <c r="B235" s="222" t="s">
        <v>407</v>
      </c>
      <c r="C235" s="223" t="s">
        <v>636</v>
      </c>
      <c r="D235" s="224" t="s">
        <v>17</v>
      </c>
      <c r="E235" s="225"/>
      <c r="F235" s="226"/>
      <c r="G235" s="225"/>
      <c r="H235" s="227">
        <f>SUM(H237+H265+H244+H274+H295+H299+H305)</f>
        <v>67</v>
      </c>
      <c r="I235" s="227"/>
      <c r="J235" s="227"/>
      <c r="K235" s="227"/>
      <c r="L235" s="225"/>
      <c r="M235" s="226"/>
      <c r="N235" s="225"/>
      <c r="O235" s="340">
        <f>SUM(O237+O265+O244+O274+O295+O299+O305)</f>
        <v>13.128134040249149</v>
      </c>
    </row>
    <row r="236" spans="2:15" ht="3" customHeight="1" outlineLevel="1">
      <c r="B236" s="229"/>
      <c r="C236" s="230"/>
      <c r="D236" s="231"/>
      <c r="E236" s="232"/>
      <c r="F236" s="192"/>
      <c r="G236" s="232"/>
      <c r="H236" s="233"/>
      <c r="I236" s="233"/>
      <c r="J236" s="233"/>
      <c r="K236" s="233"/>
      <c r="L236" s="232"/>
      <c r="M236" s="192"/>
      <c r="N236" s="232"/>
      <c r="O236" s="341"/>
    </row>
    <row r="237" spans="2:15" s="234" customFormat="1" outlineLevel="1">
      <c r="B237" s="235" t="s">
        <v>637</v>
      </c>
      <c r="C237" s="315" t="s">
        <v>638</v>
      </c>
      <c r="D237" s="235"/>
      <c r="E237" s="232"/>
      <c r="F237" s="192"/>
      <c r="G237" s="232"/>
      <c r="H237" s="236">
        <f>COUNTA(H238:H242)</f>
        <v>5</v>
      </c>
      <c r="I237" s="236"/>
      <c r="J237" s="236"/>
      <c r="K237" s="236"/>
      <c r="L237" s="232"/>
      <c r="M237" s="192"/>
      <c r="N237" s="232"/>
      <c r="O237" s="260">
        <f>SUM(O238:O242)</f>
        <v>1.2252118793798634</v>
      </c>
    </row>
    <row r="238" spans="2:15" outlineLevel="2">
      <c r="B238" s="238" t="s">
        <v>407</v>
      </c>
      <c r="C238" s="242" t="s">
        <v>639</v>
      </c>
      <c r="D238" s="249" t="s">
        <v>17</v>
      </c>
      <c r="E238" s="239"/>
      <c r="F238" s="192"/>
      <c r="G238" s="239"/>
      <c r="H238" s="249" t="s">
        <v>640</v>
      </c>
      <c r="I238" s="249"/>
      <c r="J238" s="249"/>
      <c r="K238" s="249"/>
      <c r="L238" s="239"/>
      <c r="M238" s="192"/>
      <c r="N238" s="239"/>
      <c r="O238" s="311"/>
    </row>
    <row r="239" spans="2:15" outlineLevel="2">
      <c r="B239" s="238"/>
      <c r="C239" s="242" t="s">
        <v>639</v>
      </c>
      <c r="D239" s="249" t="s">
        <v>17</v>
      </c>
      <c r="E239" s="239"/>
      <c r="F239" s="192"/>
      <c r="G239" s="239"/>
      <c r="H239" s="249" t="s">
        <v>641</v>
      </c>
      <c r="I239" s="249"/>
      <c r="J239" s="249"/>
      <c r="K239" s="249"/>
      <c r="L239" s="239"/>
      <c r="M239" s="192"/>
      <c r="N239" s="239"/>
      <c r="O239" s="311">
        <v>0.22688517930000002</v>
      </c>
    </row>
    <row r="240" spans="2:15" outlineLevel="2">
      <c r="B240" s="238"/>
      <c r="C240" s="242" t="s">
        <v>639</v>
      </c>
      <c r="D240" s="249" t="s">
        <v>17</v>
      </c>
      <c r="E240" s="239"/>
      <c r="F240" s="192"/>
      <c r="G240" s="239"/>
      <c r="H240" s="249" t="s">
        <v>642</v>
      </c>
      <c r="I240" s="249"/>
      <c r="J240" s="249"/>
      <c r="K240" s="249"/>
      <c r="L240" s="239"/>
      <c r="M240" s="192"/>
      <c r="N240" s="239"/>
      <c r="O240" s="311">
        <v>4.5377035860000005E-2</v>
      </c>
    </row>
    <row r="241" spans="2:15" outlineLevel="2">
      <c r="B241" s="238"/>
      <c r="C241" s="242" t="s">
        <v>643</v>
      </c>
      <c r="D241" s="249" t="s">
        <v>17</v>
      </c>
      <c r="E241" s="239"/>
      <c r="F241" s="192"/>
      <c r="G241" s="239"/>
      <c r="H241" s="249" t="s">
        <v>644</v>
      </c>
      <c r="I241" s="249"/>
      <c r="J241" s="249"/>
      <c r="K241" s="249"/>
      <c r="L241" s="239"/>
      <c r="M241" s="192"/>
      <c r="N241" s="239"/>
      <c r="O241" s="311">
        <v>3.9416283817853004E-2</v>
      </c>
    </row>
    <row r="242" spans="2:15" outlineLevel="2">
      <c r="B242" s="560"/>
      <c r="C242" s="242" t="s">
        <v>643</v>
      </c>
      <c r="D242" s="249" t="s">
        <v>17</v>
      </c>
      <c r="F242" s="192"/>
      <c r="H242" s="249" t="s">
        <v>645</v>
      </c>
      <c r="I242" s="249"/>
      <c r="J242" s="249"/>
      <c r="K242" s="249"/>
      <c r="M242" s="192"/>
      <c r="O242" s="311">
        <v>0.91353338040201049</v>
      </c>
    </row>
    <row r="243" spans="2:15" ht="3" customHeight="1" outlineLevel="1">
      <c r="B243" s="242"/>
      <c r="C243" s="242"/>
      <c r="D243" s="249"/>
      <c r="E243" s="239"/>
      <c r="F243" s="192"/>
      <c r="G243" s="239"/>
      <c r="H243" s="569"/>
      <c r="I243" s="569"/>
      <c r="J243" s="569"/>
      <c r="K243" s="569"/>
      <c r="L243" s="239"/>
      <c r="M243" s="192"/>
      <c r="N243" s="239"/>
      <c r="O243" s="570"/>
    </row>
    <row r="244" spans="2:15" s="234" customFormat="1" outlineLevel="1">
      <c r="B244" s="235" t="s">
        <v>646</v>
      </c>
      <c r="C244" s="315" t="s">
        <v>647</v>
      </c>
      <c r="D244" s="235"/>
      <c r="E244" s="232"/>
      <c r="F244" s="250"/>
      <c r="G244" s="232"/>
      <c r="H244" s="236">
        <f>COUNTA(H245:H263)</f>
        <v>19</v>
      </c>
      <c r="I244" s="236"/>
      <c r="J244" s="236"/>
      <c r="K244" s="236"/>
      <c r="L244" s="232"/>
      <c r="M244" s="250"/>
      <c r="N244" s="232"/>
      <c r="O244" s="260">
        <f>SUM(O245:O263)</f>
        <v>1.9114021608692844</v>
      </c>
    </row>
    <row r="245" spans="2:15" s="273" customFormat="1" outlineLevel="2">
      <c r="C245" s="274" t="s">
        <v>648</v>
      </c>
      <c r="D245" s="274" t="s">
        <v>17</v>
      </c>
      <c r="E245" s="232"/>
      <c r="F245" s="250"/>
      <c r="G245" s="232"/>
      <c r="H245" s="256" t="s">
        <v>30</v>
      </c>
      <c r="I245" s="256"/>
      <c r="J245" s="256"/>
      <c r="K245" s="256"/>
      <c r="L245" s="232"/>
      <c r="M245" s="250"/>
      <c r="N245" s="232"/>
      <c r="O245" s="312">
        <v>0.27398366869616486</v>
      </c>
    </row>
    <row r="246" spans="2:15" s="238" customFormat="1" outlineLevel="2">
      <c r="C246" s="274" t="s">
        <v>648</v>
      </c>
      <c r="D246" s="274" t="s">
        <v>17</v>
      </c>
      <c r="E246" s="232"/>
      <c r="F246" s="250"/>
      <c r="G246" s="232"/>
      <c r="H246" s="256" t="s">
        <v>649</v>
      </c>
      <c r="I246" s="256"/>
      <c r="J246" s="256"/>
      <c r="K246" s="256"/>
      <c r="L246" s="232"/>
      <c r="M246" s="250"/>
      <c r="N246" s="232"/>
      <c r="O246" s="312">
        <v>0.27398366869616486</v>
      </c>
    </row>
    <row r="247" spans="2:15" s="238" customFormat="1" outlineLevel="2">
      <c r="C247" s="274" t="s">
        <v>648</v>
      </c>
      <c r="D247" s="274" t="s">
        <v>17</v>
      </c>
      <c r="E247" s="232"/>
      <c r="F247" s="250"/>
      <c r="G247" s="232"/>
      <c r="H247" s="256" t="s">
        <v>32</v>
      </c>
      <c r="I247" s="256"/>
      <c r="J247" s="256"/>
      <c r="K247" s="256"/>
      <c r="L247" s="232"/>
      <c r="M247" s="250"/>
      <c r="N247" s="232"/>
      <c r="O247" s="312">
        <v>0.13699183434808243</v>
      </c>
    </row>
    <row r="248" spans="2:15" s="238" customFormat="1" outlineLevel="2">
      <c r="C248" s="274" t="s">
        <v>648</v>
      </c>
      <c r="D248" s="274" t="s">
        <v>17</v>
      </c>
      <c r="E248" s="232"/>
      <c r="F248" s="250"/>
      <c r="G248" s="232"/>
      <c r="H248" s="256" t="s">
        <v>650</v>
      </c>
      <c r="I248" s="256"/>
      <c r="J248" s="256"/>
      <c r="K248" s="256"/>
      <c r="L248" s="232"/>
      <c r="M248" s="250"/>
      <c r="N248" s="232"/>
      <c r="O248" s="312">
        <v>0.27398366869616486</v>
      </c>
    </row>
    <row r="249" spans="2:15" s="238" customFormat="1" outlineLevel="2">
      <c r="C249" s="274" t="s">
        <v>648</v>
      </c>
      <c r="D249" s="274" t="s">
        <v>17</v>
      </c>
      <c r="E249" s="232"/>
      <c r="F249" s="250"/>
      <c r="G249" s="232"/>
      <c r="H249" s="256" t="s">
        <v>651</v>
      </c>
      <c r="I249" s="256"/>
      <c r="J249" s="256"/>
      <c r="K249" s="256"/>
      <c r="L249" s="232"/>
      <c r="M249" s="250"/>
      <c r="N249" s="232"/>
      <c r="O249" s="312">
        <v>7.0000000000000007E-2</v>
      </c>
    </row>
    <row r="250" spans="2:15" s="238" customFormat="1" outlineLevel="2">
      <c r="C250" s="274" t="s">
        <v>648</v>
      </c>
      <c r="D250" s="274" t="s">
        <v>17</v>
      </c>
      <c r="E250" s="232"/>
      <c r="F250" s="250"/>
      <c r="G250" s="232"/>
      <c r="H250" s="256" t="s">
        <v>652</v>
      </c>
      <c r="I250" s="256"/>
      <c r="J250" s="256"/>
      <c r="K250" s="256"/>
      <c r="L250" s="232"/>
      <c r="M250" s="250"/>
      <c r="N250" s="232"/>
      <c r="O250" s="312">
        <v>7.0000000000000007E-2</v>
      </c>
    </row>
    <row r="251" spans="2:15" s="238" customFormat="1" outlineLevel="2">
      <c r="C251" s="274" t="s">
        <v>648</v>
      </c>
      <c r="D251" s="274" t="s">
        <v>17</v>
      </c>
      <c r="E251" s="232"/>
      <c r="F251" s="250"/>
      <c r="G251" s="232"/>
      <c r="H251" s="256" t="s">
        <v>653</v>
      </c>
      <c r="I251" s="256"/>
      <c r="J251" s="256"/>
      <c r="K251" s="256"/>
      <c r="L251" s="232"/>
      <c r="M251" s="250"/>
      <c r="N251" s="232"/>
      <c r="O251" s="312">
        <v>0.28999999999999998</v>
      </c>
    </row>
    <row r="252" spans="2:15" s="238" customFormat="1" outlineLevel="2">
      <c r="C252" s="274" t="s">
        <v>648</v>
      </c>
      <c r="D252" s="274" t="s">
        <v>17</v>
      </c>
      <c r="E252" s="232"/>
      <c r="F252" s="250"/>
      <c r="G252" s="232"/>
      <c r="H252" s="256" t="s">
        <v>654</v>
      </c>
      <c r="I252" s="256"/>
      <c r="J252" s="256"/>
      <c r="K252" s="256"/>
      <c r="L252" s="232"/>
      <c r="M252" s="250"/>
      <c r="N252" s="232"/>
      <c r="O252" s="312">
        <v>3.7475592259624102E-2</v>
      </c>
    </row>
    <row r="253" spans="2:15" s="238" customFormat="1" outlineLevel="2">
      <c r="C253" s="274" t="s">
        <v>648</v>
      </c>
      <c r="D253" s="274" t="s">
        <v>17</v>
      </c>
      <c r="E253" s="232"/>
      <c r="F253" s="250"/>
      <c r="G253" s="232"/>
      <c r="H253" s="256" t="s">
        <v>655</v>
      </c>
      <c r="I253" s="256"/>
      <c r="J253" s="256"/>
      <c r="K253" s="256"/>
      <c r="L253" s="232"/>
      <c r="M253" s="250"/>
      <c r="N253" s="232"/>
      <c r="O253" s="312">
        <v>7.0000000000000007E-2</v>
      </c>
    </row>
    <row r="254" spans="2:15" s="238" customFormat="1" outlineLevel="2">
      <c r="C254" s="274" t="s">
        <v>648</v>
      </c>
      <c r="D254" s="274" t="s">
        <v>17</v>
      </c>
      <c r="E254" s="232"/>
      <c r="F254" s="250"/>
      <c r="G254" s="232"/>
      <c r="H254" s="256" t="s">
        <v>656</v>
      </c>
      <c r="I254" s="256"/>
      <c r="J254" s="256"/>
      <c r="K254" s="256"/>
      <c r="L254" s="232"/>
      <c r="M254" s="250"/>
      <c r="N254" s="232"/>
      <c r="O254" s="312">
        <v>7.0000000000000007E-2</v>
      </c>
    </row>
    <row r="255" spans="2:15" s="238" customFormat="1" outlineLevel="2">
      <c r="C255" s="274" t="s">
        <v>648</v>
      </c>
      <c r="D255" s="274" t="s">
        <v>17</v>
      </c>
      <c r="E255" s="232"/>
      <c r="F255" s="250"/>
      <c r="G255" s="232"/>
      <c r="H255" s="256" t="s">
        <v>657</v>
      </c>
      <c r="I255" s="256"/>
      <c r="J255" s="256"/>
      <c r="K255" s="256"/>
      <c r="L255" s="232"/>
      <c r="M255" s="250"/>
      <c r="N255" s="232"/>
      <c r="O255" s="312">
        <v>0.04</v>
      </c>
    </row>
    <row r="256" spans="2:15" s="238" customFormat="1" outlineLevel="2">
      <c r="C256" s="274" t="s">
        <v>648</v>
      </c>
      <c r="D256" s="274" t="s">
        <v>17</v>
      </c>
      <c r="E256" s="232"/>
      <c r="F256" s="250"/>
      <c r="G256" s="232"/>
      <c r="H256" s="256" t="s">
        <v>658</v>
      </c>
      <c r="I256" s="256"/>
      <c r="J256" s="256"/>
      <c r="K256" s="256"/>
      <c r="L256" s="232"/>
      <c r="M256" s="250"/>
      <c r="N256" s="232"/>
      <c r="O256" s="312">
        <v>7.0000000000000007E-2</v>
      </c>
    </row>
    <row r="257" spans="2:15" s="238" customFormat="1" outlineLevel="2">
      <c r="C257" s="274" t="s">
        <v>648</v>
      </c>
      <c r="D257" s="274" t="s">
        <v>17</v>
      </c>
      <c r="E257" s="232"/>
      <c r="F257" s="250"/>
      <c r="G257" s="232"/>
      <c r="H257" s="256" t="s">
        <v>659</v>
      </c>
      <c r="I257" s="256"/>
      <c r="J257" s="256"/>
      <c r="K257" s="256"/>
      <c r="L257" s="232"/>
      <c r="M257" s="250"/>
      <c r="N257" s="232"/>
      <c r="O257" s="312">
        <v>7.0000000000000007E-2</v>
      </c>
    </row>
    <row r="258" spans="2:15" s="238" customFormat="1" outlineLevel="2">
      <c r="C258" s="274" t="s">
        <v>648</v>
      </c>
      <c r="D258" s="274" t="s">
        <v>17</v>
      </c>
      <c r="E258" s="232"/>
      <c r="F258" s="250"/>
      <c r="G258" s="232"/>
      <c r="H258" s="256" t="s">
        <v>660</v>
      </c>
      <c r="I258" s="256"/>
      <c r="J258" s="256"/>
      <c r="K258" s="256"/>
      <c r="L258" s="232"/>
      <c r="M258" s="250"/>
      <c r="N258" s="232"/>
      <c r="O258" s="312">
        <v>0.01</v>
      </c>
    </row>
    <row r="259" spans="2:15" s="238" customFormat="1" outlineLevel="2">
      <c r="C259" s="274" t="s">
        <v>648</v>
      </c>
      <c r="D259" s="274" t="s">
        <v>17</v>
      </c>
      <c r="E259" s="232"/>
      <c r="F259" s="250"/>
      <c r="G259" s="232"/>
      <c r="H259" s="256" t="s">
        <v>661</v>
      </c>
      <c r="I259" s="256"/>
      <c r="J259" s="256"/>
      <c r="K259" s="256"/>
      <c r="L259" s="232"/>
      <c r="M259" s="250"/>
      <c r="N259" s="232"/>
      <c r="O259" s="312">
        <v>0.03</v>
      </c>
    </row>
    <row r="260" spans="2:15" s="238" customFormat="1" outlineLevel="2">
      <c r="C260" s="274" t="s">
        <v>648</v>
      </c>
      <c r="D260" s="274" t="s">
        <v>17</v>
      </c>
      <c r="E260" s="232"/>
      <c r="F260" s="250"/>
      <c r="G260" s="232"/>
      <c r="H260" s="256" t="s">
        <v>662</v>
      </c>
      <c r="I260" s="256"/>
      <c r="J260" s="256"/>
      <c r="K260" s="256"/>
      <c r="L260" s="232"/>
      <c r="M260" s="250"/>
      <c r="N260" s="232"/>
      <c r="O260" s="312">
        <v>0.04</v>
      </c>
    </row>
    <row r="261" spans="2:15" s="238" customFormat="1" outlineLevel="2">
      <c r="C261" s="274" t="s">
        <v>648</v>
      </c>
      <c r="D261" s="274" t="s">
        <v>17</v>
      </c>
      <c r="E261" s="232"/>
      <c r="F261" s="250"/>
      <c r="G261" s="232"/>
      <c r="H261" s="256" t="s">
        <v>65</v>
      </c>
      <c r="I261" s="256"/>
      <c r="J261" s="256"/>
      <c r="K261" s="256"/>
      <c r="L261" s="232"/>
      <c r="M261" s="250"/>
      <c r="N261" s="232"/>
      <c r="O261" s="312">
        <v>2.4983728173082701E-2</v>
      </c>
    </row>
    <row r="262" spans="2:15" s="238" customFormat="1" outlineLevel="2">
      <c r="C262" s="274" t="s">
        <v>648</v>
      </c>
      <c r="D262" s="274" t="s">
        <v>17</v>
      </c>
      <c r="E262" s="232"/>
      <c r="F262" s="250"/>
      <c r="G262" s="232"/>
      <c r="H262" s="256" t="s">
        <v>23</v>
      </c>
      <c r="I262" s="256"/>
      <c r="J262" s="256"/>
      <c r="K262" s="256"/>
      <c r="L262" s="232"/>
      <c r="M262" s="250"/>
      <c r="N262" s="232"/>
      <c r="O262" s="312">
        <v>0.04</v>
      </c>
    </row>
    <row r="263" spans="2:15" s="238" customFormat="1" outlineLevel="2">
      <c r="C263" s="274" t="s">
        <v>648</v>
      </c>
      <c r="D263" s="274" t="s">
        <v>17</v>
      </c>
      <c r="E263" s="232"/>
      <c r="F263" s="250"/>
      <c r="G263" s="232"/>
      <c r="H263" s="256" t="s">
        <v>66</v>
      </c>
      <c r="I263" s="256"/>
      <c r="J263" s="256"/>
      <c r="K263" s="256"/>
      <c r="L263" s="232"/>
      <c r="M263" s="250"/>
      <c r="N263" s="232"/>
      <c r="O263" s="312">
        <v>0.02</v>
      </c>
    </row>
    <row r="264" spans="2:15" ht="3" customHeight="1" outlineLevel="1">
      <c r="B264" s="242"/>
      <c r="C264" s="242"/>
      <c r="D264" s="249"/>
      <c r="E264" s="239"/>
      <c r="F264" s="192"/>
      <c r="G264" s="239"/>
      <c r="H264" s="569"/>
      <c r="I264" s="569"/>
      <c r="J264" s="569"/>
      <c r="K264" s="569"/>
      <c r="L264" s="239"/>
      <c r="M264" s="192"/>
      <c r="N264" s="239"/>
      <c r="O264" s="570"/>
    </row>
    <row r="265" spans="2:15" s="234" customFormat="1" outlineLevel="1">
      <c r="B265" s="235" t="s">
        <v>663</v>
      </c>
      <c r="C265" s="315" t="s">
        <v>664</v>
      </c>
      <c r="D265" s="235"/>
      <c r="E265" s="232"/>
      <c r="F265" s="192"/>
      <c r="G265" s="232"/>
      <c r="H265" s="236">
        <f>COUNTA(H266:H272)</f>
        <v>7</v>
      </c>
      <c r="I265" s="236"/>
      <c r="J265" s="236"/>
      <c r="K265" s="236"/>
      <c r="L265" s="232"/>
      <c r="M265" s="192"/>
      <c r="N265" s="232"/>
      <c r="O265" s="260">
        <f>SUM(O266:O272)</f>
        <v>2.3199999999999998</v>
      </c>
    </row>
    <row r="266" spans="2:15" outlineLevel="2">
      <c r="B266" s="238" t="s">
        <v>407</v>
      </c>
      <c r="C266" s="242" t="s">
        <v>665</v>
      </c>
      <c r="D266" s="249" t="s">
        <v>17</v>
      </c>
      <c r="E266" s="239"/>
      <c r="F266" s="192"/>
      <c r="G266" s="239"/>
      <c r="H266" s="256" t="s">
        <v>78</v>
      </c>
      <c r="I266" s="256"/>
      <c r="J266" s="256"/>
      <c r="K266" s="256"/>
      <c r="L266" s="239"/>
      <c r="M266" s="192"/>
      <c r="N266" s="239"/>
      <c r="O266" s="563">
        <v>0.17</v>
      </c>
    </row>
    <row r="267" spans="2:15" outlineLevel="2">
      <c r="B267" s="238" t="s">
        <v>407</v>
      </c>
      <c r="C267" s="242" t="s">
        <v>665</v>
      </c>
      <c r="D267" s="249" t="s">
        <v>17</v>
      </c>
      <c r="E267" s="239"/>
      <c r="F267" s="192"/>
      <c r="G267" s="239"/>
      <c r="H267" s="256" t="s">
        <v>79</v>
      </c>
      <c r="I267" s="256"/>
      <c r="J267" s="256"/>
      <c r="K267" s="256"/>
      <c r="L267" s="239"/>
      <c r="M267" s="192"/>
      <c r="N267" s="239"/>
      <c r="O267" s="563">
        <v>0.17</v>
      </c>
    </row>
    <row r="268" spans="2:15" outlineLevel="2">
      <c r="B268" s="238" t="s">
        <v>407</v>
      </c>
      <c r="C268" s="242" t="s">
        <v>665</v>
      </c>
      <c r="D268" s="249" t="s">
        <v>17</v>
      </c>
      <c r="E268" s="239"/>
      <c r="F268" s="192"/>
      <c r="G268" s="239"/>
      <c r="H268" s="256" t="s">
        <v>80</v>
      </c>
      <c r="I268" s="256"/>
      <c r="J268" s="256"/>
      <c r="K268" s="256"/>
      <c r="L268" s="239"/>
      <c r="M268" s="192"/>
      <c r="N268" s="239"/>
      <c r="O268" s="563">
        <v>1.18</v>
      </c>
    </row>
    <row r="269" spans="2:15" outlineLevel="2">
      <c r="B269" s="238" t="s">
        <v>407</v>
      </c>
      <c r="C269" s="242" t="s">
        <v>665</v>
      </c>
      <c r="D269" s="249" t="s">
        <v>17</v>
      </c>
      <c r="E269" s="239"/>
      <c r="F269" s="192"/>
      <c r="G269" s="239"/>
      <c r="H269" s="256" t="s">
        <v>82</v>
      </c>
      <c r="I269" s="256"/>
      <c r="J269" s="256"/>
      <c r="K269" s="256"/>
      <c r="L269" s="239"/>
      <c r="M269" s="192"/>
      <c r="N269" s="239"/>
      <c r="O269" s="563">
        <v>0.45</v>
      </c>
    </row>
    <row r="270" spans="2:15" outlineLevel="2">
      <c r="B270" s="238" t="s">
        <v>407</v>
      </c>
      <c r="C270" s="242" t="s">
        <v>665</v>
      </c>
      <c r="D270" s="249" t="s">
        <v>17</v>
      </c>
      <c r="E270" s="239"/>
      <c r="F270" s="192"/>
      <c r="G270" s="239"/>
      <c r="H270" s="256" t="s">
        <v>83</v>
      </c>
      <c r="I270" s="256"/>
      <c r="J270" s="256"/>
      <c r="K270" s="256"/>
      <c r="L270" s="239"/>
      <c r="M270" s="192"/>
      <c r="N270" s="239"/>
      <c r="O270" s="563">
        <v>0.15</v>
      </c>
    </row>
    <row r="271" spans="2:15" outlineLevel="2">
      <c r="B271" s="238" t="s">
        <v>407</v>
      </c>
      <c r="C271" s="242" t="s">
        <v>665</v>
      </c>
      <c r="D271" s="249" t="s">
        <v>17</v>
      </c>
      <c r="E271" s="239"/>
      <c r="F271" s="192"/>
      <c r="G271" s="239"/>
      <c r="H271" s="256" t="s">
        <v>84</v>
      </c>
      <c r="I271" s="256"/>
      <c r="J271" s="256"/>
      <c r="K271" s="256"/>
      <c r="L271" s="239"/>
      <c r="M271" s="192"/>
      <c r="N271" s="239"/>
      <c r="O271" s="563">
        <v>0.15</v>
      </c>
    </row>
    <row r="272" spans="2:15" outlineLevel="2">
      <c r="B272" s="238" t="s">
        <v>407</v>
      </c>
      <c r="C272" s="242" t="s">
        <v>665</v>
      </c>
      <c r="D272" s="249" t="s">
        <v>17</v>
      </c>
      <c r="E272" s="239"/>
      <c r="F272" s="192"/>
      <c r="G272" s="239"/>
      <c r="H272" s="256" t="s">
        <v>85</v>
      </c>
      <c r="I272" s="256"/>
      <c r="J272" s="256"/>
      <c r="K272" s="256"/>
      <c r="L272" s="239"/>
      <c r="M272" s="192"/>
      <c r="N272" s="239"/>
      <c r="O272" s="563">
        <v>0.05</v>
      </c>
    </row>
    <row r="273" spans="2:15" ht="3" customHeight="1" outlineLevel="1">
      <c r="B273" s="560"/>
      <c r="C273" s="559"/>
      <c r="D273" s="559"/>
      <c r="H273" s="562"/>
      <c r="I273" s="562"/>
      <c r="J273" s="562"/>
      <c r="K273" s="562"/>
      <c r="O273" s="563"/>
    </row>
    <row r="274" spans="2:15" s="234" customFormat="1" outlineLevel="1">
      <c r="B274" s="235" t="s">
        <v>666</v>
      </c>
      <c r="C274" s="235"/>
      <c r="D274" s="235"/>
      <c r="E274" s="232"/>
      <c r="F274" s="192"/>
      <c r="G274" s="232"/>
      <c r="H274" s="236">
        <f>COUNTA(H275:H293)</f>
        <v>19</v>
      </c>
      <c r="I274" s="236"/>
      <c r="J274" s="236"/>
      <c r="K274" s="236"/>
      <c r="L274" s="232"/>
      <c r="M274" s="192"/>
      <c r="N274" s="232"/>
      <c r="O274" s="260">
        <f>SUM(O275:O293)</f>
        <v>6.38</v>
      </c>
    </row>
    <row r="275" spans="2:15" outlineLevel="2">
      <c r="B275" s="238" t="s">
        <v>407</v>
      </c>
      <c r="C275" s="242" t="s">
        <v>666</v>
      </c>
      <c r="D275" s="249" t="s">
        <v>17</v>
      </c>
      <c r="E275" s="239"/>
      <c r="F275" s="192"/>
      <c r="G275" s="239"/>
      <c r="H275" s="256" t="s">
        <v>109</v>
      </c>
      <c r="I275" s="256"/>
      <c r="J275" s="256"/>
      <c r="K275" s="256"/>
      <c r="L275" s="239"/>
      <c r="M275" s="192"/>
      <c r="N275" s="239"/>
      <c r="O275" s="563">
        <v>0.2</v>
      </c>
    </row>
    <row r="276" spans="2:15" outlineLevel="2">
      <c r="B276" s="238" t="s">
        <v>407</v>
      </c>
      <c r="C276" s="242" t="s">
        <v>666</v>
      </c>
      <c r="D276" s="249" t="s">
        <v>17</v>
      </c>
      <c r="E276" s="239"/>
      <c r="F276" s="192"/>
      <c r="G276" s="239"/>
      <c r="H276" s="256" t="s">
        <v>667</v>
      </c>
      <c r="I276" s="256"/>
      <c r="J276" s="256"/>
      <c r="K276" s="256"/>
      <c r="L276" s="239"/>
      <c r="M276" s="192"/>
      <c r="N276" s="239"/>
      <c r="O276" s="563">
        <v>0.41</v>
      </c>
    </row>
    <row r="277" spans="2:15" outlineLevel="2">
      <c r="B277" s="238" t="s">
        <v>407</v>
      </c>
      <c r="C277" s="242" t="s">
        <v>666</v>
      </c>
      <c r="D277" s="249" t="s">
        <v>17</v>
      </c>
      <c r="E277" s="239"/>
      <c r="F277" s="192"/>
      <c r="G277" s="239"/>
      <c r="H277" s="256" t="s">
        <v>668</v>
      </c>
      <c r="I277" s="256"/>
      <c r="J277" s="256"/>
      <c r="K277" s="256"/>
      <c r="L277" s="239"/>
      <c r="M277" s="192"/>
      <c r="N277" s="239"/>
      <c r="O277" s="563">
        <v>0.61</v>
      </c>
    </row>
    <row r="278" spans="2:15" outlineLevel="2">
      <c r="B278" s="238" t="s">
        <v>407</v>
      </c>
      <c r="C278" s="242" t="s">
        <v>666</v>
      </c>
      <c r="D278" s="249" t="s">
        <v>17</v>
      </c>
      <c r="E278" s="239"/>
      <c r="F278" s="192"/>
      <c r="G278" s="239"/>
      <c r="H278" s="256" t="s">
        <v>669</v>
      </c>
      <c r="I278" s="256"/>
      <c r="J278" s="256"/>
      <c r="K278" s="256"/>
      <c r="L278" s="239"/>
      <c r="M278" s="192"/>
      <c r="N278" s="239"/>
      <c r="O278" s="563">
        <v>0.48</v>
      </c>
    </row>
    <row r="279" spans="2:15" outlineLevel="2">
      <c r="B279" s="238" t="s">
        <v>407</v>
      </c>
      <c r="C279" s="242" t="s">
        <v>666</v>
      </c>
      <c r="D279" s="249" t="s">
        <v>17</v>
      </c>
      <c r="E279" s="239"/>
      <c r="F279" s="192"/>
      <c r="G279" s="239"/>
      <c r="H279" s="256" t="s">
        <v>670</v>
      </c>
      <c r="I279" s="256"/>
      <c r="J279" s="256"/>
      <c r="K279" s="256"/>
      <c r="L279" s="239"/>
      <c r="M279" s="192"/>
      <c r="N279" s="239"/>
      <c r="O279" s="563">
        <v>0.24</v>
      </c>
    </row>
    <row r="280" spans="2:15" outlineLevel="2">
      <c r="B280" s="238" t="s">
        <v>407</v>
      </c>
      <c r="C280" s="242" t="s">
        <v>666</v>
      </c>
      <c r="D280" s="249" t="s">
        <v>17</v>
      </c>
      <c r="E280" s="239"/>
      <c r="F280" s="192"/>
      <c r="G280" s="239"/>
      <c r="H280" s="256" t="s">
        <v>671</v>
      </c>
      <c r="I280" s="256"/>
      <c r="J280" s="256"/>
      <c r="K280" s="256"/>
      <c r="L280" s="239"/>
      <c r="M280" s="192"/>
      <c r="N280" s="239"/>
      <c r="O280" s="563">
        <v>0.82</v>
      </c>
    </row>
    <row r="281" spans="2:15" outlineLevel="2">
      <c r="B281" s="238" t="s">
        <v>407</v>
      </c>
      <c r="C281" s="242" t="s">
        <v>666</v>
      </c>
      <c r="D281" s="249" t="s">
        <v>17</v>
      </c>
      <c r="E281" s="239"/>
      <c r="F281" s="192"/>
      <c r="G281" s="239"/>
      <c r="H281" s="256" t="s">
        <v>672</v>
      </c>
      <c r="I281" s="256"/>
      <c r="J281" s="256"/>
      <c r="K281" s="256"/>
      <c r="L281" s="239"/>
      <c r="M281" s="192"/>
      <c r="N281" s="239"/>
      <c r="O281" s="563">
        <v>0.52</v>
      </c>
    </row>
    <row r="282" spans="2:15" outlineLevel="2">
      <c r="B282" s="238" t="s">
        <v>407</v>
      </c>
      <c r="C282" s="242" t="s">
        <v>666</v>
      </c>
      <c r="D282" s="249" t="s">
        <v>17</v>
      </c>
      <c r="E282" s="239"/>
      <c r="F282" s="192"/>
      <c r="G282" s="239"/>
      <c r="H282" s="256" t="s">
        <v>114</v>
      </c>
      <c r="I282" s="256"/>
      <c r="J282" s="256"/>
      <c r="K282" s="256"/>
      <c r="L282" s="239"/>
      <c r="M282" s="192"/>
      <c r="N282" s="239"/>
      <c r="O282" s="311">
        <v>0.52</v>
      </c>
    </row>
    <row r="283" spans="2:15" outlineLevel="2">
      <c r="B283" s="238" t="s">
        <v>407</v>
      </c>
      <c r="C283" s="242" t="s">
        <v>666</v>
      </c>
      <c r="D283" s="249" t="s">
        <v>17</v>
      </c>
      <c r="E283" s="239"/>
      <c r="F283" s="192"/>
      <c r="G283" s="239"/>
      <c r="H283" s="256" t="s">
        <v>115</v>
      </c>
      <c r="I283" s="256"/>
      <c r="J283" s="256"/>
      <c r="K283" s="256"/>
      <c r="L283" s="239"/>
      <c r="M283" s="192"/>
      <c r="N283" s="239"/>
      <c r="O283" s="563">
        <v>0.52</v>
      </c>
    </row>
    <row r="284" spans="2:15" outlineLevel="2">
      <c r="B284" s="238" t="s">
        <v>407</v>
      </c>
      <c r="C284" s="242" t="s">
        <v>666</v>
      </c>
      <c r="D284" s="249" t="s">
        <v>17</v>
      </c>
      <c r="E284" s="239"/>
      <c r="F284" s="192"/>
      <c r="G284" s="239"/>
      <c r="H284" s="256" t="s">
        <v>673</v>
      </c>
      <c r="I284" s="256"/>
      <c r="J284" s="256"/>
      <c r="K284" s="256"/>
      <c r="L284" s="239"/>
      <c r="M284" s="192"/>
      <c r="N284" s="239"/>
      <c r="O284" s="563">
        <v>0.17</v>
      </c>
    </row>
    <row r="285" spans="2:15" outlineLevel="2">
      <c r="B285" s="238" t="s">
        <v>407</v>
      </c>
      <c r="C285" s="242" t="s">
        <v>666</v>
      </c>
      <c r="D285" s="249" t="s">
        <v>17</v>
      </c>
      <c r="E285" s="239"/>
      <c r="F285" s="192"/>
      <c r="G285" s="239"/>
      <c r="H285" s="256" t="s">
        <v>674</v>
      </c>
      <c r="I285" s="256"/>
      <c r="J285" s="256"/>
      <c r="K285" s="256"/>
      <c r="L285" s="239"/>
      <c r="M285" s="192"/>
      <c r="N285" s="239"/>
      <c r="O285" s="563">
        <v>0.48</v>
      </c>
    </row>
    <row r="286" spans="2:15" outlineLevel="2">
      <c r="B286" s="238" t="s">
        <v>407</v>
      </c>
      <c r="C286" s="242" t="s">
        <v>666</v>
      </c>
      <c r="D286" s="249" t="s">
        <v>17</v>
      </c>
      <c r="E286" s="239"/>
      <c r="F286" s="192"/>
      <c r="G286" s="239"/>
      <c r="H286" s="256" t="s">
        <v>675</v>
      </c>
      <c r="I286" s="256"/>
      <c r="J286" s="256"/>
      <c r="K286" s="256"/>
      <c r="L286" s="239"/>
      <c r="M286" s="192"/>
      <c r="N286" s="239"/>
      <c r="O286" s="563">
        <v>0.24</v>
      </c>
    </row>
    <row r="287" spans="2:15" outlineLevel="2">
      <c r="B287" s="238"/>
      <c r="C287" s="242" t="s">
        <v>666</v>
      </c>
      <c r="D287" s="249" t="s">
        <v>17</v>
      </c>
      <c r="E287" s="239"/>
      <c r="F287" s="192"/>
      <c r="G287" s="239"/>
      <c r="H287" s="256" t="s">
        <v>676</v>
      </c>
      <c r="I287" s="256"/>
      <c r="J287" s="256"/>
      <c r="K287" s="256"/>
      <c r="L287" s="239"/>
      <c r="M287" s="192"/>
      <c r="N287" s="239"/>
      <c r="O287" s="311">
        <v>0.96</v>
      </c>
    </row>
    <row r="288" spans="2:15" outlineLevel="2">
      <c r="B288" s="238" t="s">
        <v>407</v>
      </c>
      <c r="C288" s="242" t="s">
        <v>666</v>
      </c>
      <c r="D288" s="249" t="s">
        <v>17</v>
      </c>
      <c r="E288" s="239"/>
      <c r="F288" s="192"/>
      <c r="G288" s="239"/>
      <c r="H288" s="256" t="s">
        <v>677</v>
      </c>
      <c r="I288" s="256"/>
      <c r="J288" s="256"/>
      <c r="K288" s="256"/>
      <c r="L288" s="239"/>
      <c r="M288" s="192"/>
      <c r="N288" s="239"/>
      <c r="O288" s="563">
        <v>0.02</v>
      </c>
    </row>
    <row r="289" spans="2:15" outlineLevel="2">
      <c r="B289" s="238" t="s">
        <v>407</v>
      </c>
      <c r="C289" s="242" t="s">
        <v>666</v>
      </c>
      <c r="D289" s="249" t="s">
        <v>17</v>
      </c>
      <c r="E289" s="239"/>
      <c r="F289" s="192"/>
      <c r="G289" s="239"/>
      <c r="H289" s="256" t="s">
        <v>678</v>
      </c>
      <c r="I289" s="256"/>
      <c r="J289" s="256"/>
      <c r="K289" s="256"/>
      <c r="L289" s="239"/>
      <c r="M289" s="192"/>
      <c r="N289" s="239"/>
      <c r="O289" s="563">
        <v>0.03</v>
      </c>
    </row>
    <row r="290" spans="2:15" outlineLevel="2">
      <c r="B290" s="238" t="s">
        <v>407</v>
      </c>
      <c r="C290" s="242" t="s">
        <v>666</v>
      </c>
      <c r="D290" s="249" t="s">
        <v>17</v>
      </c>
      <c r="E290" s="239"/>
      <c r="F290" s="192"/>
      <c r="G290" s="239"/>
      <c r="H290" s="256" t="s">
        <v>679</v>
      </c>
      <c r="I290" s="256"/>
      <c r="J290" s="256"/>
      <c r="K290" s="256"/>
      <c r="L290" s="239"/>
      <c r="M290" s="192"/>
      <c r="N290" s="239"/>
      <c r="O290" s="563">
        <v>0.03</v>
      </c>
    </row>
    <row r="291" spans="2:15" outlineLevel="2">
      <c r="B291" s="238" t="s">
        <v>407</v>
      </c>
      <c r="C291" s="242" t="s">
        <v>666</v>
      </c>
      <c r="D291" s="249" t="s">
        <v>17</v>
      </c>
      <c r="E291" s="239"/>
      <c r="F291" s="192"/>
      <c r="G291" s="239"/>
      <c r="H291" s="256" t="s">
        <v>680</v>
      </c>
      <c r="I291" s="256"/>
      <c r="J291" s="256"/>
      <c r="K291" s="256"/>
      <c r="L291" s="239"/>
      <c r="M291" s="192"/>
      <c r="N291" s="239"/>
      <c r="O291" s="563">
        <f>0.01+0.005</f>
        <v>1.4999999999999999E-2</v>
      </c>
    </row>
    <row r="292" spans="2:15" outlineLevel="2">
      <c r="B292" s="238" t="s">
        <v>407</v>
      </c>
      <c r="C292" s="242" t="s">
        <v>666</v>
      </c>
      <c r="D292" s="249" t="s">
        <v>17</v>
      </c>
      <c r="E292" s="239"/>
      <c r="F292" s="192"/>
      <c r="G292" s="239"/>
      <c r="H292" s="256" t="s">
        <v>681</v>
      </c>
      <c r="I292" s="256"/>
      <c r="J292" s="256"/>
      <c r="K292" s="256"/>
      <c r="L292" s="239"/>
      <c r="M292" s="192"/>
      <c r="N292" s="239"/>
      <c r="O292" s="563">
        <f>0.01+0.005</f>
        <v>1.4999999999999999E-2</v>
      </c>
    </row>
    <row r="293" spans="2:15" outlineLevel="2">
      <c r="B293" s="238" t="s">
        <v>407</v>
      </c>
      <c r="C293" s="242" t="s">
        <v>666</v>
      </c>
      <c r="D293" s="249" t="s">
        <v>17</v>
      </c>
      <c r="E293" s="239"/>
      <c r="F293" s="192"/>
      <c r="G293" s="239"/>
      <c r="H293" s="256" t="s">
        <v>682</v>
      </c>
      <c r="I293" s="256"/>
      <c r="J293" s="256"/>
      <c r="K293" s="256"/>
      <c r="L293" s="239"/>
      <c r="M293" s="192"/>
      <c r="N293" s="239"/>
      <c r="O293" s="563">
        <v>0.1</v>
      </c>
    </row>
    <row r="294" spans="2:15" ht="3" customHeight="1" outlineLevel="1">
      <c r="B294" s="242"/>
      <c r="C294" s="242"/>
      <c r="D294" s="249"/>
      <c r="E294" s="239"/>
      <c r="F294" s="192"/>
      <c r="G294" s="239"/>
      <c r="H294" s="569"/>
      <c r="I294" s="569"/>
      <c r="J294" s="569"/>
      <c r="K294" s="569"/>
      <c r="L294" s="239"/>
      <c r="M294" s="192"/>
      <c r="N294" s="239"/>
      <c r="O294" s="570"/>
    </row>
    <row r="295" spans="2:15" s="234" customFormat="1" outlineLevel="1">
      <c r="B295" s="235" t="s">
        <v>683</v>
      </c>
      <c r="C295" s="235"/>
      <c r="D295" s="235"/>
      <c r="E295" s="232"/>
      <c r="F295" s="192"/>
      <c r="G295" s="232"/>
      <c r="H295" s="236">
        <f>COUNTA(H296:H297)</f>
        <v>2</v>
      </c>
      <c r="I295" s="236"/>
      <c r="J295" s="236"/>
      <c r="K295" s="236"/>
      <c r="L295" s="232"/>
      <c r="M295" s="192"/>
      <c r="N295" s="232"/>
      <c r="O295" s="260">
        <f>SUM(O296:O297)</f>
        <v>0</v>
      </c>
    </row>
    <row r="296" spans="2:15" outlineLevel="2">
      <c r="B296" s="238"/>
      <c r="C296" s="565" t="s">
        <v>683</v>
      </c>
      <c r="D296" s="566" t="s">
        <v>17</v>
      </c>
      <c r="E296" s="239"/>
      <c r="F296" s="192"/>
      <c r="G296" s="239"/>
      <c r="H296" s="256" t="s">
        <v>684</v>
      </c>
      <c r="I296" s="256"/>
      <c r="J296" s="256"/>
      <c r="K296" s="256"/>
      <c r="L296" s="239"/>
      <c r="M296" s="192"/>
      <c r="N296" s="239"/>
      <c r="O296" s="563"/>
    </row>
    <row r="297" spans="2:15" outlineLevel="2">
      <c r="B297" s="238"/>
      <c r="C297" s="565" t="s">
        <v>683</v>
      </c>
      <c r="D297" s="566" t="s">
        <v>17</v>
      </c>
      <c r="E297" s="239"/>
      <c r="F297" s="192"/>
      <c r="G297" s="239"/>
      <c r="H297" s="256" t="s">
        <v>685</v>
      </c>
      <c r="I297" s="256"/>
      <c r="J297" s="256"/>
      <c r="K297" s="256"/>
      <c r="L297" s="239"/>
      <c r="M297" s="192"/>
      <c r="N297" s="239"/>
      <c r="O297" s="563"/>
    </row>
    <row r="298" spans="2:15" ht="3" customHeight="1" outlineLevel="1">
      <c r="B298" s="565"/>
      <c r="C298" s="565"/>
      <c r="D298" s="566"/>
      <c r="E298" s="248"/>
      <c r="F298" s="192"/>
      <c r="G298" s="248"/>
      <c r="H298" s="259"/>
      <c r="I298" s="259"/>
      <c r="J298" s="259"/>
      <c r="K298" s="259"/>
      <c r="L298" s="248"/>
      <c r="M298" s="192"/>
      <c r="N298" s="248"/>
      <c r="O298" s="342"/>
    </row>
    <row r="299" spans="2:15" s="234" customFormat="1" outlineLevel="1">
      <c r="B299" s="267" t="s">
        <v>686</v>
      </c>
      <c r="C299" s="235"/>
      <c r="D299" s="235"/>
      <c r="E299" s="232"/>
      <c r="F299" s="192"/>
      <c r="G299" s="232"/>
      <c r="H299" s="314"/>
      <c r="I299" s="314"/>
      <c r="J299" s="314"/>
      <c r="K299" s="314"/>
      <c r="L299" s="232"/>
      <c r="M299" s="192"/>
      <c r="N299" s="232"/>
      <c r="O299" s="260"/>
    </row>
    <row r="300" spans="2:15" outlineLevel="2">
      <c r="B300" s="238"/>
      <c r="C300" s="565" t="s">
        <v>687</v>
      </c>
      <c r="D300" s="566" t="s">
        <v>17</v>
      </c>
      <c r="E300" s="239"/>
      <c r="F300" s="192"/>
      <c r="G300" s="239"/>
      <c r="H300" s="256" t="s">
        <v>235</v>
      </c>
      <c r="I300" s="256"/>
      <c r="J300" s="256"/>
      <c r="K300" s="256"/>
      <c r="L300" s="239"/>
      <c r="M300" s="192"/>
      <c r="N300" s="239"/>
      <c r="O300" s="347"/>
    </row>
    <row r="301" spans="2:15" outlineLevel="2">
      <c r="B301" s="238"/>
      <c r="C301" s="565" t="s">
        <v>687</v>
      </c>
      <c r="D301" s="566" t="s">
        <v>17</v>
      </c>
      <c r="E301" s="239"/>
      <c r="F301" s="192"/>
      <c r="G301" s="239"/>
      <c r="H301" s="256" t="s">
        <v>31</v>
      </c>
      <c r="I301" s="256"/>
      <c r="J301" s="256"/>
      <c r="K301" s="256"/>
      <c r="L301" s="239"/>
      <c r="M301" s="192"/>
      <c r="N301" s="239"/>
      <c r="O301" s="348"/>
    </row>
    <row r="302" spans="2:15" outlineLevel="2">
      <c r="B302" s="238"/>
      <c r="C302" s="565" t="s">
        <v>687</v>
      </c>
      <c r="D302" s="566" t="s">
        <v>17</v>
      </c>
      <c r="E302" s="239"/>
      <c r="F302" s="192"/>
      <c r="G302" s="239"/>
      <c r="H302" s="256" t="s">
        <v>632</v>
      </c>
      <c r="I302" s="256"/>
      <c r="J302" s="256"/>
      <c r="K302" s="256"/>
      <c r="L302" s="239"/>
      <c r="M302" s="192"/>
      <c r="N302" s="239"/>
      <c r="O302" s="348"/>
    </row>
    <row r="303" spans="2:15" outlineLevel="2">
      <c r="B303" s="238"/>
      <c r="C303" s="565" t="s">
        <v>687</v>
      </c>
      <c r="D303" s="566" t="s">
        <v>17</v>
      </c>
      <c r="E303" s="239"/>
      <c r="F303" s="192"/>
      <c r="G303" s="239"/>
      <c r="H303" s="256" t="s">
        <v>688</v>
      </c>
      <c r="I303" s="256"/>
      <c r="J303" s="256"/>
      <c r="K303" s="256"/>
      <c r="L303" s="239"/>
      <c r="M303" s="192"/>
      <c r="N303" s="239"/>
      <c r="O303" s="348"/>
    </row>
    <row r="304" spans="2:15" ht="3" customHeight="1" outlineLevel="1">
      <c r="B304" s="560"/>
      <c r="C304" s="559"/>
      <c r="D304" s="559"/>
      <c r="H304" s="562"/>
      <c r="I304" s="562"/>
      <c r="J304" s="562"/>
      <c r="K304" s="562"/>
      <c r="O304" s="563"/>
    </row>
    <row r="305" spans="2:15" s="234" customFormat="1" outlineLevel="1">
      <c r="B305" s="235" t="s">
        <v>552</v>
      </c>
      <c r="C305" s="235"/>
      <c r="D305" s="235"/>
      <c r="E305" s="232"/>
      <c r="F305" s="250"/>
      <c r="G305" s="232"/>
      <c r="H305" s="236">
        <f t="shared" ref="H305" si="1">SUM(H306:H306)</f>
        <v>15</v>
      </c>
      <c r="I305" s="236"/>
      <c r="J305" s="236"/>
      <c r="K305" s="236"/>
      <c r="L305" s="232"/>
      <c r="M305" s="250"/>
      <c r="N305" s="232"/>
      <c r="O305" s="260">
        <f>SUM(O306:O306)</f>
        <v>1.29152</v>
      </c>
    </row>
    <row r="306" spans="2:15" outlineLevel="2">
      <c r="B306" s="238"/>
      <c r="C306" s="565" t="s">
        <v>590</v>
      </c>
      <c r="D306" s="566" t="s">
        <v>17</v>
      </c>
      <c r="E306" s="232"/>
      <c r="F306" s="250"/>
      <c r="G306" s="232"/>
      <c r="H306" s="567">
        <v>15</v>
      </c>
      <c r="I306" s="567"/>
      <c r="J306" s="567"/>
      <c r="K306" s="567"/>
      <c r="L306" s="232"/>
      <c r="M306" s="250"/>
      <c r="N306" s="232"/>
      <c r="O306" s="563">
        <v>1.29152</v>
      </c>
    </row>
    <row r="307" spans="2:15" ht="3" customHeight="1">
      <c r="B307" s="565"/>
      <c r="C307" s="565"/>
      <c r="D307" s="566"/>
      <c r="E307" s="248"/>
      <c r="F307" s="192"/>
      <c r="G307" s="248"/>
      <c r="H307" s="259"/>
      <c r="I307" s="259"/>
      <c r="J307" s="259"/>
      <c r="K307" s="259"/>
      <c r="L307" s="248"/>
      <c r="M307" s="192"/>
      <c r="N307" s="248"/>
      <c r="O307" s="342"/>
    </row>
    <row r="308" spans="2:15" s="228" customFormat="1" ht="15.6">
      <c r="B308" s="222" t="s">
        <v>421</v>
      </c>
      <c r="C308" s="223" t="s">
        <v>689</v>
      </c>
      <c r="D308" s="224" t="s">
        <v>17</v>
      </c>
      <c r="E308" s="225"/>
      <c r="F308" s="226"/>
      <c r="G308" s="225"/>
      <c r="H308" s="227">
        <f>H310+H315+H321+H329+H334+H339+H344+H350</f>
        <v>27</v>
      </c>
      <c r="I308" s="227"/>
      <c r="J308" s="227"/>
      <c r="K308" s="227"/>
      <c r="L308" s="225"/>
      <c r="M308" s="226"/>
      <c r="N308" s="225"/>
      <c r="O308" s="340">
        <f>O310+O315+O321+O329+O334+O339+O344+O350</f>
        <v>27.146689258111728</v>
      </c>
    </row>
    <row r="309" spans="2:15" ht="3" customHeight="1" outlineLevel="1">
      <c r="B309" s="229"/>
      <c r="C309" s="230"/>
      <c r="D309" s="231"/>
      <c r="E309" s="276"/>
      <c r="F309" s="192"/>
      <c r="G309" s="276"/>
      <c r="H309" s="277"/>
      <c r="I309" s="277"/>
      <c r="J309" s="277"/>
      <c r="K309" s="277"/>
      <c r="L309" s="276"/>
      <c r="M309" s="192"/>
      <c r="N309" s="276"/>
      <c r="O309" s="349"/>
    </row>
    <row r="310" spans="2:15" s="234" customFormat="1" outlineLevel="1">
      <c r="B310" s="235" t="s">
        <v>690</v>
      </c>
      <c r="C310" s="235"/>
      <c r="D310" s="235"/>
      <c r="E310" s="232"/>
      <c r="F310" s="192"/>
      <c r="G310" s="232"/>
      <c r="H310" s="236">
        <f>COUNTA(H311:H313)</f>
        <v>3</v>
      </c>
      <c r="I310" s="236"/>
      <c r="J310" s="236"/>
      <c r="K310" s="236"/>
      <c r="L310" s="232"/>
      <c r="M310" s="192"/>
      <c r="N310" s="232"/>
      <c r="O310" s="260">
        <f>SUM(O311:O313)</f>
        <v>0.37</v>
      </c>
    </row>
    <row r="311" spans="2:15" outlineLevel="2">
      <c r="B311" s="238" t="s">
        <v>421</v>
      </c>
      <c r="C311" s="242" t="s">
        <v>690</v>
      </c>
      <c r="D311" s="249" t="s">
        <v>17</v>
      </c>
      <c r="E311" s="239"/>
      <c r="F311" s="192"/>
      <c r="G311" s="239"/>
      <c r="H311" s="249" t="s">
        <v>65</v>
      </c>
      <c r="I311" s="249"/>
      <c r="J311" s="249"/>
      <c r="K311" s="249"/>
      <c r="L311" s="239"/>
      <c r="M311" s="192"/>
      <c r="N311" s="239"/>
      <c r="O311" s="316">
        <v>0.14000000000000001</v>
      </c>
    </row>
    <row r="312" spans="2:15" outlineLevel="2">
      <c r="B312" s="238" t="s">
        <v>421</v>
      </c>
      <c r="C312" s="242" t="s">
        <v>690</v>
      </c>
      <c r="D312" s="249" t="s">
        <v>17</v>
      </c>
      <c r="E312" s="239"/>
      <c r="F312" s="192"/>
      <c r="G312" s="239"/>
      <c r="H312" s="249" t="s">
        <v>23</v>
      </c>
      <c r="I312" s="249"/>
      <c r="J312" s="249"/>
      <c r="K312" s="249"/>
      <c r="L312" s="239"/>
      <c r="M312" s="192"/>
      <c r="N312" s="239"/>
      <c r="O312" s="316">
        <v>0.18</v>
      </c>
    </row>
    <row r="313" spans="2:15" outlineLevel="2">
      <c r="B313" s="238" t="s">
        <v>421</v>
      </c>
      <c r="C313" s="242" t="s">
        <v>690</v>
      </c>
      <c r="D313" s="249" t="s">
        <v>17</v>
      </c>
      <c r="E313" s="239"/>
      <c r="F313" s="192"/>
      <c r="G313" s="239"/>
      <c r="H313" s="249" t="s">
        <v>66</v>
      </c>
      <c r="I313" s="249"/>
      <c r="J313" s="249"/>
      <c r="K313" s="249"/>
      <c r="L313" s="239"/>
      <c r="M313" s="192"/>
      <c r="N313" s="239"/>
      <c r="O313" s="316">
        <v>0.05</v>
      </c>
    </row>
    <row r="314" spans="2:15" ht="3" customHeight="1" outlineLevel="1">
      <c r="B314" s="238"/>
      <c r="C314" s="242"/>
      <c r="D314" s="249"/>
      <c r="E314" s="243"/>
      <c r="G314" s="243"/>
      <c r="H314" s="241"/>
      <c r="I314" s="241"/>
      <c r="J314" s="241"/>
      <c r="K314" s="241"/>
      <c r="L314" s="243"/>
      <c r="N314" s="243"/>
      <c r="O314" s="349"/>
    </row>
    <row r="315" spans="2:15" s="234" customFormat="1" outlineLevel="1">
      <c r="B315" s="235" t="s">
        <v>364</v>
      </c>
      <c r="C315" s="235"/>
      <c r="D315" s="235"/>
      <c r="E315" s="232"/>
      <c r="F315" s="250"/>
      <c r="G315" s="232"/>
      <c r="H315" s="236">
        <f>COUNTA(H316:H319)</f>
        <v>4</v>
      </c>
      <c r="I315" s="236"/>
      <c r="J315" s="236"/>
      <c r="K315" s="236"/>
      <c r="L315" s="232"/>
      <c r="M315" s="250"/>
      <c r="N315" s="232"/>
      <c r="O315" s="260">
        <f>SUM(O316:O319)</f>
        <v>4.0850149200081134</v>
      </c>
    </row>
    <row r="316" spans="2:15" outlineLevel="2">
      <c r="B316" s="229"/>
      <c r="C316" s="230" t="s">
        <v>364</v>
      </c>
      <c r="D316" s="231" t="s">
        <v>17</v>
      </c>
      <c r="E316" s="232"/>
      <c r="F316" s="250"/>
      <c r="G316" s="232"/>
      <c r="H316" s="256" t="s">
        <v>368</v>
      </c>
      <c r="I316" s="256"/>
      <c r="J316" s="256"/>
      <c r="K316" s="256"/>
      <c r="L316" s="232"/>
      <c r="M316" s="250"/>
      <c r="N316" s="232"/>
      <c r="O316" s="317">
        <v>1.3616716400027045</v>
      </c>
    </row>
    <row r="317" spans="2:15" outlineLevel="2">
      <c r="B317" s="229"/>
      <c r="C317" s="230" t="s">
        <v>364</v>
      </c>
      <c r="D317" s="231" t="s">
        <v>17</v>
      </c>
      <c r="E317" s="232"/>
      <c r="F317" s="250"/>
      <c r="G317" s="232"/>
      <c r="H317" s="256" t="s">
        <v>292</v>
      </c>
      <c r="I317" s="256"/>
      <c r="J317" s="256"/>
      <c r="K317" s="256"/>
      <c r="L317" s="232"/>
      <c r="M317" s="250"/>
      <c r="N317" s="232"/>
      <c r="O317" s="317">
        <v>1.3616716400027045</v>
      </c>
    </row>
    <row r="318" spans="2:15" outlineLevel="2">
      <c r="B318" s="229"/>
      <c r="C318" s="230" t="s">
        <v>364</v>
      </c>
      <c r="D318" s="231" t="s">
        <v>17</v>
      </c>
      <c r="E318" s="232"/>
      <c r="F318" s="250"/>
      <c r="G318" s="232"/>
      <c r="H318" s="256" t="s">
        <v>369</v>
      </c>
      <c r="I318" s="256"/>
      <c r="J318" s="256"/>
      <c r="K318" s="256"/>
      <c r="L318" s="232"/>
      <c r="M318" s="250"/>
      <c r="N318" s="232"/>
      <c r="O318" s="317">
        <v>0.68083582000135223</v>
      </c>
    </row>
    <row r="319" spans="2:15" outlineLevel="2">
      <c r="B319" s="229"/>
      <c r="C319" s="230" t="s">
        <v>364</v>
      </c>
      <c r="D319" s="231" t="s">
        <v>17</v>
      </c>
      <c r="E319" s="232"/>
      <c r="F319" s="250"/>
      <c r="G319" s="232"/>
      <c r="H319" s="278" t="s">
        <v>691</v>
      </c>
      <c r="I319" s="278"/>
      <c r="J319" s="278"/>
      <c r="K319" s="278"/>
      <c r="L319" s="232"/>
      <c r="M319" s="250"/>
      <c r="N319" s="232"/>
      <c r="O319" s="317">
        <v>0.68083582000135223</v>
      </c>
    </row>
    <row r="320" spans="2:15" ht="3" customHeight="1" outlineLevel="1">
      <c r="B320" s="560"/>
      <c r="C320" s="559"/>
      <c r="D320" s="559"/>
      <c r="H320" s="562"/>
      <c r="I320" s="562"/>
      <c r="J320" s="562"/>
      <c r="K320" s="562"/>
      <c r="O320" s="563"/>
    </row>
    <row r="321" spans="1:15" s="234" customFormat="1" outlineLevel="1">
      <c r="B321" s="235" t="s">
        <v>692</v>
      </c>
      <c r="C321" s="235"/>
      <c r="D321" s="235"/>
      <c r="E321" s="232"/>
      <c r="F321" s="250"/>
      <c r="G321" s="232"/>
      <c r="H321" s="236">
        <f>COUNTA(H322:H327)</f>
        <v>6</v>
      </c>
      <c r="I321" s="236"/>
      <c r="J321" s="236"/>
      <c r="K321" s="236"/>
      <c r="L321" s="232"/>
      <c r="M321" s="250"/>
      <c r="N321" s="232"/>
      <c r="O321" s="260">
        <f>SUM(O322:O327)</f>
        <v>7.7968107205036095</v>
      </c>
    </row>
    <row r="322" spans="1:15" outlineLevel="2">
      <c r="A322" s="564"/>
      <c r="B322" s="229"/>
      <c r="C322" s="230" t="s">
        <v>692</v>
      </c>
      <c r="D322" s="231" t="s">
        <v>17</v>
      </c>
      <c r="E322" s="232"/>
      <c r="F322" s="250"/>
      <c r="G322" s="232"/>
      <c r="H322" s="278" t="s">
        <v>316</v>
      </c>
      <c r="I322" s="278"/>
      <c r="J322" s="278"/>
      <c r="K322" s="278"/>
      <c r="L322" s="232"/>
      <c r="M322" s="250"/>
      <c r="N322" s="232"/>
      <c r="O322" s="317">
        <v>2.2805053602518046</v>
      </c>
    </row>
    <row r="323" spans="1:15" outlineLevel="2">
      <c r="A323" s="564"/>
      <c r="B323" s="229"/>
      <c r="C323" s="230" t="s">
        <v>692</v>
      </c>
      <c r="D323" s="231" t="s">
        <v>17</v>
      </c>
      <c r="E323" s="232"/>
      <c r="F323" s="250"/>
      <c r="G323" s="232"/>
      <c r="H323" s="278" t="s">
        <v>32</v>
      </c>
      <c r="I323" s="278"/>
      <c r="J323" s="278"/>
      <c r="K323" s="278"/>
      <c r="L323" s="232"/>
      <c r="M323" s="250"/>
      <c r="N323" s="232"/>
      <c r="O323" s="317">
        <v>1.1402526801259023</v>
      </c>
    </row>
    <row r="324" spans="1:15" outlineLevel="2">
      <c r="A324" s="564"/>
      <c r="B324" s="229"/>
      <c r="C324" s="230" t="s">
        <v>692</v>
      </c>
      <c r="D324" s="231" t="s">
        <v>17</v>
      </c>
      <c r="E324" s="232"/>
      <c r="F324" s="250"/>
      <c r="G324" s="232"/>
      <c r="H324" s="278" t="s">
        <v>33</v>
      </c>
      <c r="I324" s="278"/>
      <c r="J324" s="278"/>
      <c r="K324" s="278"/>
      <c r="L324" s="232"/>
      <c r="M324" s="250"/>
      <c r="N324" s="232"/>
      <c r="O324" s="317">
        <v>2.1572000000000005</v>
      </c>
    </row>
    <row r="325" spans="1:15" outlineLevel="2">
      <c r="A325" s="564"/>
      <c r="B325" s="229"/>
      <c r="C325" s="230" t="s">
        <v>692</v>
      </c>
      <c r="D325" s="231" t="s">
        <v>17</v>
      </c>
      <c r="E325" s="232"/>
      <c r="F325" s="250"/>
      <c r="G325" s="232"/>
      <c r="H325" s="278" t="s">
        <v>285</v>
      </c>
      <c r="I325" s="278"/>
      <c r="J325" s="278"/>
      <c r="K325" s="278"/>
      <c r="L325" s="232"/>
      <c r="M325" s="250"/>
      <c r="N325" s="232"/>
      <c r="O325" s="317">
        <v>1.1402526801259023</v>
      </c>
    </row>
    <row r="326" spans="1:15" outlineLevel="2">
      <c r="A326" s="564"/>
      <c r="B326" s="229"/>
      <c r="C326" s="230" t="s">
        <v>692</v>
      </c>
      <c r="D326" s="231" t="s">
        <v>17</v>
      </c>
      <c r="E326" s="232"/>
      <c r="F326" s="250"/>
      <c r="G326" s="232"/>
      <c r="H326" s="278" t="s">
        <v>170</v>
      </c>
      <c r="I326" s="278"/>
      <c r="J326" s="278"/>
      <c r="K326" s="278"/>
      <c r="L326" s="232"/>
      <c r="M326" s="250"/>
      <c r="N326" s="232"/>
      <c r="O326" s="317">
        <v>1.0786000000000002</v>
      </c>
    </row>
    <row r="327" spans="1:15" outlineLevel="2">
      <c r="A327" s="564"/>
      <c r="B327" s="229"/>
      <c r="C327" s="230" t="s">
        <v>692</v>
      </c>
      <c r="D327" s="231" t="s">
        <v>17</v>
      </c>
      <c r="E327" s="232"/>
      <c r="F327" s="250"/>
      <c r="G327" s="232"/>
      <c r="H327" s="278" t="s">
        <v>693</v>
      </c>
      <c r="I327" s="278"/>
      <c r="J327" s="278"/>
      <c r="K327" s="278"/>
      <c r="L327" s="232"/>
      <c r="M327" s="250"/>
      <c r="N327" s="232"/>
      <c r="O327" s="317"/>
    </row>
    <row r="328" spans="1:15" ht="3" customHeight="1" outlineLevel="1">
      <c r="A328" s="559"/>
      <c r="B328" s="242"/>
      <c r="C328" s="242"/>
      <c r="D328" s="249"/>
      <c r="E328" s="239"/>
      <c r="F328" s="192"/>
      <c r="G328" s="239"/>
      <c r="H328" s="569"/>
      <c r="I328" s="569"/>
      <c r="J328" s="569"/>
      <c r="K328" s="569"/>
      <c r="L328" s="239"/>
      <c r="M328" s="192"/>
      <c r="N328" s="239"/>
      <c r="O328" s="570"/>
    </row>
    <row r="329" spans="1:15" s="234" customFormat="1" outlineLevel="1">
      <c r="A329" s="234" t="s">
        <v>694</v>
      </c>
      <c r="B329" s="235" t="s">
        <v>695</v>
      </c>
      <c r="C329" s="235"/>
      <c r="D329" s="235"/>
      <c r="E329" s="232"/>
      <c r="F329" s="250"/>
      <c r="G329" s="232"/>
      <c r="H329" s="236">
        <f>COUNTA(H330:H332)</f>
        <v>3</v>
      </c>
      <c r="I329" s="236"/>
      <c r="J329" s="236"/>
      <c r="K329" s="236"/>
      <c r="L329" s="232"/>
      <c r="M329" s="250"/>
      <c r="N329" s="232"/>
      <c r="O329" s="260">
        <f>SUM(O330:O332)</f>
        <v>0.1573576176</v>
      </c>
    </row>
    <row r="330" spans="1:15" outlineLevel="2">
      <c r="A330" s="564"/>
      <c r="B330" s="229"/>
      <c r="C330" s="565" t="s">
        <v>683</v>
      </c>
      <c r="D330" s="566" t="s">
        <v>17</v>
      </c>
      <c r="E330" s="232"/>
      <c r="F330" s="250"/>
      <c r="G330" s="232"/>
      <c r="H330" s="586" t="s">
        <v>696</v>
      </c>
      <c r="I330" s="586"/>
      <c r="J330" s="586"/>
      <c r="K330" s="586"/>
      <c r="L330" s="232"/>
      <c r="M330" s="250"/>
      <c r="N330" s="232"/>
      <c r="O330" s="279">
        <v>9.6000000000000002E-2</v>
      </c>
    </row>
    <row r="331" spans="1:15" outlineLevel="2">
      <c r="A331" s="564"/>
      <c r="B331" s="229"/>
      <c r="C331" s="565" t="s">
        <v>683</v>
      </c>
      <c r="D331" s="566" t="s">
        <v>17</v>
      </c>
      <c r="E331" s="232"/>
      <c r="F331" s="250"/>
      <c r="G331" s="232"/>
      <c r="H331" s="586" t="s">
        <v>697</v>
      </c>
      <c r="I331" s="586"/>
      <c r="J331" s="586"/>
      <c r="K331" s="586"/>
      <c r="L331" s="232"/>
      <c r="M331" s="250"/>
      <c r="N331" s="232"/>
      <c r="O331" s="587">
        <v>6.1357617600000004E-2</v>
      </c>
    </row>
    <row r="332" spans="1:15" outlineLevel="2">
      <c r="A332" s="564"/>
      <c r="B332" s="229"/>
      <c r="C332" s="565" t="s">
        <v>683</v>
      </c>
      <c r="D332" s="566" t="s">
        <v>17</v>
      </c>
      <c r="E332" s="232"/>
      <c r="F332" s="250"/>
      <c r="G332" s="232"/>
      <c r="H332" s="256" t="s">
        <v>698</v>
      </c>
      <c r="I332" s="256"/>
      <c r="J332" s="256"/>
      <c r="K332" s="256"/>
      <c r="L332" s="232"/>
      <c r="M332" s="250"/>
      <c r="N332" s="232"/>
      <c r="O332" s="587"/>
    </row>
    <row r="333" spans="1:15" ht="3" customHeight="1" outlineLevel="1">
      <c r="A333" s="559"/>
      <c r="B333" s="242"/>
      <c r="C333" s="242"/>
      <c r="D333" s="249"/>
      <c r="E333" s="239"/>
      <c r="F333" s="192"/>
      <c r="G333" s="239"/>
      <c r="H333" s="569"/>
      <c r="I333" s="569"/>
      <c r="J333" s="569"/>
      <c r="K333" s="569"/>
      <c r="L333" s="239"/>
      <c r="M333" s="192"/>
      <c r="N333" s="239"/>
      <c r="O333" s="570"/>
    </row>
    <row r="334" spans="1:15" s="234" customFormat="1" outlineLevel="1">
      <c r="B334" s="235" t="s">
        <v>699</v>
      </c>
      <c r="C334" s="235"/>
      <c r="D334" s="235"/>
      <c r="E334" s="232"/>
      <c r="F334" s="250"/>
      <c r="G334" s="232"/>
      <c r="H334" s="236">
        <f>COUNTA(H335:H337)</f>
        <v>3</v>
      </c>
      <c r="I334" s="236"/>
      <c r="J334" s="236"/>
      <c r="K334" s="236"/>
      <c r="L334" s="232"/>
      <c r="M334" s="250"/>
      <c r="N334" s="232"/>
      <c r="O334" s="260">
        <f>SUM(O335:O337)</f>
        <v>14.737506000000003</v>
      </c>
    </row>
    <row r="335" spans="1:15" outlineLevel="2">
      <c r="A335" s="564"/>
      <c r="B335" s="229"/>
      <c r="C335" s="230" t="s">
        <v>700</v>
      </c>
      <c r="D335" s="231" t="s">
        <v>17</v>
      </c>
      <c r="E335" s="232"/>
      <c r="F335" s="250"/>
      <c r="G335" s="232"/>
      <c r="H335" s="245" t="s">
        <v>284</v>
      </c>
      <c r="I335" s="245"/>
      <c r="J335" s="245"/>
      <c r="K335" s="245"/>
      <c r="L335" s="232"/>
      <c r="M335" s="250"/>
      <c r="N335" s="232"/>
      <c r="O335" s="572">
        <v>4.9125020000000008</v>
      </c>
    </row>
    <row r="336" spans="1:15" outlineLevel="2">
      <c r="A336" s="564"/>
      <c r="B336" s="229"/>
      <c r="C336" s="230" t="s">
        <v>700</v>
      </c>
      <c r="D336" s="231" t="s">
        <v>17</v>
      </c>
      <c r="E336" s="232"/>
      <c r="F336" s="250"/>
      <c r="G336" s="232"/>
      <c r="H336" s="245" t="s">
        <v>31</v>
      </c>
      <c r="I336" s="245"/>
      <c r="J336" s="245"/>
      <c r="K336" s="245"/>
      <c r="L336" s="232"/>
      <c r="M336" s="250"/>
      <c r="N336" s="232"/>
      <c r="O336" s="587">
        <v>4.9125020000000008</v>
      </c>
    </row>
    <row r="337" spans="1:15" outlineLevel="2">
      <c r="A337" s="564"/>
      <c r="B337" s="229"/>
      <c r="C337" s="230" t="s">
        <v>700</v>
      </c>
      <c r="D337" s="231" t="s">
        <v>17</v>
      </c>
      <c r="E337" s="232"/>
      <c r="F337" s="250"/>
      <c r="G337" s="232"/>
      <c r="H337" s="245" t="s">
        <v>32</v>
      </c>
      <c r="I337" s="245"/>
      <c r="J337" s="245"/>
      <c r="K337" s="245"/>
      <c r="L337" s="232"/>
      <c r="M337" s="250"/>
      <c r="N337" s="232"/>
      <c r="O337" s="587">
        <v>4.9125020000000008</v>
      </c>
    </row>
    <row r="338" spans="1:15" ht="3" customHeight="1" outlineLevel="1">
      <c r="A338" s="559"/>
      <c r="B338" s="242"/>
      <c r="C338" s="242"/>
      <c r="D338" s="249"/>
      <c r="E338" s="239"/>
      <c r="F338" s="192"/>
      <c r="G338" s="239"/>
      <c r="H338" s="569"/>
      <c r="I338" s="569"/>
      <c r="J338" s="569"/>
      <c r="K338" s="569"/>
      <c r="L338" s="239"/>
      <c r="M338" s="192"/>
      <c r="N338" s="239"/>
      <c r="O338" s="570"/>
    </row>
    <row r="339" spans="1:15" s="234" customFormat="1" outlineLevel="1">
      <c r="A339" s="234" t="s">
        <v>694</v>
      </c>
      <c r="B339" s="235" t="s">
        <v>701</v>
      </c>
      <c r="C339" s="235"/>
      <c r="D339" s="235"/>
      <c r="E339" s="232"/>
      <c r="F339" s="250"/>
      <c r="G339" s="232"/>
      <c r="H339" s="236">
        <f>COUNTA(H340:H342)</f>
        <v>3</v>
      </c>
      <c r="I339" s="236"/>
      <c r="J339" s="236"/>
      <c r="K339" s="236"/>
      <c r="L339" s="232"/>
      <c r="M339" s="250"/>
      <c r="N339" s="232"/>
      <c r="O339" s="260">
        <f>SUM(O340:O342)</f>
        <v>0</v>
      </c>
    </row>
    <row r="340" spans="1:15" outlineLevel="2">
      <c r="A340" s="564"/>
      <c r="B340" s="560"/>
      <c r="C340" s="230" t="s">
        <v>702</v>
      </c>
      <c r="D340" s="231" t="s">
        <v>17</v>
      </c>
      <c r="E340" s="232"/>
      <c r="F340" s="250"/>
      <c r="G340" s="232"/>
      <c r="H340" s="576" t="s">
        <v>284</v>
      </c>
      <c r="I340" s="576"/>
      <c r="J340" s="576"/>
      <c r="K340" s="576"/>
      <c r="L340" s="232"/>
      <c r="M340" s="250"/>
      <c r="N340" s="232"/>
      <c r="O340" s="275"/>
    </row>
    <row r="341" spans="1:15" outlineLevel="2">
      <c r="A341" s="564"/>
      <c r="B341" s="560"/>
      <c r="C341" s="230" t="s">
        <v>702</v>
      </c>
      <c r="D341" s="231" t="s">
        <v>17</v>
      </c>
      <c r="E341" s="232"/>
      <c r="F341" s="250"/>
      <c r="G341" s="232"/>
      <c r="H341" s="588" t="s">
        <v>631</v>
      </c>
      <c r="I341" s="588"/>
      <c r="J341" s="588"/>
      <c r="K341" s="588"/>
      <c r="L341" s="232"/>
      <c r="M341" s="250"/>
      <c r="N341" s="232"/>
      <c r="O341" s="275"/>
    </row>
    <row r="342" spans="1:15" outlineLevel="2">
      <c r="A342" s="564"/>
      <c r="B342" s="560"/>
      <c r="C342" s="230" t="s">
        <v>702</v>
      </c>
      <c r="D342" s="231" t="s">
        <v>17</v>
      </c>
      <c r="E342" s="232"/>
      <c r="F342" s="250"/>
      <c r="G342" s="232"/>
      <c r="H342" s="588" t="s">
        <v>32</v>
      </c>
      <c r="I342" s="588"/>
      <c r="J342" s="588"/>
      <c r="K342" s="588"/>
      <c r="L342" s="232"/>
      <c r="M342" s="250"/>
      <c r="N342" s="232"/>
      <c r="O342" s="275"/>
    </row>
    <row r="343" spans="1:15" ht="3" customHeight="1" outlineLevel="1">
      <c r="A343" s="564"/>
      <c r="B343" s="560"/>
      <c r="C343" s="230"/>
      <c r="D343" s="231"/>
      <c r="E343" s="232"/>
      <c r="F343" s="250"/>
      <c r="G343" s="232"/>
      <c r="H343" s="280"/>
      <c r="I343" s="280"/>
      <c r="J343" s="280"/>
      <c r="K343" s="280"/>
      <c r="L343" s="232"/>
      <c r="M343" s="250"/>
      <c r="N343" s="232"/>
      <c r="O343" s="275"/>
    </row>
    <row r="344" spans="1:15" s="234" customFormat="1" outlineLevel="1">
      <c r="A344" s="234" t="s">
        <v>694</v>
      </c>
      <c r="B344" s="235" t="s">
        <v>703</v>
      </c>
      <c r="C344" s="235"/>
      <c r="D344" s="235"/>
      <c r="E344" s="232"/>
      <c r="F344" s="250"/>
      <c r="G344" s="232"/>
      <c r="H344" s="236">
        <f>COUNTA(H345:H348)</f>
        <v>3</v>
      </c>
      <c r="I344" s="236"/>
      <c r="J344" s="236"/>
      <c r="K344" s="236"/>
      <c r="L344" s="232"/>
      <c r="M344" s="250"/>
      <c r="N344" s="232"/>
      <c r="O344" s="260">
        <f>SUM(O345:O348)</f>
        <v>0</v>
      </c>
    </row>
    <row r="345" spans="1:15" outlineLevel="2">
      <c r="A345" s="564"/>
      <c r="B345" s="560"/>
      <c r="C345" s="230" t="s">
        <v>704</v>
      </c>
      <c r="D345" s="231" t="s">
        <v>17</v>
      </c>
      <c r="E345" s="232"/>
      <c r="F345" s="250"/>
      <c r="G345" s="232"/>
      <c r="H345" s="576" t="s">
        <v>284</v>
      </c>
      <c r="I345" s="576"/>
      <c r="J345" s="576"/>
      <c r="K345" s="576"/>
      <c r="L345" s="232"/>
      <c r="M345" s="250"/>
      <c r="N345" s="232"/>
      <c r="O345" s="275"/>
    </row>
    <row r="346" spans="1:15" outlineLevel="2">
      <c r="A346" s="564"/>
      <c r="B346" s="560"/>
      <c r="C346" s="230" t="s">
        <v>704</v>
      </c>
      <c r="D346" s="231" t="s">
        <v>17</v>
      </c>
      <c r="E346" s="232"/>
      <c r="F346" s="250"/>
      <c r="G346" s="232"/>
      <c r="H346" s="588" t="s">
        <v>631</v>
      </c>
      <c r="I346" s="588"/>
      <c r="J346" s="588"/>
      <c r="K346" s="588"/>
      <c r="L346" s="232"/>
      <c r="M346" s="250"/>
      <c r="N346" s="232"/>
      <c r="O346" s="275"/>
    </row>
    <row r="347" spans="1:15" outlineLevel="2">
      <c r="A347" s="564"/>
      <c r="B347" s="560"/>
      <c r="C347" s="230" t="s">
        <v>704</v>
      </c>
      <c r="D347" s="231" t="s">
        <v>17</v>
      </c>
      <c r="E347" s="232"/>
      <c r="F347" s="250"/>
      <c r="G347" s="232"/>
      <c r="H347" s="588" t="s">
        <v>32</v>
      </c>
      <c r="I347" s="588"/>
      <c r="J347" s="588"/>
      <c r="K347" s="588"/>
      <c r="L347" s="232"/>
      <c r="M347" s="250"/>
      <c r="N347" s="232"/>
      <c r="O347" s="275"/>
    </row>
    <row r="348" spans="1:15" outlineLevel="2">
      <c r="A348" s="564"/>
      <c r="B348" s="560"/>
      <c r="C348" s="230" t="s">
        <v>704</v>
      </c>
      <c r="D348" s="231" t="s">
        <v>17</v>
      </c>
      <c r="E348" s="232"/>
      <c r="F348" s="250"/>
      <c r="G348" s="232"/>
      <c r="H348" s="588"/>
      <c r="I348" s="588"/>
      <c r="J348" s="588"/>
      <c r="K348" s="588"/>
      <c r="L348" s="232"/>
      <c r="M348" s="250"/>
      <c r="N348" s="232"/>
      <c r="O348" s="275"/>
    </row>
    <row r="349" spans="1:15" ht="3" customHeight="1" outlineLevel="1">
      <c r="A349" s="564"/>
      <c r="B349" s="560"/>
      <c r="C349" s="230"/>
      <c r="D349" s="231"/>
      <c r="E349" s="232"/>
      <c r="F349" s="250"/>
      <c r="G349" s="232"/>
      <c r="H349" s="280"/>
      <c r="I349" s="280"/>
      <c r="J349" s="280"/>
      <c r="K349" s="280"/>
      <c r="L349" s="232"/>
      <c r="M349" s="250"/>
      <c r="N349" s="232"/>
      <c r="O349" s="275"/>
    </row>
    <row r="350" spans="1:15" s="234" customFormat="1" outlineLevel="1">
      <c r="A350" s="234" t="s">
        <v>694</v>
      </c>
      <c r="B350" s="235" t="s">
        <v>705</v>
      </c>
      <c r="C350" s="235"/>
      <c r="D350" s="235"/>
      <c r="E350" s="232"/>
      <c r="F350" s="250"/>
      <c r="G350" s="232"/>
      <c r="H350" s="236">
        <f>COUNTA(H351:H352)</f>
        <v>2</v>
      </c>
      <c r="I350" s="236"/>
      <c r="J350" s="236"/>
      <c r="K350" s="236"/>
      <c r="L350" s="232"/>
      <c r="M350" s="250"/>
      <c r="N350" s="232"/>
      <c r="O350" s="260">
        <f>SUM(O352:O352)</f>
        <v>0</v>
      </c>
    </row>
    <row r="351" spans="1:15" s="327" customFormat="1" outlineLevel="2" collapsed="1">
      <c r="A351" s="559"/>
      <c r="B351" s="242"/>
      <c r="C351" s="242" t="s">
        <v>360</v>
      </c>
      <c r="D351" s="566" t="s">
        <v>17</v>
      </c>
      <c r="E351" s="232"/>
      <c r="F351" s="250"/>
      <c r="G351" s="232"/>
      <c r="H351" s="589" t="s">
        <v>284</v>
      </c>
      <c r="I351" s="589"/>
      <c r="J351" s="589"/>
      <c r="K351" s="589"/>
      <c r="L351" s="232"/>
      <c r="M351" s="250"/>
      <c r="N351" s="232"/>
      <c r="O351" s="563"/>
    </row>
    <row r="352" spans="1:15" outlineLevel="2">
      <c r="A352" s="559"/>
      <c r="B352" s="242"/>
      <c r="C352" s="242" t="s">
        <v>360</v>
      </c>
      <c r="D352" s="566" t="s">
        <v>17</v>
      </c>
      <c r="E352" s="232"/>
      <c r="F352" s="250"/>
      <c r="G352" s="232"/>
      <c r="H352" s="589" t="s">
        <v>706</v>
      </c>
      <c r="I352" s="589"/>
      <c r="J352" s="589"/>
      <c r="K352" s="589"/>
      <c r="L352" s="232"/>
      <c r="M352" s="250"/>
      <c r="N352" s="232"/>
      <c r="O352" s="563"/>
    </row>
    <row r="353" spans="2:15">
      <c r="B353" s="560"/>
      <c r="C353" s="559"/>
      <c r="D353" s="559"/>
      <c r="H353" s="562"/>
      <c r="I353" s="562"/>
      <c r="J353" s="562"/>
      <c r="K353" s="562"/>
      <c r="O353" s="563"/>
    </row>
    <row r="354" spans="2:15" s="228" customFormat="1" ht="15.6">
      <c r="B354" s="222" t="s">
        <v>439</v>
      </c>
      <c r="C354" s="223" t="s">
        <v>707</v>
      </c>
      <c r="D354" s="224" t="s">
        <v>17</v>
      </c>
      <c r="E354" s="225"/>
      <c r="F354" s="226"/>
      <c r="G354" s="225"/>
      <c r="H354" s="227">
        <f>SUM(H356,H359,H375,H379,H392,H368,H386,H371,H383,H399)</f>
        <v>45</v>
      </c>
      <c r="I354" s="227"/>
      <c r="J354" s="227"/>
      <c r="K354" s="227"/>
      <c r="L354" s="225"/>
      <c r="M354" s="226"/>
      <c r="N354" s="225"/>
      <c r="O354" s="340">
        <f>SUM(O356,O359,O375,O379,O392,O368,O386,O371,O383,O399)</f>
        <v>0.61038393090855869</v>
      </c>
    </row>
    <row r="355" spans="2:15" ht="3" customHeight="1" outlineLevel="1" collapsed="1">
      <c r="B355" s="229"/>
      <c r="C355" s="230"/>
      <c r="D355" s="231"/>
      <c r="E355" s="232"/>
      <c r="F355" s="192"/>
      <c r="G355" s="232"/>
      <c r="H355" s="233"/>
      <c r="I355" s="233"/>
      <c r="J355" s="233"/>
      <c r="K355" s="233"/>
      <c r="L355" s="287"/>
      <c r="M355" s="288"/>
      <c r="N355" s="287"/>
      <c r="O355" s="341"/>
    </row>
    <row r="356" spans="2:15" s="234" customFormat="1" ht="15.6" outlineLevel="1">
      <c r="B356" s="235" t="s">
        <v>708</v>
      </c>
      <c r="C356" s="235"/>
      <c r="D356" s="235"/>
      <c r="E356" s="232"/>
      <c r="F356" s="192"/>
      <c r="G356" s="232"/>
      <c r="H356" s="236"/>
      <c r="I356" s="236"/>
      <c r="J356" s="236"/>
      <c r="K356" s="236"/>
      <c r="L356" s="287"/>
      <c r="M356" s="288"/>
      <c r="N356" s="287"/>
      <c r="O356" s="260"/>
    </row>
    <row r="357" spans="2:15" ht="15.6" outlineLevel="2">
      <c r="B357" s="242"/>
      <c r="C357" s="242" t="s">
        <v>709</v>
      </c>
      <c r="D357" s="249" t="s">
        <v>17</v>
      </c>
      <c r="E357" s="257"/>
      <c r="F357" s="192"/>
      <c r="G357" s="257"/>
      <c r="H357" s="568" t="s">
        <v>710</v>
      </c>
      <c r="I357" s="568"/>
      <c r="J357" s="568"/>
      <c r="K357" s="568"/>
      <c r="L357" s="287"/>
      <c r="M357" s="288"/>
      <c r="N357" s="287"/>
      <c r="O357" s="572">
        <v>0.12878000000000001</v>
      </c>
    </row>
    <row r="358" spans="2:15" ht="3" customHeight="1" outlineLevel="1">
      <c r="B358" s="242"/>
      <c r="C358" s="242"/>
      <c r="D358" s="242"/>
      <c r="E358" s="232"/>
      <c r="F358" s="192"/>
      <c r="G358" s="232"/>
      <c r="H358" s="569"/>
      <c r="I358" s="569"/>
      <c r="J358" s="569"/>
      <c r="K358" s="569"/>
      <c r="L358" s="287"/>
      <c r="M358" s="288"/>
      <c r="N358" s="287"/>
      <c r="O358" s="570"/>
    </row>
    <row r="359" spans="2:15" s="234" customFormat="1" ht="15.6" outlineLevel="1">
      <c r="B359" s="235" t="s">
        <v>711</v>
      </c>
      <c r="C359" s="235"/>
      <c r="D359" s="235"/>
      <c r="E359" s="232"/>
      <c r="F359" s="192"/>
      <c r="G359" s="232"/>
      <c r="H359" s="236">
        <f>COUNTA(H360:H366)</f>
        <v>7</v>
      </c>
      <c r="I359" s="236"/>
      <c r="J359" s="236"/>
      <c r="K359" s="236"/>
      <c r="L359" s="287"/>
      <c r="M359" s="288"/>
      <c r="N359" s="287"/>
      <c r="O359" s="260">
        <f t="shared" ref="O359" si="2">SUM(O360:O365)</f>
        <v>0</v>
      </c>
    </row>
    <row r="360" spans="2:15" ht="15.6" outlineLevel="2">
      <c r="B360" s="242"/>
      <c r="C360" s="242" t="s">
        <v>712</v>
      </c>
      <c r="D360" s="249" t="s">
        <v>17</v>
      </c>
      <c r="E360" s="257"/>
      <c r="F360" s="192"/>
      <c r="G360" s="257"/>
      <c r="H360" s="568" t="s">
        <v>713</v>
      </c>
      <c r="I360" s="568"/>
      <c r="J360" s="568"/>
      <c r="K360" s="568"/>
      <c r="L360" s="287"/>
      <c r="M360" s="288"/>
      <c r="N360" s="287"/>
      <c r="O360" s="572"/>
    </row>
    <row r="361" spans="2:15" ht="15.6" outlineLevel="2">
      <c r="B361" s="242"/>
      <c r="C361" s="242" t="s">
        <v>712</v>
      </c>
      <c r="D361" s="249" t="s">
        <v>17</v>
      </c>
      <c r="E361" s="257"/>
      <c r="F361" s="192"/>
      <c r="G361" s="257"/>
      <c r="H361" s="568" t="s">
        <v>714</v>
      </c>
      <c r="I361" s="568"/>
      <c r="J361" s="568"/>
      <c r="K361" s="568"/>
      <c r="L361" s="287"/>
      <c r="M361" s="288"/>
      <c r="N361" s="287"/>
      <c r="O361" s="572"/>
    </row>
    <row r="362" spans="2:15" ht="15.6" outlineLevel="2">
      <c r="B362" s="242"/>
      <c r="C362" s="242" t="s">
        <v>712</v>
      </c>
      <c r="D362" s="249" t="s">
        <v>17</v>
      </c>
      <c r="E362" s="257"/>
      <c r="F362" s="192"/>
      <c r="G362" s="257"/>
      <c r="H362" s="568" t="s">
        <v>715</v>
      </c>
      <c r="I362" s="568"/>
      <c r="J362" s="568"/>
      <c r="K362" s="568"/>
      <c r="L362" s="287"/>
      <c r="M362" s="288"/>
      <c r="N362" s="287"/>
      <c r="O362" s="572"/>
    </row>
    <row r="363" spans="2:15" ht="15.6" outlineLevel="2">
      <c r="B363" s="242"/>
      <c r="C363" s="242" t="s">
        <v>712</v>
      </c>
      <c r="D363" s="249" t="s">
        <v>17</v>
      </c>
      <c r="E363" s="257"/>
      <c r="F363" s="192"/>
      <c r="G363" s="257"/>
      <c r="H363" s="568" t="s">
        <v>716</v>
      </c>
      <c r="I363" s="568"/>
      <c r="J363" s="568"/>
      <c r="K363" s="568"/>
      <c r="L363" s="287"/>
      <c r="M363" s="288"/>
      <c r="N363" s="287"/>
      <c r="O363" s="572"/>
    </row>
    <row r="364" spans="2:15" ht="15.6" outlineLevel="2">
      <c r="B364" s="242"/>
      <c r="C364" s="242" t="s">
        <v>712</v>
      </c>
      <c r="D364" s="249" t="s">
        <v>17</v>
      </c>
      <c r="E364" s="257"/>
      <c r="F364" s="192"/>
      <c r="G364" s="257"/>
      <c r="H364" s="568" t="s">
        <v>717</v>
      </c>
      <c r="I364" s="568"/>
      <c r="J364" s="568"/>
      <c r="K364" s="568"/>
      <c r="L364" s="287"/>
      <c r="M364" s="288"/>
      <c r="N364" s="287"/>
      <c r="O364" s="572"/>
    </row>
    <row r="365" spans="2:15" ht="15.6" outlineLevel="2">
      <c r="B365" s="242"/>
      <c r="C365" s="242" t="s">
        <v>712</v>
      </c>
      <c r="D365" s="249" t="s">
        <v>17</v>
      </c>
      <c r="E365" s="257"/>
      <c r="F365" s="192"/>
      <c r="G365" s="257"/>
      <c r="H365" s="568" t="s">
        <v>718</v>
      </c>
      <c r="I365" s="568"/>
      <c r="J365" s="568"/>
      <c r="K365" s="568"/>
      <c r="L365" s="287"/>
      <c r="M365" s="288"/>
      <c r="N365" s="287"/>
      <c r="O365" s="572"/>
    </row>
    <row r="366" spans="2:15" ht="15.6" outlineLevel="2">
      <c r="B366" s="242"/>
      <c r="C366" s="242" t="s">
        <v>712</v>
      </c>
      <c r="D366" s="249" t="s">
        <v>17</v>
      </c>
      <c r="E366" s="257"/>
      <c r="F366" s="192"/>
      <c r="G366" s="257"/>
      <c r="H366" s="568" t="s">
        <v>719</v>
      </c>
      <c r="I366" s="568"/>
      <c r="J366" s="568"/>
      <c r="K366" s="568"/>
      <c r="L366" s="287"/>
      <c r="M366" s="288"/>
      <c r="N366" s="287"/>
      <c r="O366" s="572"/>
    </row>
    <row r="367" spans="2:15" ht="3" customHeight="1" outlineLevel="1">
      <c r="B367" s="242"/>
      <c r="C367" s="242"/>
      <c r="D367" s="242"/>
      <c r="E367" s="232"/>
      <c r="F367" s="192"/>
      <c r="G367" s="232"/>
      <c r="H367" s="569"/>
      <c r="I367" s="569"/>
      <c r="J367" s="569"/>
      <c r="K367" s="569"/>
      <c r="L367" s="287"/>
      <c r="M367" s="288"/>
      <c r="N367" s="287"/>
      <c r="O367" s="570"/>
    </row>
    <row r="368" spans="2:15" s="234" customFormat="1" ht="15.6" outlineLevel="1">
      <c r="B368" s="235" t="s">
        <v>720</v>
      </c>
      <c r="C368" s="235"/>
      <c r="D368" s="235"/>
      <c r="E368" s="232"/>
      <c r="F368" s="192"/>
      <c r="G368" s="232"/>
      <c r="H368" s="236"/>
      <c r="I368" s="236"/>
      <c r="J368" s="236"/>
      <c r="K368" s="236"/>
      <c r="L368" s="287"/>
      <c r="M368" s="288"/>
      <c r="N368" s="287"/>
      <c r="O368" s="260"/>
    </row>
    <row r="369" spans="2:15" ht="15.6" outlineLevel="2">
      <c r="B369" s="242"/>
      <c r="C369" s="242" t="s">
        <v>721</v>
      </c>
      <c r="D369" s="249" t="s">
        <v>17</v>
      </c>
      <c r="E369" s="257"/>
      <c r="F369" s="192"/>
      <c r="G369" s="257"/>
      <c r="H369" s="590" t="s">
        <v>587</v>
      </c>
      <c r="I369" s="590"/>
      <c r="J369" s="590"/>
      <c r="K369" s="590"/>
      <c r="L369" s="287"/>
      <c r="M369" s="288"/>
      <c r="N369" s="287"/>
      <c r="O369" s="591">
        <v>3.5000000000000001E-3</v>
      </c>
    </row>
    <row r="370" spans="2:15" ht="3" customHeight="1" outlineLevel="1">
      <c r="B370" s="242"/>
      <c r="C370" s="242"/>
      <c r="D370" s="242"/>
      <c r="E370" s="232"/>
      <c r="F370" s="192"/>
      <c r="G370" s="232"/>
      <c r="H370" s="569"/>
      <c r="I370" s="569"/>
      <c r="J370" s="569"/>
      <c r="K370" s="569"/>
      <c r="L370" s="287"/>
      <c r="M370" s="288"/>
      <c r="N370" s="287"/>
      <c r="O370" s="570"/>
    </row>
    <row r="371" spans="2:15" s="234" customFormat="1" ht="15.6" outlineLevel="1">
      <c r="B371" s="235" t="s">
        <v>722</v>
      </c>
      <c r="C371" s="235"/>
      <c r="D371" s="235"/>
      <c r="E371" s="232"/>
      <c r="F371" s="192"/>
      <c r="G371" s="232"/>
      <c r="H371" s="236">
        <f>COUNTA(H372:H373)</f>
        <v>2</v>
      </c>
      <c r="I371" s="236"/>
      <c r="J371" s="236"/>
      <c r="K371" s="236"/>
      <c r="L371" s="287"/>
      <c r="M371" s="288"/>
      <c r="N371" s="287"/>
      <c r="O371" s="260">
        <f>SUM(O372:O373)</f>
        <v>0.61038393090855869</v>
      </c>
    </row>
    <row r="372" spans="2:15" ht="15.6" outlineLevel="2">
      <c r="B372" s="242"/>
      <c r="C372" s="242" t="s">
        <v>722</v>
      </c>
      <c r="D372" s="249" t="s">
        <v>17</v>
      </c>
      <c r="E372" s="257"/>
      <c r="F372" s="192"/>
      <c r="G372" s="257"/>
      <c r="H372" s="590" t="s">
        <v>723</v>
      </c>
      <c r="I372" s="590"/>
      <c r="J372" s="590"/>
      <c r="K372" s="590"/>
      <c r="L372" s="287"/>
      <c r="M372" s="288"/>
      <c r="N372" s="287"/>
      <c r="O372" s="591">
        <v>0.61038393090855869</v>
      </c>
    </row>
    <row r="373" spans="2:15" ht="15.6" outlineLevel="2">
      <c r="B373" s="242"/>
      <c r="C373" s="242" t="s">
        <v>722</v>
      </c>
      <c r="D373" s="249" t="s">
        <v>17</v>
      </c>
      <c r="E373" s="257"/>
      <c r="F373" s="192"/>
      <c r="G373" s="257"/>
      <c r="H373" s="590" t="s">
        <v>724</v>
      </c>
      <c r="I373" s="590"/>
      <c r="J373" s="590"/>
      <c r="K373" s="590"/>
      <c r="L373" s="287"/>
      <c r="M373" s="288"/>
      <c r="N373" s="287"/>
      <c r="O373" s="591"/>
    </row>
    <row r="374" spans="2:15" ht="3" customHeight="1" outlineLevel="1">
      <c r="B374" s="242"/>
      <c r="C374" s="242"/>
      <c r="D374" s="242"/>
      <c r="E374" s="232"/>
      <c r="F374" s="192"/>
      <c r="G374" s="232"/>
      <c r="H374" s="569"/>
      <c r="I374" s="569"/>
      <c r="J374" s="569"/>
      <c r="K374" s="569"/>
      <c r="L374" s="287"/>
      <c r="M374" s="288"/>
      <c r="N374" s="287"/>
      <c r="O374" s="570"/>
    </row>
    <row r="375" spans="2:15" s="234" customFormat="1" ht="15.6" outlineLevel="1">
      <c r="B375" s="235" t="s">
        <v>725</v>
      </c>
      <c r="C375" s="235"/>
      <c r="D375" s="235"/>
      <c r="E375" s="232"/>
      <c r="F375" s="192"/>
      <c r="G375" s="232"/>
      <c r="H375" s="236">
        <f>COUNTA(H376:H377)</f>
        <v>2</v>
      </c>
      <c r="I375" s="236"/>
      <c r="J375" s="236"/>
      <c r="K375" s="236"/>
      <c r="L375" s="287"/>
      <c r="M375" s="288"/>
      <c r="N375" s="287"/>
      <c r="O375" s="260">
        <f>SUM(O376:O377)</f>
        <v>0</v>
      </c>
    </row>
    <row r="376" spans="2:15" ht="15.6" outlineLevel="2">
      <c r="B376" s="242"/>
      <c r="C376" s="242" t="s">
        <v>726</v>
      </c>
      <c r="D376" s="249" t="s">
        <v>17</v>
      </c>
      <c r="E376" s="257"/>
      <c r="F376" s="192"/>
      <c r="G376" s="257"/>
      <c r="H376" s="590" t="s">
        <v>284</v>
      </c>
      <c r="I376" s="590"/>
      <c r="J376" s="590"/>
      <c r="K376" s="590"/>
      <c r="L376" s="287"/>
      <c r="M376" s="288"/>
      <c r="N376" s="287"/>
      <c r="O376" s="591"/>
    </row>
    <row r="377" spans="2:15" ht="15.6" outlineLevel="2">
      <c r="B377" s="242"/>
      <c r="C377" s="242" t="s">
        <v>726</v>
      </c>
      <c r="D377" s="249" t="s">
        <v>17</v>
      </c>
      <c r="E377" s="257"/>
      <c r="F377" s="192"/>
      <c r="G377" s="257"/>
      <c r="H377" s="590" t="s">
        <v>31</v>
      </c>
      <c r="I377" s="590"/>
      <c r="J377" s="590"/>
      <c r="K377" s="590"/>
      <c r="L377" s="287"/>
      <c r="M377" s="288"/>
      <c r="N377" s="287"/>
      <c r="O377" s="591"/>
    </row>
    <row r="378" spans="2:15" ht="3" customHeight="1" outlineLevel="1">
      <c r="B378" s="242"/>
      <c r="C378" s="242"/>
      <c r="D378" s="242"/>
      <c r="E378" s="232"/>
      <c r="F378" s="192"/>
      <c r="G378" s="232"/>
      <c r="H378" s="569"/>
      <c r="I378" s="569"/>
      <c r="J378" s="569"/>
      <c r="K378" s="569"/>
      <c r="L378" s="287"/>
      <c r="M378" s="288"/>
      <c r="N378" s="287"/>
      <c r="O378" s="570"/>
    </row>
    <row r="379" spans="2:15" s="319" customFormat="1" ht="15.6" outlineLevel="1">
      <c r="B379" s="235" t="s">
        <v>727</v>
      </c>
      <c r="C379" s="235"/>
      <c r="D379" s="235"/>
      <c r="E379" s="232"/>
      <c r="F379" s="192"/>
      <c r="G379" s="232"/>
      <c r="H379" s="236">
        <f>COUNTA(H380:H381)</f>
        <v>2</v>
      </c>
      <c r="I379" s="236"/>
      <c r="J379" s="236"/>
      <c r="K379" s="236"/>
      <c r="L379" s="287"/>
      <c r="M379" s="288"/>
      <c r="N379" s="287"/>
      <c r="O379" s="260">
        <f>SUM(O380:O381)</f>
        <v>0</v>
      </c>
    </row>
    <row r="380" spans="2:15" ht="15.6" outlineLevel="2">
      <c r="B380" s="242"/>
      <c r="C380" s="242" t="s">
        <v>727</v>
      </c>
      <c r="D380" s="249" t="s">
        <v>17</v>
      </c>
      <c r="E380" s="257"/>
      <c r="F380" s="192"/>
      <c r="G380" s="257"/>
      <c r="H380" s="590" t="s">
        <v>284</v>
      </c>
      <c r="I380" s="590"/>
      <c r="J380" s="590"/>
      <c r="K380" s="590"/>
      <c r="L380" s="287"/>
      <c r="M380" s="288"/>
      <c r="N380" s="287"/>
      <c r="O380" s="591"/>
    </row>
    <row r="381" spans="2:15" ht="15.6" outlineLevel="2">
      <c r="B381" s="242"/>
      <c r="C381" s="242" t="s">
        <v>727</v>
      </c>
      <c r="D381" s="249" t="s">
        <v>17</v>
      </c>
      <c r="E381" s="257"/>
      <c r="F381" s="192"/>
      <c r="G381" s="257"/>
      <c r="H381" s="590" t="s">
        <v>31</v>
      </c>
      <c r="I381" s="590"/>
      <c r="J381" s="590"/>
      <c r="K381" s="590"/>
      <c r="L381" s="287"/>
      <c r="M381" s="288"/>
      <c r="N381" s="287"/>
      <c r="O381" s="591"/>
    </row>
    <row r="382" spans="2:15" ht="3" customHeight="1" outlineLevel="1">
      <c r="B382" s="242"/>
      <c r="C382" s="242"/>
      <c r="D382" s="242"/>
      <c r="E382" s="232"/>
      <c r="F382" s="192"/>
      <c r="G382" s="232"/>
      <c r="H382" s="569"/>
      <c r="I382" s="569"/>
      <c r="J382" s="569"/>
      <c r="K382" s="569"/>
      <c r="L382" s="287"/>
      <c r="M382" s="288"/>
      <c r="N382" s="287"/>
      <c r="O382" s="570"/>
    </row>
    <row r="383" spans="2:15" s="234" customFormat="1" ht="15.6" outlineLevel="1">
      <c r="B383" s="235" t="s">
        <v>728</v>
      </c>
      <c r="C383" s="235"/>
      <c r="D383" s="235"/>
      <c r="E383" s="232"/>
      <c r="F383" s="192"/>
      <c r="G383" s="232"/>
      <c r="H383" s="236">
        <f t="shared" ref="H383" si="3">COUNTA(H384)</f>
        <v>1</v>
      </c>
      <c r="I383" s="236"/>
      <c r="J383" s="236"/>
      <c r="K383" s="236"/>
      <c r="L383" s="287"/>
      <c r="M383" s="288"/>
      <c r="N383" s="287"/>
      <c r="O383" s="260">
        <f t="shared" ref="O383" si="4">SUM(O384)</f>
        <v>0</v>
      </c>
    </row>
    <row r="384" spans="2:15" ht="15.6" outlineLevel="2">
      <c r="B384" s="242"/>
      <c r="C384" s="242" t="s">
        <v>729</v>
      </c>
      <c r="D384" s="249" t="s">
        <v>17</v>
      </c>
      <c r="E384" s="257"/>
      <c r="F384" s="192"/>
      <c r="G384" s="257"/>
      <c r="H384" s="568" t="s">
        <v>730</v>
      </c>
      <c r="I384" s="568"/>
      <c r="J384" s="568"/>
      <c r="K384" s="568"/>
      <c r="L384" s="287"/>
      <c r="M384" s="288"/>
      <c r="N384" s="287"/>
      <c r="O384" s="591"/>
    </row>
    <row r="385" spans="2:15" ht="3" customHeight="1" outlineLevel="1">
      <c r="B385" s="560"/>
      <c r="C385" s="559"/>
      <c r="D385" s="559"/>
      <c r="H385" s="562"/>
      <c r="I385" s="562"/>
      <c r="J385" s="562"/>
      <c r="K385" s="562"/>
      <c r="O385" s="563"/>
    </row>
    <row r="386" spans="2:15" s="234" customFormat="1" ht="15.6" outlineLevel="1">
      <c r="B386" s="235" t="s">
        <v>731</v>
      </c>
      <c r="C386" s="235"/>
      <c r="D386" s="235"/>
      <c r="E386" s="232"/>
      <c r="F386" s="250"/>
      <c r="G386" s="232"/>
      <c r="H386" s="236">
        <f>COUNTA(H387:H390)</f>
        <v>2</v>
      </c>
      <c r="I386" s="236"/>
      <c r="J386" s="236"/>
      <c r="K386" s="236"/>
      <c r="L386" s="287"/>
      <c r="M386" s="288"/>
      <c r="N386" s="287"/>
      <c r="O386" s="260">
        <f>SUM(O387:O390)</f>
        <v>0</v>
      </c>
    </row>
    <row r="387" spans="2:15" ht="15.6" outlineLevel="2">
      <c r="B387" s="238"/>
      <c r="C387" s="565" t="s">
        <v>240</v>
      </c>
      <c r="D387" s="249" t="s">
        <v>17</v>
      </c>
      <c r="E387" s="232"/>
      <c r="F387" s="250"/>
      <c r="G387" s="232"/>
      <c r="H387" s="576" t="s">
        <v>235</v>
      </c>
      <c r="I387" s="576"/>
      <c r="J387" s="576"/>
      <c r="K387" s="576"/>
      <c r="L387" s="287"/>
      <c r="M387" s="288"/>
      <c r="N387" s="287"/>
      <c r="O387" s="563"/>
    </row>
    <row r="388" spans="2:15" ht="15.6" outlineLevel="2">
      <c r="B388" s="238"/>
      <c r="C388" s="565" t="s">
        <v>240</v>
      </c>
      <c r="D388" s="249" t="s">
        <v>17</v>
      </c>
      <c r="E388" s="232"/>
      <c r="F388" s="250"/>
      <c r="G388" s="232"/>
      <c r="H388" s="576" t="s">
        <v>31</v>
      </c>
      <c r="I388" s="576"/>
      <c r="J388" s="576"/>
      <c r="K388" s="576"/>
      <c r="L388" s="287"/>
      <c r="M388" s="288"/>
      <c r="N388" s="287"/>
      <c r="O388" s="563"/>
    </row>
    <row r="389" spans="2:15" ht="15.6" outlineLevel="2">
      <c r="B389" s="238"/>
      <c r="C389" s="565"/>
      <c r="D389" s="249"/>
      <c r="E389" s="232"/>
      <c r="F389" s="250"/>
      <c r="G389" s="232"/>
      <c r="H389" s="576"/>
      <c r="I389" s="576"/>
      <c r="J389" s="576"/>
      <c r="K389" s="576"/>
      <c r="L389" s="287"/>
      <c r="M389" s="288"/>
      <c r="N389" s="287"/>
      <c r="O389" s="563"/>
    </row>
    <row r="390" spans="2:15" ht="15.6" outlineLevel="2">
      <c r="B390" s="238"/>
      <c r="C390" s="565"/>
      <c r="D390" s="249"/>
      <c r="E390" s="232"/>
      <c r="F390" s="250"/>
      <c r="G390" s="232"/>
      <c r="H390" s="576"/>
      <c r="I390" s="576"/>
      <c r="J390" s="576"/>
      <c r="K390" s="576"/>
      <c r="L390" s="287"/>
      <c r="M390" s="288"/>
      <c r="N390" s="287"/>
      <c r="O390" s="563"/>
    </row>
    <row r="391" spans="2:15" ht="3" customHeight="1" outlineLevel="1">
      <c r="B391" s="242"/>
      <c r="C391" s="242"/>
      <c r="D391" s="242"/>
      <c r="E391" s="232"/>
      <c r="F391" s="192"/>
      <c r="G391" s="232"/>
      <c r="H391" s="569"/>
      <c r="I391" s="569"/>
      <c r="J391" s="569"/>
      <c r="K391" s="569"/>
      <c r="L391" s="287"/>
      <c r="M391" s="288"/>
      <c r="N391" s="287"/>
      <c r="O391" s="570"/>
    </row>
    <row r="392" spans="2:15" s="319" customFormat="1" ht="15.6" outlineLevel="1">
      <c r="B392" s="235" t="s">
        <v>732</v>
      </c>
      <c r="C392" s="235"/>
      <c r="D392" s="235"/>
      <c r="E392" s="232"/>
      <c r="F392" s="250"/>
      <c r="G392" s="232"/>
      <c r="H392" s="236">
        <f>COUNTA(H393:H397)</f>
        <v>5</v>
      </c>
      <c r="I392" s="236"/>
      <c r="J392" s="236"/>
      <c r="K392" s="236"/>
      <c r="L392" s="287"/>
      <c r="M392" s="288"/>
      <c r="N392" s="287"/>
      <c r="O392" s="260">
        <f>SUM(O393:O397)</f>
        <v>0</v>
      </c>
    </row>
    <row r="393" spans="2:15" ht="15.6" outlineLevel="2">
      <c r="B393" s="238"/>
      <c r="C393" s="565" t="s">
        <v>733</v>
      </c>
      <c r="D393" s="249" t="s">
        <v>17</v>
      </c>
      <c r="E393" s="232"/>
      <c r="F393" s="250"/>
      <c r="G393" s="232"/>
      <c r="H393" s="576" t="s">
        <v>734</v>
      </c>
      <c r="I393" s="576"/>
      <c r="J393" s="576"/>
      <c r="K393" s="576"/>
      <c r="L393" s="287"/>
      <c r="M393" s="288"/>
      <c r="N393" s="287"/>
      <c r="O393" s="563"/>
    </row>
    <row r="394" spans="2:15" ht="15.6" outlineLevel="2">
      <c r="B394" s="238"/>
      <c r="C394" s="565" t="s">
        <v>733</v>
      </c>
      <c r="D394" s="249" t="s">
        <v>17</v>
      </c>
      <c r="E394" s="232"/>
      <c r="F394" s="250"/>
      <c r="G394" s="232"/>
      <c r="H394" s="576" t="s">
        <v>735</v>
      </c>
      <c r="I394" s="576"/>
      <c r="J394" s="576"/>
      <c r="K394" s="576"/>
      <c r="L394" s="287"/>
      <c r="M394" s="288"/>
      <c r="N394" s="287"/>
      <c r="O394" s="563"/>
    </row>
    <row r="395" spans="2:15" ht="15.6" outlineLevel="2">
      <c r="B395" s="238"/>
      <c r="C395" s="565" t="s">
        <v>733</v>
      </c>
      <c r="D395" s="249" t="s">
        <v>17</v>
      </c>
      <c r="E395" s="232"/>
      <c r="F395" s="250"/>
      <c r="G395" s="232"/>
      <c r="H395" s="576" t="s">
        <v>736</v>
      </c>
      <c r="I395" s="576"/>
      <c r="J395" s="576"/>
      <c r="K395" s="576"/>
      <c r="L395" s="287"/>
      <c r="M395" s="288"/>
      <c r="N395" s="287"/>
      <c r="O395" s="563"/>
    </row>
    <row r="396" spans="2:15" ht="15.6" outlineLevel="2">
      <c r="B396" s="238"/>
      <c r="C396" s="565" t="s">
        <v>733</v>
      </c>
      <c r="D396" s="249" t="s">
        <v>17</v>
      </c>
      <c r="E396" s="232"/>
      <c r="F396" s="250"/>
      <c r="G396" s="232"/>
      <c r="H396" s="576" t="s">
        <v>737</v>
      </c>
      <c r="I396" s="576"/>
      <c r="J396" s="576"/>
      <c r="K396" s="576"/>
      <c r="L396" s="287"/>
      <c r="M396" s="288"/>
      <c r="N396" s="287"/>
      <c r="O396" s="563"/>
    </row>
    <row r="397" spans="2:15" ht="15.6" outlineLevel="2">
      <c r="B397" s="238"/>
      <c r="C397" s="565" t="s">
        <v>733</v>
      </c>
      <c r="D397" s="249" t="s">
        <v>17</v>
      </c>
      <c r="E397" s="232"/>
      <c r="F397" s="250"/>
      <c r="G397" s="232"/>
      <c r="H397" s="576" t="s">
        <v>738</v>
      </c>
      <c r="I397" s="576"/>
      <c r="J397" s="576"/>
      <c r="K397" s="576"/>
      <c r="L397" s="287"/>
      <c r="M397" s="288"/>
      <c r="N397" s="287"/>
      <c r="O397" s="563"/>
    </row>
    <row r="398" spans="2:15" ht="3" customHeight="1" outlineLevel="1">
      <c r="B398" s="242"/>
      <c r="C398" s="242"/>
      <c r="D398" s="242"/>
      <c r="E398" s="232"/>
      <c r="F398" s="192"/>
      <c r="G398" s="232"/>
      <c r="H398" s="569"/>
      <c r="I398" s="569"/>
      <c r="J398" s="569"/>
      <c r="K398" s="569"/>
      <c r="L398" s="287"/>
      <c r="M398" s="288"/>
      <c r="N398" s="287"/>
      <c r="O398" s="570"/>
    </row>
    <row r="399" spans="2:15" s="234" customFormat="1" ht="15.6" outlineLevel="1">
      <c r="B399" s="235" t="s">
        <v>739</v>
      </c>
      <c r="C399" s="235"/>
      <c r="D399" s="235"/>
      <c r="E399" s="232"/>
      <c r="F399" s="250"/>
      <c r="G399" s="232"/>
      <c r="H399" s="236">
        <f>SUM(H400:H413)</f>
        <v>24</v>
      </c>
      <c r="I399" s="236"/>
      <c r="J399" s="236"/>
      <c r="K399" s="236"/>
      <c r="L399" s="287"/>
      <c r="M399" s="288"/>
      <c r="N399" s="287"/>
      <c r="O399" s="260">
        <f>SUM(O400:O410)</f>
        <v>0</v>
      </c>
    </row>
    <row r="400" spans="2:15" ht="15.6" outlineLevel="2">
      <c r="B400" s="238"/>
      <c r="C400" s="565" t="s">
        <v>740</v>
      </c>
      <c r="D400" s="249" t="s">
        <v>17</v>
      </c>
      <c r="E400" s="232"/>
      <c r="F400" s="250"/>
      <c r="G400" s="232"/>
      <c r="H400" s="592">
        <v>1</v>
      </c>
      <c r="I400" s="592"/>
      <c r="J400" s="592"/>
      <c r="K400" s="592"/>
      <c r="L400" s="287"/>
      <c r="M400" s="288"/>
      <c r="N400" s="287"/>
      <c r="O400" s="563"/>
    </row>
    <row r="401" spans="2:15" ht="15.6" outlineLevel="2">
      <c r="B401" s="238"/>
      <c r="C401" s="565" t="s">
        <v>741</v>
      </c>
      <c r="D401" s="249" t="s">
        <v>17</v>
      </c>
      <c r="E401" s="232"/>
      <c r="F401" s="250"/>
      <c r="G401" s="232"/>
      <c r="H401" s="592">
        <v>1</v>
      </c>
      <c r="I401" s="592"/>
      <c r="J401" s="592"/>
      <c r="K401" s="592"/>
      <c r="L401" s="287"/>
      <c r="M401" s="288"/>
      <c r="N401" s="287"/>
      <c r="O401" s="563"/>
    </row>
    <row r="402" spans="2:15" ht="15.6" outlineLevel="2">
      <c r="B402" s="238"/>
      <c r="C402" s="565" t="s">
        <v>742</v>
      </c>
      <c r="D402" s="249" t="s">
        <v>17</v>
      </c>
      <c r="E402" s="232"/>
      <c r="F402" s="250"/>
      <c r="G402" s="232"/>
      <c r="H402" s="592">
        <v>1</v>
      </c>
      <c r="I402" s="592"/>
      <c r="J402" s="592"/>
      <c r="K402" s="592"/>
      <c r="L402" s="287"/>
      <c r="M402" s="288"/>
      <c r="N402" s="287"/>
      <c r="O402" s="563"/>
    </row>
    <row r="403" spans="2:15" ht="15.6" outlineLevel="2">
      <c r="B403" s="238"/>
      <c r="C403" s="565" t="s">
        <v>743</v>
      </c>
      <c r="D403" s="249" t="s">
        <v>17</v>
      </c>
      <c r="E403" s="232"/>
      <c r="F403" s="250"/>
      <c r="G403" s="232"/>
      <c r="H403" s="592">
        <v>5</v>
      </c>
      <c r="I403" s="592"/>
      <c r="J403" s="592"/>
      <c r="K403" s="592"/>
      <c r="L403" s="287"/>
      <c r="M403" s="288"/>
      <c r="N403" s="287"/>
      <c r="O403" s="563"/>
    </row>
    <row r="404" spans="2:15" ht="15.6" outlineLevel="2">
      <c r="B404" s="238"/>
      <c r="C404" s="565" t="s">
        <v>744</v>
      </c>
      <c r="D404" s="249" t="s">
        <v>17</v>
      </c>
      <c r="E404" s="232"/>
      <c r="F404" s="250"/>
      <c r="G404" s="232"/>
      <c r="H404" s="584">
        <v>3</v>
      </c>
      <c r="I404" s="584"/>
      <c r="J404" s="584"/>
      <c r="K404" s="584"/>
      <c r="L404" s="287"/>
      <c r="M404" s="288"/>
      <c r="N404" s="287"/>
      <c r="O404" s="563"/>
    </row>
    <row r="405" spans="2:15" ht="15.6" outlineLevel="2">
      <c r="B405" s="238"/>
      <c r="C405" s="565" t="s">
        <v>745</v>
      </c>
      <c r="D405" s="249" t="s">
        <v>17</v>
      </c>
      <c r="E405" s="232"/>
      <c r="F405" s="250"/>
      <c r="G405" s="232"/>
      <c r="H405" s="584">
        <v>1</v>
      </c>
      <c r="I405" s="584"/>
      <c r="J405" s="584"/>
      <c r="K405" s="584"/>
      <c r="L405" s="287"/>
      <c r="M405" s="288"/>
      <c r="N405" s="287"/>
      <c r="O405" s="563"/>
    </row>
    <row r="406" spans="2:15" ht="15.6" outlineLevel="2">
      <c r="B406" s="238"/>
      <c r="C406" s="565" t="s">
        <v>746</v>
      </c>
      <c r="D406" s="249" t="s">
        <v>17</v>
      </c>
      <c r="E406" s="232"/>
      <c r="F406" s="250"/>
      <c r="G406" s="232"/>
      <c r="H406" s="584">
        <v>2</v>
      </c>
      <c r="I406" s="584"/>
      <c r="J406" s="584"/>
      <c r="K406" s="584"/>
      <c r="L406" s="287"/>
      <c r="M406" s="288"/>
      <c r="N406" s="287"/>
      <c r="O406" s="563"/>
    </row>
    <row r="407" spans="2:15" ht="15.6" outlineLevel="2">
      <c r="B407" s="238"/>
      <c r="C407" s="565" t="s">
        <v>747</v>
      </c>
      <c r="D407" s="249" t="s">
        <v>17</v>
      </c>
      <c r="E407" s="232"/>
      <c r="F407" s="250"/>
      <c r="G407" s="232"/>
      <c r="H407" s="584">
        <v>4</v>
      </c>
      <c r="I407" s="584"/>
      <c r="J407" s="584"/>
      <c r="K407" s="584"/>
      <c r="L407" s="287"/>
      <c r="M407" s="288"/>
      <c r="N407" s="287"/>
      <c r="O407" s="563"/>
    </row>
    <row r="408" spans="2:15" ht="15.6" outlineLevel="2">
      <c r="B408" s="238"/>
      <c r="C408" s="565" t="s">
        <v>748</v>
      </c>
      <c r="D408" s="249" t="s">
        <v>17</v>
      </c>
      <c r="E408" s="232"/>
      <c r="F408" s="250"/>
      <c r="G408" s="232"/>
      <c r="H408" s="584">
        <v>1</v>
      </c>
      <c r="I408" s="584"/>
      <c r="J408" s="584"/>
      <c r="K408" s="584"/>
      <c r="L408" s="287"/>
      <c r="M408" s="288"/>
      <c r="N408" s="287"/>
      <c r="O408" s="563"/>
    </row>
    <row r="409" spans="2:15" ht="15.6" outlineLevel="2">
      <c r="B409" s="238"/>
      <c r="C409" s="565" t="s">
        <v>749</v>
      </c>
      <c r="D409" s="249" t="s">
        <v>17</v>
      </c>
      <c r="E409" s="232"/>
      <c r="F409" s="250"/>
      <c r="G409" s="232"/>
      <c r="H409" s="584">
        <v>1</v>
      </c>
      <c r="I409" s="584"/>
      <c r="J409" s="584"/>
      <c r="K409" s="584"/>
      <c r="L409" s="287"/>
      <c r="M409" s="288"/>
      <c r="N409" s="287"/>
      <c r="O409" s="563"/>
    </row>
    <row r="410" spans="2:15" ht="15.6" outlineLevel="2">
      <c r="B410" s="238"/>
      <c r="C410" s="565" t="s">
        <v>750</v>
      </c>
      <c r="D410" s="249" t="s">
        <v>17</v>
      </c>
      <c r="E410" s="232"/>
      <c r="F410" s="250"/>
      <c r="G410" s="232"/>
      <c r="H410" s="584">
        <v>1</v>
      </c>
      <c r="I410" s="584"/>
      <c r="J410" s="584"/>
      <c r="K410" s="584"/>
      <c r="L410" s="287"/>
      <c r="M410" s="288"/>
      <c r="N410" s="287"/>
      <c r="O410" s="563"/>
    </row>
    <row r="411" spans="2:15" ht="15.6" outlineLevel="2">
      <c r="B411" s="238"/>
      <c r="C411" s="565" t="s">
        <v>751</v>
      </c>
      <c r="D411" s="249" t="s">
        <v>17</v>
      </c>
      <c r="E411" s="232"/>
      <c r="F411" s="250"/>
      <c r="G411" s="232"/>
      <c r="H411" s="584">
        <v>2</v>
      </c>
      <c r="I411" s="584"/>
      <c r="J411" s="584"/>
      <c r="K411" s="584"/>
      <c r="L411" s="287"/>
      <c r="M411" s="288"/>
      <c r="N411" s="287"/>
      <c r="O411" s="563"/>
    </row>
    <row r="412" spans="2:15" ht="15.6" outlineLevel="2">
      <c r="B412" s="238"/>
      <c r="C412" s="565" t="s">
        <v>752</v>
      </c>
      <c r="D412" s="249" t="s">
        <v>17</v>
      </c>
      <c r="E412" s="232"/>
      <c r="F412" s="250"/>
      <c r="G412" s="232"/>
      <c r="H412" s="584">
        <v>1</v>
      </c>
      <c r="I412" s="584"/>
      <c r="J412" s="584"/>
      <c r="K412" s="584"/>
      <c r="L412" s="287"/>
      <c r="M412" s="288"/>
      <c r="N412" s="287"/>
      <c r="O412" s="563"/>
    </row>
    <row r="413" spans="2:15" ht="15.6" outlineLevel="2">
      <c r="B413" s="238"/>
      <c r="C413" s="565" t="s">
        <v>753</v>
      </c>
      <c r="D413" s="249" t="s">
        <v>17</v>
      </c>
      <c r="E413" s="232"/>
      <c r="F413" s="250"/>
      <c r="G413" s="232"/>
      <c r="H413" s="584">
        <v>0</v>
      </c>
      <c r="I413" s="584"/>
      <c r="J413" s="584"/>
      <c r="K413" s="584"/>
      <c r="L413" s="287"/>
      <c r="M413" s="288"/>
      <c r="N413" s="287"/>
      <c r="O413" s="563"/>
    </row>
    <row r="414" spans="2:15" ht="3" customHeight="1">
      <c r="B414" s="242"/>
      <c r="C414" s="242"/>
      <c r="D414" s="249"/>
      <c r="E414" s="239"/>
      <c r="F414" s="192"/>
      <c r="G414" s="239"/>
      <c r="H414" s="569"/>
      <c r="I414" s="569"/>
      <c r="J414" s="569"/>
      <c r="K414" s="569"/>
      <c r="L414" s="239"/>
      <c r="M414" s="192"/>
      <c r="N414" s="239"/>
      <c r="O414" s="570"/>
    </row>
    <row r="415" spans="2:15" s="228" customFormat="1" ht="31.2">
      <c r="B415" s="222" t="s">
        <v>28</v>
      </c>
      <c r="C415" s="223" t="s">
        <v>754</v>
      </c>
      <c r="D415" s="224" t="s">
        <v>755</v>
      </c>
      <c r="E415" s="225"/>
      <c r="F415" s="226"/>
      <c r="G415" s="225"/>
      <c r="H415" s="227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27"/>
      <c r="J415" s="227"/>
      <c r="K415" s="227"/>
      <c r="L415" s="225"/>
      <c r="M415" s="226"/>
      <c r="N415" s="225"/>
      <c r="O415" s="34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</row>
    <row r="416" spans="2:15" ht="3" customHeight="1" outlineLevel="1">
      <c r="B416" s="560"/>
      <c r="C416" s="559"/>
      <c r="D416" s="559"/>
      <c r="H416" s="562"/>
      <c r="I416" s="562"/>
      <c r="J416" s="562"/>
      <c r="K416" s="562"/>
      <c r="O416" s="563"/>
    </row>
    <row r="417" spans="2:15" s="234" customFormat="1" outlineLevel="1">
      <c r="B417" s="235" t="s">
        <v>756</v>
      </c>
      <c r="C417" s="235"/>
      <c r="D417" s="235"/>
      <c r="E417" s="232"/>
      <c r="F417" s="192"/>
      <c r="G417" s="232"/>
      <c r="H417" s="236">
        <f>COUNTA(H418:H418)</f>
        <v>1</v>
      </c>
      <c r="I417" s="236"/>
      <c r="J417" s="236"/>
      <c r="K417" s="236"/>
      <c r="L417" s="232"/>
      <c r="M417" s="192"/>
      <c r="N417" s="232"/>
      <c r="O417" s="260">
        <f>SUM(O418:O418)</f>
        <v>1.4336873100000001E-2</v>
      </c>
    </row>
    <row r="418" spans="2:15" outlineLevel="2">
      <c r="B418" s="238" t="s">
        <v>28</v>
      </c>
      <c r="C418" s="242" t="s">
        <v>643</v>
      </c>
      <c r="D418" s="272" t="s">
        <v>27</v>
      </c>
      <c r="E418" s="257"/>
      <c r="F418" s="192"/>
      <c r="H418" s="245" t="s">
        <v>231</v>
      </c>
      <c r="I418" s="245"/>
      <c r="J418" s="245"/>
      <c r="K418" s="245"/>
      <c r="M418" s="192"/>
      <c r="O418" s="311">
        <v>1.4336873100000001E-2</v>
      </c>
    </row>
    <row r="419" spans="2:15" ht="3" customHeight="1" outlineLevel="1">
      <c r="B419" s="242"/>
      <c r="C419" s="242"/>
      <c r="D419" s="249"/>
      <c r="E419" s="257"/>
      <c r="F419" s="192"/>
      <c r="H419" s="569"/>
      <c r="I419" s="569"/>
      <c r="J419" s="569"/>
      <c r="K419" s="569"/>
      <c r="L419" s="248"/>
      <c r="M419" s="192"/>
      <c r="N419" s="248"/>
      <c r="O419" s="570"/>
    </row>
    <row r="420" spans="2:15" s="234" customFormat="1" outlineLevel="1">
      <c r="B420" s="235" t="s">
        <v>648</v>
      </c>
      <c r="C420" s="235"/>
      <c r="D420" s="235"/>
      <c r="E420" s="232"/>
      <c r="F420" s="250"/>
      <c r="G420" s="232"/>
      <c r="H420" s="236">
        <f>COUNTA(H421:H436)</f>
        <v>15</v>
      </c>
      <c r="I420" s="236"/>
      <c r="J420" s="236"/>
      <c r="K420" s="236"/>
      <c r="L420" s="232"/>
      <c r="M420" s="250"/>
      <c r="N420" s="232"/>
      <c r="O420" s="260">
        <f>SUM(O421:O436)</f>
        <v>0.37325670851638632</v>
      </c>
    </row>
    <row r="421" spans="2:15" outlineLevel="2">
      <c r="B421" s="242"/>
      <c r="C421" s="242" t="s">
        <v>757</v>
      </c>
      <c r="D421" s="249" t="s">
        <v>27</v>
      </c>
      <c r="E421" s="232"/>
      <c r="F421" s="250"/>
      <c r="G421" s="232"/>
      <c r="H421" s="286" t="s">
        <v>54</v>
      </c>
      <c r="I421" s="286"/>
      <c r="J421" s="286"/>
      <c r="K421" s="286"/>
      <c r="L421" s="232"/>
      <c r="M421" s="250"/>
      <c r="N421" s="232"/>
      <c r="O421" s="312">
        <v>0.02</v>
      </c>
    </row>
    <row r="422" spans="2:15" outlineLevel="2">
      <c r="B422" s="242"/>
      <c r="C422" s="242" t="s">
        <v>757</v>
      </c>
      <c r="D422" s="249" t="s">
        <v>27</v>
      </c>
      <c r="E422" s="232"/>
      <c r="F422" s="250"/>
      <c r="G422" s="232"/>
      <c r="H422" s="286" t="s">
        <v>758</v>
      </c>
      <c r="I422" s="286"/>
      <c r="J422" s="286"/>
      <c r="K422" s="286"/>
      <c r="L422" s="232"/>
      <c r="M422" s="250"/>
      <c r="N422" s="232"/>
      <c r="O422" s="312">
        <v>0.02</v>
      </c>
    </row>
    <row r="423" spans="2:15" outlineLevel="2">
      <c r="B423" s="242"/>
      <c r="C423" s="242" t="s">
        <v>757</v>
      </c>
      <c r="D423" s="249" t="s">
        <v>27</v>
      </c>
      <c r="E423" s="232"/>
      <c r="F423" s="250"/>
      <c r="G423" s="232"/>
      <c r="H423" s="286" t="s">
        <v>759</v>
      </c>
      <c r="I423" s="286"/>
      <c r="J423" s="286"/>
      <c r="K423" s="286"/>
      <c r="L423" s="232"/>
      <c r="M423" s="250"/>
      <c r="N423" s="232"/>
      <c r="O423" s="312">
        <v>4.0000000000000001E-3</v>
      </c>
    </row>
    <row r="424" spans="2:15" outlineLevel="2">
      <c r="B424" s="242"/>
      <c r="C424" s="242" t="s">
        <v>757</v>
      </c>
      <c r="D424" s="249" t="s">
        <v>27</v>
      </c>
      <c r="E424" s="232"/>
      <c r="F424" s="250"/>
      <c r="G424" s="232"/>
      <c r="H424" s="286" t="s">
        <v>760</v>
      </c>
      <c r="I424" s="286"/>
      <c r="J424" s="286"/>
      <c r="K424" s="286"/>
      <c r="L424" s="232"/>
      <c r="M424" s="250"/>
      <c r="N424" s="232"/>
      <c r="O424" s="312">
        <v>4.0000000000000001E-3</v>
      </c>
    </row>
    <row r="425" spans="2:15" outlineLevel="2">
      <c r="B425" s="242"/>
      <c r="C425" s="242" t="s">
        <v>757</v>
      </c>
      <c r="D425" s="249" t="s">
        <v>27</v>
      </c>
      <c r="E425" s="232"/>
      <c r="F425" s="250"/>
      <c r="G425" s="232"/>
      <c r="H425" s="286" t="s">
        <v>761</v>
      </c>
      <c r="I425" s="286"/>
      <c r="J425" s="286"/>
      <c r="K425" s="286"/>
      <c r="L425" s="232"/>
      <c r="M425" s="250"/>
      <c r="N425" s="232"/>
      <c r="O425" s="312">
        <v>2.5670851638628396E-4</v>
      </c>
    </row>
    <row r="426" spans="2:15" outlineLevel="2">
      <c r="B426" s="242"/>
      <c r="C426" s="242" t="s">
        <v>757</v>
      </c>
      <c r="D426" s="249" t="s">
        <v>27</v>
      </c>
      <c r="E426" s="232"/>
      <c r="F426" s="250"/>
      <c r="G426" s="232"/>
      <c r="H426" s="286" t="s">
        <v>762</v>
      </c>
      <c r="I426" s="286"/>
      <c r="J426" s="286"/>
      <c r="K426" s="286"/>
      <c r="L426" s="232"/>
      <c r="M426" s="250"/>
      <c r="N426" s="232"/>
      <c r="O426" s="312">
        <v>2E-3</v>
      </c>
    </row>
    <row r="427" spans="2:15" outlineLevel="2">
      <c r="B427" s="242"/>
      <c r="C427" s="242" t="s">
        <v>757</v>
      </c>
      <c r="D427" s="249" t="s">
        <v>27</v>
      </c>
      <c r="E427" s="232"/>
      <c r="F427" s="250"/>
      <c r="G427" s="232"/>
      <c r="H427" s="286" t="s">
        <v>763</v>
      </c>
      <c r="I427" s="286"/>
      <c r="J427" s="286"/>
      <c r="K427" s="286"/>
      <c r="L427" s="232"/>
      <c r="M427" s="250"/>
      <c r="N427" s="232"/>
      <c r="O427" s="312">
        <v>3.0000000000000001E-3</v>
      </c>
    </row>
    <row r="428" spans="2:15" outlineLevel="2">
      <c r="B428" s="242"/>
      <c r="C428" s="242" t="s">
        <v>757</v>
      </c>
      <c r="D428" s="249" t="s">
        <v>27</v>
      </c>
      <c r="E428" s="232"/>
      <c r="F428" s="250"/>
      <c r="G428" s="232"/>
      <c r="H428" s="286" t="s">
        <v>764</v>
      </c>
      <c r="I428" s="286"/>
      <c r="J428" s="286"/>
      <c r="K428" s="286"/>
      <c r="L428" s="232"/>
      <c r="M428" s="250"/>
      <c r="N428" s="232"/>
      <c r="O428" s="312">
        <v>0.1</v>
      </c>
    </row>
    <row r="429" spans="2:15" outlineLevel="2">
      <c r="B429" s="242"/>
      <c r="C429" s="242" t="s">
        <v>757</v>
      </c>
      <c r="D429" s="249" t="s">
        <v>27</v>
      </c>
      <c r="E429" s="232"/>
      <c r="F429" s="250"/>
      <c r="G429" s="232"/>
      <c r="H429" s="286" t="s">
        <v>765</v>
      </c>
      <c r="I429" s="286"/>
      <c r="J429" s="286"/>
      <c r="K429" s="286"/>
      <c r="L429" s="232"/>
      <c r="M429" s="250"/>
      <c r="N429" s="232"/>
      <c r="O429" s="312">
        <v>0.01</v>
      </c>
    </row>
    <row r="430" spans="2:15" outlineLevel="2">
      <c r="B430" s="242"/>
      <c r="C430" s="242" t="s">
        <v>757</v>
      </c>
      <c r="D430" s="249" t="s">
        <v>27</v>
      </c>
      <c r="E430" s="232"/>
      <c r="F430" s="250"/>
      <c r="G430" s="232"/>
      <c r="H430" s="365" t="s">
        <v>231</v>
      </c>
      <c r="I430" s="365"/>
      <c r="J430" s="365"/>
      <c r="K430" s="365"/>
      <c r="L430" s="232"/>
      <c r="M430" s="250"/>
      <c r="N430" s="232"/>
      <c r="O430" s="312">
        <v>0.03</v>
      </c>
    </row>
    <row r="431" spans="2:15" outlineLevel="2">
      <c r="B431" s="242"/>
      <c r="C431" s="242"/>
      <c r="D431" s="249"/>
      <c r="E431" s="232"/>
      <c r="F431" s="250"/>
      <c r="G431" s="232"/>
      <c r="H431" s="286"/>
      <c r="I431" s="286"/>
      <c r="J431" s="286"/>
      <c r="K431" s="286"/>
      <c r="L431" s="232"/>
      <c r="M431" s="250"/>
      <c r="N431" s="232"/>
      <c r="O431" s="312"/>
    </row>
    <row r="432" spans="2:15" outlineLevel="2">
      <c r="B432" s="242"/>
      <c r="C432" s="242" t="s">
        <v>757</v>
      </c>
      <c r="D432" s="249" t="s">
        <v>766</v>
      </c>
      <c r="E432" s="232"/>
      <c r="F432" s="250"/>
      <c r="G432" s="232"/>
      <c r="H432" s="286" t="s">
        <v>31</v>
      </c>
      <c r="I432" s="286"/>
      <c r="J432" s="286"/>
      <c r="K432" s="286"/>
      <c r="L432" s="232"/>
      <c r="M432" s="250"/>
      <c r="N432" s="232"/>
      <c r="O432" s="312">
        <v>0.05</v>
      </c>
    </row>
    <row r="433" spans="2:15" outlineLevel="2">
      <c r="B433" s="242"/>
      <c r="C433" s="242" t="s">
        <v>757</v>
      </c>
      <c r="D433" s="249" t="s">
        <v>766</v>
      </c>
      <c r="E433" s="232"/>
      <c r="F433" s="250"/>
      <c r="G433" s="232"/>
      <c r="H433" s="286" t="s">
        <v>767</v>
      </c>
      <c r="I433" s="286"/>
      <c r="J433" s="286"/>
      <c r="K433" s="286"/>
      <c r="L433" s="232"/>
      <c r="M433" s="250"/>
      <c r="N433" s="232"/>
      <c r="O433" s="312">
        <v>0.05</v>
      </c>
    </row>
    <row r="434" spans="2:15" outlineLevel="2">
      <c r="B434" s="242"/>
      <c r="C434" s="242" t="s">
        <v>757</v>
      </c>
      <c r="D434" s="249" t="s">
        <v>766</v>
      </c>
      <c r="E434" s="232"/>
      <c r="F434" s="250"/>
      <c r="G434" s="232"/>
      <c r="H434" s="286" t="s">
        <v>768</v>
      </c>
      <c r="I434" s="286"/>
      <c r="J434" s="286"/>
      <c r="K434" s="286"/>
      <c r="L434" s="232"/>
      <c r="M434" s="250"/>
      <c r="N434" s="232"/>
      <c r="O434" s="312">
        <v>0.05</v>
      </c>
    </row>
    <row r="435" spans="2:15" outlineLevel="2">
      <c r="B435" s="242"/>
      <c r="C435" s="242" t="s">
        <v>757</v>
      </c>
      <c r="D435" s="249" t="s">
        <v>766</v>
      </c>
      <c r="E435" s="232"/>
      <c r="F435" s="250"/>
      <c r="G435" s="232"/>
      <c r="H435" s="286" t="s">
        <v>769</v>
      </c>
      <c r="I435" s="286"/>
      <c r="J435" s="286"/>
      <c r="K435" s="286"/>
      <c r="L435" s="232"/>
      <c r="M435" s="250"/>
      <c r="N435" s="232"/>
      <c r="O435" s="312">
        <v>0.01</v>
      </c>
    </row>
    <row r="436" spans="2:15" outlineLevel="2">
      <c r="B436" s="242"/>
      <c r="C436" s="242" t="s">
        <v>757</v>
      </c>
      <c r="D436" s="249" t="s">
        <v>766</v>
      </c>
      <c r="E436" s="232"/>
      <c r="F436" s="250"/>
      <c r="G436" s="232"/>
      <c r="H436" s="286" t="s">
        <v>770</v>
      </c>
      <c r="I436" s="286"/>
      <c r="J436" s="286"/>
      <c r="K436" s="286"/>
      <c r="L436" s="232"/>
      <c r="M436" s="250"/>
      <c r="N436" s="232"/>
      <c r="O436" s="312">
        <v>0.02</v>
      </c>
    </row>
    <row r="437" spans="2:15" s="327" customFormat="1" ht="3" customHeight="1" outlineLevel="1">
      <c r="B437" s="242"/>
      <c r="C437" s="242"/>
      <c r="D437" s="249"/>
      <c r="E437" s="232"/>
      <c r="F437" s="250"/>
      <c r="G437" s="232"/>
      <c r="H437" s="569"/>
      <c r="I437" s="569"/>
      <c r="J437" s="569"/>
      <c r="K437" s="569"/>
      <c r="L437" s="232"/>
      <c r="M437" s="250"/>
      <c r="N437" s="232"/>
      <c r="O437" s="570"/>
    </row>
    <row r="438" spans="2:15" s="234" customFormat="1" outlineLevel="1">
      <c r="B438" s="235" t="s">
        <v>690</v>
      </c>
      <c r="C438" s="235"/>
      <c r="D438" s="235"/>
      <c r="E438" s="232"/>
      <c r="F438" s="192"/>
      <c r="G438" s="232"/>
      <c r="H438" s="236">
        <f>COUNTA(H439:H443)</f>
        <v>5</v>
      </c>
      <c r="I438" s="236"/>
      <c r="J438" s="236"/>
      <c r="K438" s="236"/>
      <c r="L438" s="232"/>
      <c r="M438" s="192"/>
      <c r="N438" s="232"/>
      <c r="O438" s="260">
        <f>SUM(O439:O443)</f>
        <v>0.31000000000000005</v>
      </c>
    </row>
    <row r="439" spans="2:15" outlineLevel="2">
      <c r="B439" s="238" t="s">
        <v>28</v>
      </c>
      <c r="C439" s="242" t="s">
        <v>690</v>
      </c>
      <c r="D439" s="240" t="s">
        <v>27</v>
      </c>
      <c r="E439" s="257"/>
      <c r="F439" s="192"/>
      <c r="H439" s="245" t="s">
        <v>771</v>
      </c>
      <c r="I439" s="245"/>
      <c r="J439" s="245"/>
      <c r="K439" s="245"/>
      <c r="M439" s="192"/>
      <c r="O439" s="563">
        <v>0.05</v>
      </c>
    </row>
    <row r="440" spans="2:15" outlineLevel="2">
      <c r="B440" s="238" t="s">
        <v>28</v>
      </c>
      <c r="C440" s="242" t="s">
        <v>690</v>
      </c>
      <c r="D440" s="240" t="s">
        <v>27</v>
      </c>
      <c r="E440" s="257"/>
      <c r="F440" s="192"/>
      <c r="H440" s="245" t="s">
        <v>772</v>
      </c>
      <c r="I440" s="245"/>
      <c r="J440" s="245"/>
      <c r="K440" s="245"/>
      <c r="M440" s="192"/>
      <c r="O440" s="563">
        <v>0.05</v>
      </c>
    </row>
    <row r="441" spans="2:15" outlineLevel="2">
      <c r="B441" s="238" t="s">
        <v>28</v>
      </c>
      <c r="C441" s="242" t="s">
        <v>690</v>
      </c>
      <c r="D441" s="240" t="s">
        <v>27</v>
      </c>
      <c r="E441" s="257"/>
      <c r="F441" s="192"/>
      <c r="H441" s="245" t="s">
        <v>773</v>
      </c>
      <c r="I441" s="245"/>
      <c r="J441" s="245"/>
      <c r="K441" s="245"/>
      <c r="M441" s="192"/>
      <c r="O441" s="563">
        <v>0.04</v>
      </c>
    </row>
    <row r="442" spans="2:15" outlineLevel="2">
      <c r="B442" s="238" t="s">
        <v>28</v>
      </c>
      <c r="C442" s="242" t="s">
        <v>690</v>
      </c>
      <c r="D442" s="240" t="s">
        <v>27</v>
      </c>
      <c r="E442" s="257"/>
      <c r="F442" s="192"/>
      <c r="H442" s="245" t="s">
        <v>765</v>
      </c>
      <c r="I442" s="245"/>
      <c r="J442" s="245"/>
      <c r="K442" s="245"/>
      <c r="M442" s="192"/>
      <c r="O442" s="563">
        <v>0.04</v>
      </c>
    </row>
    <row r="443" spans="2:15" outlineLevel="2">
      <c r="B443" s="238" t="s">
        <v>28</v>
      </c>
      <c r="C443" s="242" t="s">
        <v>690</v>
      </c>
      <c r="D443" s="240" t="s">
        <v>27</v>
      </c>
      <c r="E443" s="257"/>
      <c r="F443" s="192"/>
      <c r="H443" s="245" t="s">
        <v>231</v>
      </c>
      <c r="I443" s="245"/>
      <c r="J443" s="245"/>
      <c r="K443" s="245"/>
      <c r="M443" s="192"/>
      <c r="O443" s="563">
        <v>0.13</v>
      </c>
    </row>
    <row r="444" spans="2:15" ht="3" customHeight="1" outlineLevel="1">
      <c r="B444" s="560"/>
      <c r="C444" s="559"/>
      <c r="D444" s="559"/>
      <c r="F444" s="192"/>
      <c r="H444" s="569"/>
      <c r="I444" s="569"/>
      <c r="J444" s="569"/>
      <c r="K444" s="569"/>
      <c r="L444" s="248"/>
      <c r="M444" s="192"/>
      <c r="N444" s="248"/>
      <c r="O444" s="570"/>
    </row>
    <row r="445" spans="2:15" s="234" customFormat="1" outlineLevel="1">
      <c r="B445" s="235" t="s">
        <v>593</v>
      </c>
      <c r="C445" s="235"/>
      <c r="D445" s="235"/>
      <c r="E445" s="232"/>
      <c r="F445" s="192"/>
      <c r="G445" s="232"/>
      <c r="H445" s="236">
        <f>COUNTA(H446:H447)</f>
        <v>1</v>
      </c>
      <c r="I445" s="236"/>
      <c r="J445" s="236"/>
      <c r="K445" s="236"/>
      <c r="L445" s="232"/>
      <c r="M445" s="192"/>
      <c r="N445" s="232"/>
      <c r="O445" s="260">
        <f>SUM(O446:O447)</f>
        <v>0</v>
      </c>
    </row>
    <row r="446" spans="2:15" outlineLevel="2">
      <c r="B446" s="238" t="s">
        <v>28</v>
      </c>
      <c r="C446" s="242" t="s">
        <v>593</v>
      </c>
      <c r="D446" s="240" t="s">
        <v>27</v>
      </c>
      <c r="E446" s="257"/>
      <c r="F446" s="192"/>
      <c r="H446" s="254" t="s">
        <v>31</v>
      </c>
      <c r="I446" s="254"/>
      <c r="J446" s="254"/>
      <c r="K446" s="254"/>
      <c r="M446" s="192"/>
      <c r="O446" s="563"/>
    </row>
    <row r="447" spans="2:15" outlineLevel="2">
      <c r="B447" s="238" t="s">
        <v>28</v>
      </c>
      <c r="C447" s="242" t="s">
        <v>593</v>
      </c>
      <c r="D447" s="240" t="s">
        <v>774</v>
      </c>
      <c r="E447" s="257"/>
      <c r="F447" s="192"/>
      <c r="H447" s="254"/>
      <c r="I447" s="254"/>
      <c r="J447" s="254"/>
      <c r="K447" s="254"/>
      <c r="M447" s="192"/>
      <c r="O447" s="563"/>
    </row>
    <row r="448" spans="2:15" ht="3" customHeight="1" outlineLevel="1">
      <c r="B448" s="560"/>
      <c r="C448" s="559"/>
      <c r="D448" s="559"/>
      <c r="H448" s="562"/>
      <c r="I448" s="562"/>
      <c r="J448" s="562"/>
      <c r="K448" s="562"/>
      <c r="O448" s="563"/>
    </row>
    <row r="449" spans="2:15" s="234" customFormat="1" outlineLevel="1">
      <c r="B449" s="235" t="s">
        <v>594</v>
      </c>
      <c r="C449" s="235"/>
      <c r="D449" s="235"/>
      <c r="E449" s="232"/>
      <c r="F449" s="192"/>
      <c r="G449" s="232"/>
      <c r="H449" s="236">
        <f>COUNTA(H450:H454)</f>
        <v>3</v>
      </c>
      <c r="I449" s="236"/>
      <c r="J449" s="236"/>
      <c r="K449" s="236"/>
      <c r="L449" s="232"/>
      <c r="M449" s="192"/>
      <c r="N449" s="232"/>
      <c r="O449" s="260">
        <f>SUM(O450:O454)</f>
        <v>2.2508529099999997E-2</v>
      </c>
    </row>
    <row r="450" spans="2:15" outlineLevel="2">
      <c r="B450" s="238" t="s">
        <v>28</v>
      </c>
      <c r="C450" s="242" t="s">
        <v>594</v>
      </c>
      <c r="D450" s="251" t="s">
        <v>27</v>
      </c>
      <c r="E450" s="257"/>
      <c r="F450" s="192"/>
      <c r="H450" s="588" t="s">
        <v>231</v>
      </c>
      <c r="I450" s="588"/>
      <c r="J450" s="588"/>
      <c r="K450" s="588"/>
      <c r="M450" s="192"/>
      <c r="O450" s="570">
        <v>2.0842521999999999E-2</v>
      </c>
    </row>
    <row r="451" spans="2:15" outlineLevel="2">
      <c r="B451" s="238" t="s">
        <v>28</v>
      </c>
      <c r="C451" s="242" t="s">
        <v>594</v>
      </c>
      <c r="D451" s="251" t="s">
        <v>27</v>
      </c>
      <c r="E451" s="257"/>
      <c r="F451" s="192"/>
      <c r="H451" s="588" t="s">
        <v>775</v>
      </c>
      <c r="I451" s="588"/>
      <c r="J451" s="588"/>
      <c r="K451" s="588"/>
      <c r="M451" s="192"/>
      <c r="O451" s="570">
        <v>1.1106714000000001E-3</v>
      </c>
    </row>
    <row r="452" spans="2:15" outlineLevel="2">
      <c r="B452" s="238" t="s">
        <v>28</v>
      </c>
      <c r="C452" s="242" t="s">
        <v>594</v>
      </c>
      <c r="D452" s="240" t="s">
        <v>27</v>
      </c>
      <c r="E452" s="257"/>
      <c r="F452" s="192"/>
      <c r="H452" s="588" t="s">
        <v>232</v>
      </c>
      <c r="I452" s="588"/>
      <c r="J452" s="588"/>
      <c r="K452" s="588"/>
      <c r="M452" s="192"/>
      <c r="O452" s="570">
        <v>5.5533570000000003E-4</v>
      </c>
    </row>
    <row r="453" spans="2:15" outlineLevel="2">
      <c r="B453" s="238"/>
      <c r="C453" s="242"/>
      <c r="D453" s="240"/>
      <c r="E453" s="257"/>
      <c r="F453" s="192"/>
      <c r="G453" s="257"/>
      <c r="H453" s="588"/>
      <c r="I453" s="588"/>
      <c r="J453" s="588"/>
      <c r="K453" s="588"/>
      <c r="L453" s="257"/>
      <c r="M453" s="192"/>
      <c r="N453" s="257"/>
      <c r="O453" s="570"/>
    </row>
    <row r="454" spans="2:15" outlineLevel="2">
      <c r="B454" s="238"/>
      <c r="C454" s="242"/>
      <c r="D454" s="240"/>
      <c r="E454" s="257"/>
      <c r="F454" s="192"/>
      <c r="G454" s="257"/>
      <c r="H454" s="588"/>
      <c r="I454" s="588"/>
      <c r="J454" s="588"/>
      <c r="K454" s="588"/>
      <c r="L454" s="257"/>
      <c r="M454" s="192"/>
      <c r="N454" s="257"/>
      <c r="O454" s="570"/>
    </row>
    <row r="455" spans="2:15" ht="3" customHeight="1" outlineLevel="1">
      <c r="B455" s="242"/>
      <c r="C455" s="242"/>
      <c r="D455" s="242"/>
      <c r="E455" s="257"/>
      <c r="F455" s="192"/>
      <c r="G455" s="257"/>
      <c r="H455" s="569"/>
      <c r="I455" s="569"/>
      <c r="J455" s="569"/>
      <c r="K455" s="569"/>
      <c r="L455" s="257"/>
      <c r="M455" s="192"/>
      <c r="N455" s="257"/>
      <c r="O455" s="570"/>
    </row>
    <row r="456" spans="2:15" s="234" customFormat="1" outlineLevel="1">
      <c r="B456" s="235" t="s">
        <v>663</v>
      </c>
      <c r="C456" s="235"/>
      <c r="D456" s="235"/>
      <c r="E456" s="232"/>
      <c r="F456" s="192"/>
      <c r="G456" s="232"/>
      <c r="H456" s="236">
        <f>COUNTA(H457:H477)</f>
        <v>17</v>
      </c>
      <c r="I456" s="236"/>
      <c r="J456" s="236"/>
      <c r="K456" s="236"/>
      <c r="L456" s="232"/>
      <c r="M456" s="192"/>
      <c r="N456" s="232"/>
      <c r="O456" s="260">
        <f>SUM(O457:O477)</f>
        <v>0.9164000000000001</v>
      </c>
    </row>
    <row r="457" spans="2:15" outlineLevel="2">
      <c r="B457" s="238" t="s">
        <v>28</v>
      </c>
      <c r="C457" s="242" t="s">
        <v>665</v>
      </c>
      <c r="D457" s="240" t="s">
        <v>27</v>
      </c>
      <c r="E457" s="257"/>
      <c r="F457" s="192"/>
      <c r="G457" s="257"/>
      <c r="H457" s="589" t="s">
        <v>776</v>
      </c>
      <c r="I457" s="589"/>
      <c r="J457" s="589"/>
      <c r="K457" s="589"/>
      <c r="L457" s="257"/>
      <c r="M457" s="192"/>
      <c r="N457" s="257"/>
      <c r="O457" s="563">
        <v>0.24</v>
      </c>
    </row>
    <row r="458" spans="2:15" outlineLevel="2">
      <c r="B458" s="238" t="s">
        <v>28</v>
      </c>
      <c r="C458" s="242" t="s">
        <v>665</v>
      </c>
      <c r="D458" s="240" t="s">
        <v>27</v>
      </c>
      <c r="E458" s="257"/>
      <c r="F458" s="192"/>
      <c r="G458" s="257"/>
      <c r="H458" s="589" t="s">
        <v>88</v>
      </c>
      <c r="I458" s="589"/>
      <c r="J458" s="589"/>
      <c r="K458" s="589"/>
      <c r="L458" s="257"/>
      <c r="M458" s="192"/>
      <c r="N458" s="257"/>
      <c r="O458" s="563">
        <v>1E-3</v>
      </c>
    </row>
    <row r="459" spans="2:15" outlineLevel="2">
      <c r="B459" s="238"/>
      <c r="C459" s="242"/>
      <c r="D459" s="240"/>
      <c r="E459" s="257"/>
      <c r="F459" s="192"/>
      <c r="G459" s="257"/>
      <c r="H459" s="562"/>
      <c r="I459" s="562"/>
      <c r="J459" s="562"/>
      <c r="K459" s="562"/>
      <c r="L459" s="257"/>
      <c r="M459" s="192"/>
      <c r="N459" s="257"/>
      <c r="O459" s="563"/>
    </row>
    <row r="460" spans="2:15" outlineLevel="2">
      <c r="B460" s="238"/>
      <c r="C460" s="242"/>
      <c r="D460" s="240"/>
      <c r="E460" s="257"/>
      <c r="F460" s="192"/>
      <c r="H460" s="562"/>
      <c r="I460" s="562"/>
      <c r="J460" s="562"/>
      <c r="K460" s="562"/>
      <c r="M460" s="192"/>
      <c r="O460" s="563"/>
    </row>
    <row r="461" spans="2:15" ht="16.5" customHeight="1" outlineLevel="2">
      <c r="B461" s="238" t="s">
        <v>28</v>
      </c>
      <c r="C461" s="242" t="s">
        <v>666</v>
      </c>
      <c r="D461" s="240" t="s">
        <v>27</v>
      </c>
      <c r="E461" s="257"/>
      <c r="F461" s="192"/>
      <c r="H461" s="560" t="s">
        <v>670</v>
      </c>
      <c r="I461" s="560"/>
      <c r="J461" s="560"/>
      <c r="K461" s="560"/>
      <c r="M461" s="192"/>
      <c r="O461" s="563">
        <v>0.11</v>
      </c>
    </row>
    <row r="462" spans="2:15" outlineLevel="2">
      <c r="B462" s="238" t="s">
        <v>28</v>
      </c>
      <c r="C462" s="242" t="s">
        <v>666</v>
      </c>
      <c r="D462" s="240" t="s">
        <v>27</v>
      </c>
      <c r="E462" s="257"/>
      <c r="F462" s="192"/>
      <c r="H462" s="589" t="s">
        <v>671</v>
      </c>
      <c r="I462" s="589"/>
      <c r="J462" s="589"/>
      <c r="K462" s="589"/>
      <c r="M462" s="192"/>
      <c r="O462" s="563">
        <v>0.09</v>
      </c>
    </row>
    <row r="463" spans="2:15" outlineLevel="2">
      <c r="B463" s="238" t="s">
        <v>28</v>
      </c>
      <c r="C463" s="242" t="s">
        <v>666</v>
      </c>
      <c r="D463" s="240" t="s">
        <v>27</v>
      </c>
      <c r="E463" s="257"/>
      <c r="F463" s="192"/>
      <c r="H463" s="366" t="s">
        <v>777</v>
      </c>
      <c r="I463" s="366"/>
      <c r="J463" s="366"/>
      <c r="K463" s="366"/>
      <c r="M463" s="192"/>
      <c r="O463" s="563">
        <v>0.02</v>
      </c>
    </row>
    <row r="464" spans="2:15" outlineLevel="2">
      <c r="B464" s="238" t="s">
        <v>28</v>
      </c>
      <c r="C464" s="242" t="s">
        <v>666</v>
      </c>
      <c r="D464" s="240" t="s">
        <v>27</v>
      </c>
      <c r="E464" s="257"/>
      <c r="F464" s="192"/>
      <c r="H464" s="589" t="s">
        <v>778</v>
      </c>
      <c r="I464" s="589"/>
      <c r="J464" s="589"/>
      <c r="K464" s="589"/>
      <c r="M464" s="192"/>
      <c r="O464" s="563">
        <v>0.06</v>
      </c>
    </row>
    <row r="465" spans="2:15" outlineLevel="2">
      <c r="B465" s="238" t="s">
        <v>28</v>
      </c>
      <c r="C465" s="242" t="s">
        <v>666</v>
      </c>
      <c r="D465" s="240" t="s">
        <v>27</v>
      </c>
      <c r="E465" s="257"/>
      <c r="F465" s="192"/>
      <c r="H465" s="589" t="s">
        <v>779</v>
      </c>
      <c r="I465" s="589"/>
      <c r="J465" s="589"/>
      <c r="K465" s="589"/>
      <c r="M465" s="192"/>
      <c r="O465" s="563">
        <v>0.06</v>
      </c>
    </row>
    <row r="466" spans="2:15" outlineLevel="2">
      <c r="B466" s="238" t="s">
        <v>28</v>
      </c>
      <c r="C466" s="242" t="s">
        <v>666</v>
      </c>
      <c r="D466" s="251" t="s">
        <v>27</v>
      </c>
      <c r="E466" s="257"/>
      <c r="F466" s="192"/>
      <c r="H466" s="589" t="s">
        <v>677</v>
      </c>
      <c r="I466" s="589"/>
      <c r="J466" s="589"/>
      <c r="K466" s="589"/>
      <c r="M466" s="192"/>
      <c r="O466" s="563">
        <v>4.0000000000000001E-3</v>
      </c>
    </row>
    <row r="467" spans="2:15" outlineLevel="2">
      <c r="B467" s="238" t="s">
        <v>28</v>
      </c>
      <c r="C467" s="242" t="s">
        <v>666</v>
      </c>
      <c r="D467" s="251" t="s">
        <v>27</v>
      </c>
      <c r="E467" s="257"/>
      <c r="F467" s="192"/>
      <c r="H467" s="589" t="s">
        <v>673</v>
      </c>
      <c r="I467" s="589"/>
      <c r="J467" s="589"/>
      <c r="K467" s="589"/>
      <c r="M467" s="192"/>
      <c r="O467" s="563">
        <v>0.04</v>
      </c>
    </row>
    <row r="468" spans="2:15" outlineLevel="2">
      <c r="B468" s="238" t="s">
        <v>28</v>
      </c>
      <c r="C468" s="242" t="s">
        <v>666</v>
      </c>
      <c r="D468" s="240" t="s">
        <v>27</v>
      </c>
      <c r="E468" s="257"/>
      <c r="F468" s="192"/>
      <c r="H468" s="589" t="s">
        <v>680</v>
      </c>
      <c r="I468" s="589"/>
      <c r="J468" s="589"/>
      <c r="K468" s="589"/>
      <c r="M468" s="192"/>
      <c r="O468" s="563">
        <v>1.4E-3</v>
      </c>
    </row>
    <row r="469" spans="2:15" outlineLevel="2">
      <c r="B469" s="238" t="s">
        <v>28</v>
      </c>
      <c r="C469" s="242" t="s">
        <v>666</v>
      </c>
      <c r="D469" s="240" t="s">
        <v>27</v>
      </c>
      <c r="E469" s="257"/>
      <c r="F469" s="192"/>
      <c r="H469" s="589" t="s">
        <v>679</v>
      </c>
      <c r="I469" s="589"/>
      <c r="J469" s="589"/>
      <c r="K469" s="589"/>
      <c r="M469" s="192"/>
      <c r="O469" s="563">
        <v>0.12</v>
      </c>
    </row>
    <row r="470" spans="2:15" outlineLevel="2">
      <c r="B470" s="238"/>
      <c r="C470" s="242"/>
      <c r="D470" s="240"/>
      <c r="E470" s="257"/>
      <c r="F470" s="192"/>
      <c r="G470" s="257"/>
      <c r="H470" s="562"/>
      <c r="I470" s="562"/>
      <c r="J470" s="562"/>
      <c r="K470" s="562"/>
      <c r="L470" s="257"/>
      <c r="M470" s="192"/>
      <c r="N470" s="257"/>
      <c r="O470" s="563"/>
    </row>
    <row r="471" spans="2:15" outlineLevel="2">
      <c r="B471" s="238" t="s">
        <v>28</v>
      </c>
      <c r="C471" s="274" t="s">
        <v>663</v>
      </c>
      <c r="D471" s="240" t="s">
        <v>766</v>
      </c>
      <c r="E471" s="257"/>
      <c r="F471" s="192"/>
      <c r="G471" s="257"/>
      <c r="H471" s="589" t="s">
        <v>90</v>
      </c>
      <c r="I471" s="589"/>
      <c r="J471" s="589"/>
      <c r="K471" s="589"/>
      <c r="L471" s="257"/>
      <c r="M471" s="192"/>
      <c r="N471" s="257"/>
      <c r="O471" s="563">
        <v>0.04</v>
      </c>
    </row>
    <row r="472" spans="2:15" outlineLevel="2">
      <c r="B472" s="560"/>
      <c r="C472" s="281"/>
      <c r="D472" s="593"/>
      <c r="F472" s="192"/>
      <c r="H472" s="589"/>
      <c r="I472" s="589"/>
      <c r="J472" s="589"/>
      <c r="K472" s="589"/>
      <c r="M472" s="192"/>
      <c r="O472" s="563"/>
    </row>
    <row r="473" spans="2:15" outlineLevel="2">
      <c r="B473" s="238" t="s">
        <v>28</v>
      </c>
      <c r="C473" s="274" t="s">
        <v>91</v>
      </c>
      <c r="D473" s="240" t="s">
        <v>766</v>
      </c>
      <c r="E473" s="257"/>
      <c r="F473" s="192"/>
      <c r="G473" s="257"/>
      <c r="H473" s="589" t="s">
        <v>116</v>
      </c>
      <c r="I473" s="589"/>
      <c r="J473" s="589"/>
      <c r="K473" s="589"/>
      <c r="L473" s="257"/>
      <c r="M473" s="192"/>
      <c r="N473" s="257"/>
      <c r="O473" s="563">
        <v>0.02</v>
      </c>
    </row>
    <row r="474" spans="2:15" outlineLevel="2">
      <c r="B474" s="238" t="s">
        <v>28</v>
      </c>
      <c r="C474" s="274" t="s">
        <v>91</v>
      </c>
      <c r="D474" s="240" t="s">
        <v>766</v>
      </c>
      <c r="E474" s="257"/>
      <c r="F474" s="192"/>
      <c r="G474" s="257"/>
      <c r="H474" s="589" t="s">
        <v>780</v>
      </c>
      <c r="I474" s="589"/>
      <c r="J474" s="589"/>
      <c r="K474" s="589"/>
      <c r="L474" s="257"/>
      <c r="M474" s="192"/>
      <c r="N474" s="257"/>
      <c r="O474" s="563">
        <v>0.02</v>
      </c>
    </row>
    <row r="475" spans="2:15" outlineLevel="2">
      <c r="B475" s="238" t="s">
        <v>28</v>
      </c>
      <c r="C475" s="274" t="s">
        <v>91</v>
      </c>
      <c r="D475" s="240" t="s">
        <v>766</v>
      </c>
      <c r="E475" s="257"/>
      <c r="F475" s="192"/>
      <c r="G475" s="257"/>
      <c r="H475" s="589" t="s">
        <v>117</v>
      </c>
      <c r="I475" s="589"/>
      <c r="J475" s="589"/>
      <c r="K475" s="589"/>
      <c r="L475" s="257"/>
      <c r="M475" s="192"/>
      <c r="N475" s="257"/>
      <c r="O475" s="563">
        <v>0.02</v>
      </c>
    </row>
    <row r="476" spans="2:15" outlineLevel="2">
      <c r="B476" s="238" t="s">
        <v>28</v>
      </c>
      <c r="C476" s="274" t="s">
        <v>91</v>
      </c>
      <c r="D476" s="240" t="s">
        <v>766</v>
      </c>
      <c r="E476" s="257"/>
      <c r="F476" s="192"/>
      <c r="G476" s="257"/>
      <c r="H476" s="589" t="s">
        <v>118</v>
      </c>
      <c r="I476" s="589"/>
      <c r="J476" s="589"/>
      <c r="K476" s="589"/>
      <c r="L476" s="257"/>
      <c r="M476" s="192"/>
      <c r="N476" s="257"/>
      <c r="O476" s="563">
        <v>0.02</v>
      </c>
    </row>
    <row r="477" spans="2:15" outlineLevel="2">
      <c r="B477" s="238" t="s">
        <v>28</v>
      </c>
      <c r="C477" s="274" t="s">
        <v>91</v>
      </c>
      <c r="D477" s="240" t="s">
        <v>766</v>
      </c>
      <c r="E477" s="257"/>
      <c r="F477" s="192"/>
      <c r="G477" s="257"/>
      <c r="H477" s="589" t="s">
        <v>119</v>
      </c>
      <c r="I477" s="589"/>
      <c r="J477" s="589"/>
      <c r="K477" s="589"/>
      <c r="L477" s="257"/>
      <c r="M477" s="192"/>
      <c r="N477" s="257"/>
      <c r="O477" s="563">
        <v>0.05</v>
      </c>
    </row>
    <row r="478" spans="2:15" outlineLevel="2">
      <c r="B478" s="242"/>
      <c r="C478" s="242"/>
      <c r="D478" s="249"/>
      <c r="E478" s="257"/>
      <c r="F478" s="192"/>
      <c r="G478" s="257"/>
      <c r="H478" s="562"/>
      <c r="I478" s="562"/>
      <c r="J478" s="562"/>
      <c r="K478" s="562"/>
      <c r="L478" s="257"/>
      <c r="M478" s="192"/>
      <c r="N478" s="257"/>
      <c r="O478" s="563"/>
    </row>
    <row r="479" spans="2:15" ht="3" customHeight="1" outlineLevel="1">
      <c r="B479" s="242"/>
      <c r="C479" s="242"/>
      <c r="D479" s="249"/>
      <c r="E479" s="239"/>
      <c r="F479" s="192"/>
      <c r="G479" s="239"/>
      <c r="H479" s="569"/>
      <c r="I479" s="569"/>
      <c r="J479" s="569"/>
      <c r="K479" s="569"/>
      <c r="L479" s="239"/>
      <c r="M479" s="192"/>
      <c r="N479" s="239"/>
      <c r="O479" s="570"/>
    </row>
    <row r="480" spans="2:15" s="234" customFormat="1" outlineLevel="1">
      <c r="B480" s="235" t="s">
        <v>555</v>
      </c>
      <c r="C480" s="235"/>
      <c r="D480" s="235"/>
      <c r="E480" s="232"/>
      <c r="F480" s="192"/>
      <c r="G480" s="232"/>
      <c r="H480" s="236">
        <f>COUNTA(H481:H498)</f>
        <v>15</v>
      </c>
      <c r="I480" s="236"/>
      <c r="J480" s="236"/>
      <c r="K480" s="236"/>
      <c r="L480" s="232"/>
      <c r="M480" s="192"/>
      <c r="N480" s="232"/>
      <c r="O480" s="260">
        <f>SUM(O481:O498)</f>
        <v>0.52189360083992786</v>
      </c>
    </row>
    <row r="481" spans="2:15" outlineLevel="2">
      <c r="B481" s="242"/>
      <c r="C481" s="565" t="s">
        <v>559</v>
      </c>
      <c r="D481" s="594" t="s">
        <v>27</v>
      </c>
      <c r="E481" s="257"/>
      <c r="F481" s="192"/>
      <c r="G481" s="257"/>
      <c r="H481" s="282" t="s">
        <v>157</v>
      </c>
      <c r="I481" s="282"/>
      <c r="J481" s="282"/>
      <c r="K481" s="282"/>
      <c r="L481" s="257"/>
      <c r="M481" s="192"/>
      <c r="N481" s="257"/>
      <c r="O481" s="343">
        <v>1.5827943605759998E-2</v>
      </c>
    </row>
    <row r="482" spans="2:15" outlineLevel="2">
      <c r="B482" s="242"/>
      <c r="C482" s="565" t="s">
        <v>559</v>
      </c>
      <c r="D482" s="594" t="s">
        <v>27</v>
      </c>
      <c r="E482" s="257"/>
      <c r="F482" s="192"/>
      <c r="G482" s="257"/>
      <c r="H482" s="282" t="s">
        <v>158</v>
      </c>
      <c r="I482" s="282"/>
      <c r="J482" s="282"/>
      <c r="K482" s="282"/>
      <c r="L482" s="257"/>
      <c r="M482" s="192"/>
      <c r="N482" s="257"/>
      <c r="O482" s="343">
        <v>1.5827943605759998E-2</v>
      </c>
    </row>
    <row r="483" spans="2:15" outlineLevel="2">
      <c r="B483" s="242"/>
      <c r="C483" s="565" t="s">
        <v>559</v>
      </c>
      <c r="D483" s="594" t="s">
        <v>27</v>
      </c>
      <c r="E483" s="257"/>
      <c r="F483" s="192"/>
      <c r="G483" s="257"/>
      <c r="H483" s="282" t="s">
        <v>560</v>
      </c>
      <c r="I483" s="282"/>
      <c r="J483" s="282"/>
      <c r="K483" s="282"/>
      <c r="L483" s="257"/>
      <c r="M483" s="192"/>
      <c r="N483" s="257"/>
      <c r="O483" s="343">
        <v>3.7611315056000003E-2</v>
      </c>
    </row>
    <row r="484" spans="2:15" outlineLevel="2">
      <c r="B484" s="242"/>
      <c r="C484" s="565" t="s">
        <v>559</v>
      </c>
      <c r="D484" s="594" t="s">
        <v>27</v>
      </c>
      <c r="E484" s="257"/>
      <c r="F484" s="192"/>
      <c r="G484" s="257"/>
      <c r="H484" s="282" t="s">
        <v>561</v>
      </c>
      <c r="I484" s="282"/>
      <c r="J484" s="282"/>
      <c r="K484" s="282"/>
      <c r="L484" s="257"/>
      <c r="M484" s="192"/>
      <c r="N484" s="257"/>
      <c r="O484" s="343">
        <v>3.7611315056000003E-2</v>
      </c>
    </row>
    <row r="485" spans="2:15" outlineLevel="2">
      <c r="B485" s="242"/>
      <c r="C485" s="565" t="s">
        <v>559</v>
      </c>
      <c r="D485" s="594" t="s">
        <v>27</v>
      </c>
      <c r="E485" s="257"/>
      <c r="F485" s="192"/>
      <c r="G485" s="257"/>
      <c r="H485" s="282" t="s">
        <v>562</v>
      </c>
      <c r="I485" s="282"/>
      <c r="J485" s="282"/>
      <c r="K485" s="282"/>
      <c r="L485" s="257"/>
      <c r="M485" s="192"/>
      <c r="N485" s="257"/>
      <c r="O485" s="343">
        <v>3.7611315056000003E-2</v>
      </c>
    </row>
    <row r="486" spans="2:15" outlineLevel="2">
      <c r="B486" s="242"/>
      <c r="C486" s="565" t="s">
        <v>559</v>
      </c>
      <c r="D486" s="594" t="s">
        <v>27</v>
      </c>
      <c r="E486" s="257"/>
      <c r="F486" s="192"/>
      <c r="G486" s="257"/>
      <c r="H486" s="282" t="s">
        <v>781</v>
      </c>
      <c r="I486" s="282"/>
      <c r="J486" s="282"/>
      <c r="K486" s="282"/>
      <c r="L486" s="257"/>
      <c r="M486" s="192"/>
      <c r="N486" s="257"/>
      <c r="O486" s="343">
        <v>5.4604276273310416E-3</v>
      </c>
    </row>
    <row r="487" spans="2:15" outlineLevel="2">
      <c r="B487" s="560"/>
      <c r="C487" s="565" t="s">
        <v>559</v>
      </c>
      <c r="D487" s="594" t="s">
        <v>27</v>
      </c>
      <c r="E487" s="257"/>
      <c r="F487" s="192"/>
      <c r="H487" s="282" t="s">
        <v>782</v>
      </c>
      <c r="I487" s="282"/>
      <c r="J487" s="282"/>
      <c r="K487" s="282"/>
      <c r="M487" s="192"/>
      <c r="O487" s="343">
        <v>1.1870957704319998E-2</v>
      </c>
    </row>
    <row r="488" spans="2:15" outlineLevel="2">
      <c r="B488" s="560"/>
      <c r="C488" s="565" t="s">
        <v>559</v>
      </c>
      <c r="D488" s="594" t="s">
        <v>27</v>
      </c>
      <c r="E488" s="257"/>
      <c r="F488" s="192"/>
      <c r="H488" s="282" t="s">
        <v>783</v>
      </c>
      <c r="I488" s="282"/>
      <c r="J488" s="282"/>
      <c r="K488" s="282"/>
      <c r="M488" s="192"/>
      <c r="O488" s="343">
        <v>1.1870957704319998E-2</v>
      </c>
    </row>
    <row r="489" spans="2:15" outlineLevel="2">
      <c r="B489" s="560"/>
      <c r="C489" s="565" t="s">
        <v>559</v>
      </c>
      <c r="D489" s="594" t="s">
        <v>27</v>
      </c>
      <c r="E489" s="257"/>
      <c r="F489" s="192"/>
      <c r="H489" s="282" t="s">
        <v>159</v>
      </c>
      <c r="I489" s="282"/>
      <c r="J489" s="282"/>
      <c r="K489" s="282"/>
      <c r="M489" s="192"/>
      <c r="O489" s="343">
        <v>1.8201425424436798E-2</v>
      </c>
    </row>
    <row r="490" spans="2:15" outlineLevel="2">
      <c r="B490" s="560"/>
      <c r="C490" s="595"/>
      <c r="D490" s="594"/>
      <c r="E490" s="257"/>
      <c r="F490" s="192"/>
      <c r="H490" s="283"/>
      <c r="I490" s="283"/>
      <c r="J490" s="283"/>
      <c r="K490" s="283"/>
      <c r="M490" s="192"/>
      <c r="O490" s="343"/>
    </row>
    <row r="491" spans="2:15" outlineLevel="2">
      <c r="B491" s="560"/>
      <c r="C491" s="596" t="s">
        <v>566</v>
      </c>
      <c r="D491" s="597" t="s">
        <v>27</v>
      </c>
      <c r="E491" s="257"/>
      <c r="F491" s="192"/>
      <c r="H491" s="326" t="s">
        <v>31</v>
      </c>
      <c r="I491" s="326"/>
      <c r="J491" s="326"/>
      <c r="K491" s="326"/>
      <c r="M491" s="192"/>
      <c r="O491" s="343">
        <v>0.06</v>
      </c>
    </row>
    <row r="492" spans="2:15" outlineLevel="2">
      <c r="B492" s="560"/>
      <c r="C492" s="596" t="s">
        <v>566</v>
      </c>
      <c r="D492" s="597" t="s">
        <v>27</v>
      </c>
      <c r="E492" s="257"/>
      <c r="F492" s="192"/>
      <c r="H492" s="244" t="s">
        <v>170</v>
      </c>
      <c r="I492" s="244"/>
      <c r="J492" s="244"/>
      <c r="K492" s="244"/>
      <c r="M492" s="192"/>
      <c r="O492" s="343">
        <v>0.06</v>
      </c>
    </row>
    <row r="493" spans="2:15" outlineLevel="2">
      <c r="B493" s="560"/>
      <c r="C493" s="596" t="s">
        <v>566</v>
      </c>
      <c r="D493" s="597" t="s">
        <v>27</v>
      </c>
      <c r="E493" s="257"/>
      <c r="F493" s="192"/>
      <c r="H493" s="284" t="s">
        <v>55</v>
      </c>
      <c r="I493" s="284"/>
      <c r="J493" s="284"/>
      <c r="K493" s="284"/>
      <c r="M493" s="192"/>
      <c r="O493" s="343">
        <v>0.13</v>
      </c>
    </row>
    <row r="494" spans="2:15" outlineLevel="2">
      <c r="B494" s="560"/>
      <c r="C494" s="565"/>
      <c r="D494" s="594"/>
      <c r="E494" s="257"/>
      <c r="F494" s="192"/>
      <c r="H494" s="283"/>
      <c r="I494" s="283"/>
      <c r="J494" s="283"/>
      <c r="K494" s="283"/>
      <c r="M494" s="192"/>
      <c r="O494" s="343"/>
    </row>
    <row r="495" spans="2:15" outlineLevel="2">
      <c r="B495" s="242"/>
      <c r="C495" s="596" t="s">
        <v>566</v>
      </c>
      <c r="D495" s="594" t="s">
        <v>766</v>
      </c>
      <c r="E495" s="257"/>
      <c r="F495" s="192"/>
      <c r="G495" s="257"/>
      <c r="H495" s="284" t="s">
        <v>31</v>
      </c>
      <c r="I495" s="284"/>
      <c r="J495" s="284"/>
      <c r="K495" s="284"/>
      <c r="L495" s="257"/>
      <c r="M495" s="192"/>
      <c r="N495" s="257"/>
      <c r="O495" s="343">
        <v>0.05</v>
      </c>
    </row>
    <row r="496" spans="2:15" outlineLevel="2">
      <c r="B496" s="242"/>
      <c r="C496" s="596" t="s">
        <v>566</v>
      </c>
      <c r="D496" s="597" t="s">
        <v>766</v>
      </c>
      <c r="E496" s="257"/>
      <c r="F496" s="192"/>
      <c r="G496" s="257"/>
      <c r="H496" s="284" t="s">
        <v>285</v>
      </c>
      <c r="I496" s="284"/>
      <c r="J496" s="284"/>
      <c r="K496" s="284"/>
      <c r="L496" s="257"/>
      <c r="M496" s="192"/>
      <c r="N496" s="257"/>
      <c r="O496" s="343">
        <v>0.02</v>
      </c>
    </row>
    <row r="497" spans="2:15" outlineLevel="2">
      <c r="B497" s="242"/>
      <c r="C497" s="596" t="s">
        <v>566</v>
      </c>
      <c r="D497" s="597" t="s">
        <v>766</v>
      </c>
      <c r="E497" s="257"/>
      <c r="F497" s="192"/>
      <c r="G497" s="257"/>
      <c r="H497" s="284" t="s">
        <v>55</v>
      </c>
      <c r="I497" s="284"/>
      <c r="J497" s="284"/>
      <c r="K497" s="284"/>
      <c r="L497" s="257"/>
      <c r="M497" s="192"/>
      <c r="N497" s="257"/>
      <c r="O497" s="343">
        <v>0.01</v>
      </c>
    </row>
    <row r="498" spans="2:15" outlineLevel="2">
      <c r="B498" s="242"/>
      <c r="C498" s="596"/>
      <c r="D498" s="594"/>
      <c r="E498" s="257"/>
      <c r="F498" s="192"/>
      <c r="G498" s="257"/>
      <c r="H498" s="283"/>
      <c r="I498" s="283"/>
      <c r="J498" s="283"/>
      <c r="K498" s="283"/>
      <c r="L498" s="257"/>
      <c r="M498" s="192"/>
      <c r="N498" s="257"/>
      <c r="O498" s="343"/>
    </row>
    <row r="499" spans="2:15" ht="3" customHeight="1" outlineLevel="1">
      <c r="B499" s="242"/>
      <c r="C499" s="242"/>
      <c r="D499" s="242"/>
      <c r="E499" s="257"/>
      <c r="F499" s="192"/>
      <c r="G499" s="257"/>
      <c r="H499" s="569"/>
      <c r="I499" s="569"/>
      <c r="J499" s="569"/>
      <c r="K499" s="569"/>
      <c r="L499" s="257"/>
      <c r="M499" s="192"/>
      <c r="N499" s="257"/>
      <c r="O499" s="570"/>
    </row>
    <row r="500" spans="2:15" s="234" customFormat="1" outlineLevel="1">
      <c r="B500" s="235" t="s">
        <v>784</v>
      </c>
      <c r="C500" s="235"/>
      <c r="D500" s="235"/>
      <c r="E500" s="232"/>
      <c r="F500" s="192"/>
      <c r="G500" s="232"/>
      <c r="H500" s="236">
        <f>COUNTA(H501:H501)</f>
        <v>0</v>
      </c>
      <c r="I500" s="236"/>
      <c r="J500" s="236"/>
      <c r="K500" s="236"/>
      <c r="L500" s="232"/>
      <c r="M500" s="192"/>
      <c r="N500" s="232"/>
      <c r="O500" s="260">
        <f>SUM(O501:O501)</f>
        <v>0</v>
      </c>
    </row>
    <row r="501" spans="2:15" outlineLevel="2">
      <c r="B501" s="242"/>
      <c r="C501" s="242" t="s">
        <v>709</v>
      </c>
      <c r="D501" s="251" t="s">
        <v>27</v>
      </c>
      <c r="E501" s="257"/>
      <c r="F501" s="192"/>
      <c r="G501" s="257"/>
      <c r="H501" s="568"/>
      <c r="I501" s="568"/>
      <c r="J501" s="568"/>
      <c r="K501" s="568"/>
      <c r="L501" s="257"/>
      <c r="M501" s="192"/>
      <c r="N501" s="257"/>
      <c r="O501" s="347"/>
    </row>
    <row r="502" spans="2:15" ht="3" customHeight="1" outlineLevel="1">
      <c r="B502" s="242"/>
      <c r="C502" s="242"/>
      <c r="D502" s="242"/>
      <c r="E502" s="257"/>
      <c r="F502" s="192"/>
      <c r="G502" s="257"/>
      <c r="H502" s="569"/>
      <c r="I502" s="569"/>
      <c r="J502" s="569"/>
      <c r="K502" s="569"/>
      <c r="L502" s="257"/>
      <c r="M502" s="192"/>
      <c r="N502" s="257"/>
      <c r="O502" s="570"/>
    </row>
    <row r="503" spans="2:15" s="234" customFormat="1" outlineLevel="1">
      <c r="B503" s="235" t="s">
        <v>711</v>
      </c>
      <c r="C503" s="235"/>
      <c r="D503" s="235"/>
      <c r="E503" s="232"/>
      <c r="F503" s="192"/>
      <c r="G503" s="232"/>
      <c r="H503" s="236">
        <f>COUNTA(H504:H505)</f>
        <v>2</v>
      </c>
      <c r="I503" s="236"/>
      <c r="J503" s="236"/>
      <c r="K503" s="236"/>
      <c r="L503" s="232"/>
      <c r="M503" s="192"/>
      <c r="N503" s="232"/>
      <c r="O503" s="260">
        <f>SUM(O504:O505)</f>
        <v>0</v>
      </c>
    </row>
    <row r="504" spans="2:15" outlineLevel="2">
      <c r="B504" s="242"/>
      <c r="C504" s="242" t="s">
        <v>712</v>
      </c>
      <c r="D504" s="251" t="s">
        <v>27</v>
      </c>
      <c r="E504" s="257"/>
      <c r="F504" s="192"/>
      <c r="G504" s="257"/>
      <c r="H504" s="285" t="s">
        <v>785</v>
      </c>
      <c r="I504" s="285"/>
      <c r="J504" s="285"/>
      <c r="K504" s="285"/>
      <c r="L504" s="257"/>
      <c r="M504" s="192"/>
      <c r="N504" s="257"/>
      <c r="O504" s="347"/>
    </row>
    <row r="505" spans="2:15" outlineLevel="2">
      <c r="B505" s="242"/>
      <c r="C505" s="242" t="s">
        <v>712</v>
      </c>
      <c r="D505" s="251" t="s">
        <v>766</v>
      </c>
      <c r="E505" s="257"/>
      <c r="F505" s="192"/>
      <c r="G505" s="257"/>
      <c r="H505" s="285" t="s">
        <v>785</v>
      </c>
      <c r="I505" s="285"/>
      <c r="J505" s="285"/>
      <c r="K505" s="285"/>
      <c r="L505" s="257"/>
      <c r="M505" s="192"/>
      <c r="N505" s="257"/>
      <c r="O505" s="347"/>
    </row>
    <row r="506" spans="2:15" ht="3" customHeight="1" outlineLevel="1">
      <c r="B506" s="242"/>
      <c r="C506" s="242"/>
      <c r="D506" s="242"/>
      <c r="E506" s="257"/>
      <c r="F506" s="192"/>
      <c r="G506" s="257"/>
      <c r="H506" s="569"/>
      <c r="I506" s="569"/>
      <c r="J506" s="569"/>
      <c r="K506" s="569"/>
      <c r="L506" s="257"/>
      <c r="M506" s="192"/>
      <c r="N506" s="257"/>
      <c r="O506" s="570"/>
    </row>
    <row r="507" spans="2:15" s="234" customFormat="1" outlineLevel="1">
      <c r="B507" s="235" t="s">
        <v>786</v>
      </c>
      <c r="C507" s="235"/>
      <c r="D507" s="235"/>
      <c r="E507" s="232"/>
      <c r="F507" s="192"/>
      <c r="G507" s="232"/>
      <c r="H507" s="236"/>
      <c r="I507" s="236"/>
      <c r="J507" s="236"/>
      <c r="K507" s="236"/>
      <c r="L507" s="232"/>
      <c r="M507" s="192"/>
      <c r="N507" s="232"/>
      <c r="O507" s="260">
        <f t="shared" ref="O507" si="5">SUM(O508:O509)</f>
        <v>0</v>
      </c>
    </row>
    <row r="508" spans="2:15" outlineLevel="2">
      <c r="B508" s="242"/>
      <c r="C508" s="242" t="s">
        <v>787</v>
      </c>
      <c r="D508" s="251" t="s">
        <v>27</v>
      </c>
      <c r="E508" s="257"/>
      <c r="F508" s="192"/>
      <c r="G508" s="257"/>
      <c r="H508" s="568"/>
      <c r="I508" s="568"/>
      <c r="J508" s="568"/>
      <c r="K508" s="568"/>
      <c r="L508" s="257"/>
      <c r="M508" s="192"/>
      <c r="N508" s="257"/>
      <c r="O508" s="347"/>
    </row>
    <row r="509" spans="2:15" outlineLevel="2">
      <c r="B509" s="242"/>
      <c r="C509" s="242" t="s">
        <v>787</v>
      </c>
      <c r="D509" s="251" t="s">
        <v>766</v>
      </c>
      <c r="E509" s="257"/>
      <c r="F509" s="192"/>
      <c r="G509" s="257"/>
      <c r="H509" s="568"/>
      <c r="I509" s="568"/>
      <c r="J509" s="568"/>
      <c r="K509" s="568"/>
      <c r="L509" s="257"/>
      <c r="M509" s="192"/>
      <c r="N509" s="257"/>
      <c r="O509" s="572"/>
    </row>
    <row r="510" spans="2:15" ht="3" customHeight="1" outlineLevel="1">
      <c r="B510" s="242"/>
      <c r="C510" s="242"/>
      <c r="D510" s="242"/>
      <c r="E510" s="257"/>
      <c r="F510" s="192"/>
      <c r="G510" s="257"/>
      <c r="H510" s="569"/>
      <c r="I510" s="569"/>
      <c r="J510" s="569"/>
      <c r="K510" s="569"/>
      <c r="L510" s="257"/>
      <c r="M510" s="192"/>
      <c r="N510" s="257"/>
      <c r="O510" s="570"/>
    </row>
    <row r="511" spans="2:15" s="234" customFormat="1" outlineLevel="1">
      <c r="B511" s="235" t="s">
        <v>788</v>
      </c>
      <c r="C511" s="235"/>
      <c r="D511" s="235"/>
      <c r="E511" s="232"/>
      <c r="F511" s="192"/>
      <c r="G511" s="232"/>
      <c r="H511" s="236"/>
      <c r="I511" s="236"/>
      <c r="J511" s="236"/>
      <c r="K511" s="236"/>
      <c r="L511" s="232"/>
      <c r="M511" s="192"/>
      <c r="N511" s="232"/>
      <c r="O511" s="260">
        <f>SUM(O512:O513)</f>
        <v>0</v>
      </c>
    </row>
    <row r="512" spans="2:15" outlineLevel="2">
      <c r="B512" s="242"/>
      <c r="C512" s="565" t="s">
        <v>789</v>
      </c>
      <c r="D512" s="251" t="s">
        <v>27</v>
      </c>
      <c r="E512" s="257"/>
      <c r="F512" s="192"/>
      <c r="G512" s="257"/>
      <c r="H512" s="568"/>
      <c r="I512" s="568"/>
      <c r="J512" s="568"/>
      <c r="K512" s="568"/>
      <c r="L512" s="257"/>
      <c r="M512" s="192"/>
      <c r="N512" s="257"/>
      <c r="O512" s="347"/>
    </row>
    <row r="513" spans="2:15" outlineLevel="2">
      <c r="B513" s="242"/>
      <c r="C513" s="565" t="s">
        <v>789</v>
      </c>
      <c r="D513" s="251" t="s">
        <v>766</v>
      </c>
      <c r="E513" s="257"/>
      <c r="F513" s="192"/>
      <c r="G513" s="257"/>
      <c r="H513" s="568"/>
      <c r="I513" s="568"/>
      <c r="J513" s="568"/>
      <c r="K513" s="568"/>
      <c r="L513" s="257"/>
      <c r="M513" s="192"/>
      <c r="N513" s="257"/>
      <c r="O513" s="572"/>
    </row>
    <row r="514" spans="2:15" ht="3" customHeight="1" outlineLevel="1">
      <c r="B514" s="242"/>
      <c r="C514" s="242"/>
      <c r="D514" s="242"/>
      <c r="E514" s="257"/>
      <c r="F514" s="192"/>
      <c r="G514" s="257"/>
      <c r="H514" s="569"/>
      <c r="I514" s="569"/>
      <c r="J514" s="569"/>
      <c r="K514" s="569"/>
      <c r="L514" s="257"/>
      <c r="M514" s="192"/>
      <c r="N514" s="257"/>
      <c r="O514" s="570"/>
    </row>
    <row r="515" spans="2:15" s="234" customFormat="1" outlineLevel="1">
      <c r="B515" s="235" t="s">
        <v>790</v>
      </c>
      <c r="C515" s="235"/>
      <c r="D515" s="235"/>
      <c r="E515" s="232"/>
      <c r="F515" s="192"/>
      <c r="G515" s="232"/>
      <c r="H515" s="236">
        <f>COUNTA(H516:H516)</f>
        <v>0</v>
      </c>
      <c r="I515" s="236"/>
      <c r="J515" s="236"/>
      <c r="K515" s="236"/>
      <c r="L515" s="232"/>
      <c r="M515" s="192"/>
      <c r="N515" s="232"/>
      <c r="O515" s="260">
        <f>SUM(O516:O516)</f>
        <v>0</v>
      </c>
    </row>
    <row r="516" spans="2:15" outlineLevel="2">
      <c r="B516" s="242"/>
      <c r="C516" s="565" t="s">
        <v>687</v>
      </c>
      <c r="D516" s="566" t="s">
        <v>27</v>
      </c>
      <c r="E516" s="257"/>
      <c r="F516" s="192"/>
      <c r="G516" s="257"/>
      <c r="H516" s="568"/>
      <c r="I516" s="568"/>
      <c r="J516" s="568"/>
      <c r="K516" s="568"/>
      <c r="L516" s="257"/>
      <c r="M516" s="192"/>
      <c r="N516" s="257"/>
      <c r="O516" s="347"/>
    </row>
    <row r="517" spans="2:15" ht="3" customHeight="1" outlineLevel="1">
      <c r="B517" s="242"/>
      <c r="C517" s="242"/>
      <c r="D517" s="249"/>
      <c r="E517" s="239"/>
      <c r="F517" s="192"/>
      <c r="G517" s="239"/>
      <c r="H517" s="569"/>
      <c r="I517" s="569"/>
      <c r="J517" s="569"/>
      <c r="K517" s="569"/>
      <c r="L517" s="239"/>
      <c r="M517" s="192"/>
      <c r="N517" s="239"/>
      <c r="O517" s="570"/>
    </row>
    <row r="518" spans="2:15" s="234" customFormat="1" outlineLevel="1">
      <c r="B518" s="235" t="s">
        <v>182</v>
      </c>
      <c r="C518" s="235"/>
      <c r="D518" s="235"/>
      <c r="E518" s="232"/>
      <c r="F518" s="250"/>
      <c r="G518" s="232"/>
      <c r="H518" s="236">
        <f>COUNTA(H519:H539)</f>
        <v>19</v>
      </c>
      <c r="I518" s="236"/>
      <c r="J518" s="236"/>
      <c r="K518" s="236"/>
      <c r="L518" s="232"/>
      <c r="M518" s="250"/>
      <c r="N518" s="232"/>
      <c r="O518" s="260">
        <f>SUM(O519:O539)</f>
        <v>1.3942232459772042</v>
      </c>
    </row>
    <row r="519" spans="2:15" outlineLevel="2">
      <c r="B519" s="242"/>
      <c r="C519" s="242" t="s">
        <v>182</v>
      </c>
      <c r="D519" s="251" t="s">
        <v>27</v>
      </c>
      <c r="E519" s="232"/>
      <c r="F519" s="250"/>
      <c r="G519" s="232"/>
      <c r="H519" s="249" t="s">
        <v>609</v>
      </c>
      <c r="I519" s="249"/>
      <c r="J519" s="249"/>
      <c r="K519" s="249"/>
      <c r="L519" s="232"/>
      <c r="M519" s="250"/>
      <c r="N519" s="232"/>
      <c r="O519" s="344">
        <v>0.30995276083200002</v>
      </c>
    </row>
    <row r="520" spans="2:15" outlineLevel="2">
      <c r="B520" s="242"/>
      <c r="C520" s="242" t="s">
        <v>182</v>
      </c>
      <c r="D520" s="251" t="s">
        <v>27</v>
      </c>
      <c r="E520" s="232"/>
      <c r="F520" s="250"/>
      <c r="G520" s="232"/>
      <c r="H520" s="249" t="s">
        <v>610</v>
      </c>
      <c r="I520" s="249"/>
      <c r="J520" s="249"/>
      <c r="K520" s="249"/>
      <c r="L520" s="232"/>
      <c r="M520" s="250"/>
      <c r="N520" s="232"/>
      <c r="O520" s="344">
        <v>0.29586399897600002</v>
      </c>
    </row>
    <row r="521" spans="2:15" outlineLevel="2">
      <c r="B521" s="242"/>
      <c r="C521" s="242" t="s">
        <v>182</v>
      </c>
      <c r="D521" s="251" t="s">
        <v>27</v>
      </c>
      <c r="E521" s="232"/>
      <c r="F521" s="250"/>
      <c r="G521" s="232"/>
      <c r="H521" s="249" t="s">
        <v>611</v>
      </c>
      <c r="I521" s="249"/>
      <c r="J521" s="249"/>
      <c r="K521" s="249"/>
      <c r="L521" s="232"/>
      <c r="M521" s="250"/>
      <c r="N521" s="232"/>
      <c r="O521" s="344">
        <v>0.02</v>
      </c>
    </row>
    <row r="522" spans="2:15" outlineLevel="2">
      <c r="B522" s="242"/>
      <c r="C522" s="242" t="s">
        <v>182</v>
      </c>
      <c r="D522" s="251" t="s">
        <v>27</v>
      </c>
      <c r="E522" s="232"/>
      <c r="F522" s="250"/>
      <c r="G522" s="232"/>
      <c r="H522" s="249" t="s">
        <v>228</v>
      </c>
      <c r="I522" s="249"/>
      <c r="J522" s="249"/>
      <c r="K522" s="249"/>
      <c r="L522" s="232"/>
      <c r="M522" s="250"/>
      <c r="N522" s="232"/>
      <c r="O522" s="344">
        <v>0.05</v>
      </c>
    </row>
    <row r="523" spans="2:15" outlineLevel="2">
      <c r="B523" s="242"/>
      <c r="C523" s="242" t="s">
        <v>182</v>
      </c>
      <c r="D523" s="251" t="s">
        <v>27</v>
      </c>
      <c r="E523" s="232"/>
      <c r="F523" s="250"/>
      <c r="G523" s="232"/>
      <c r="H523" s="249" t="s">
        <v>614</v>
      </c>
      <c r="I523" s="249"/>
      <c r="J523" s="249"/>
      <c r="K523" s="249"/>
      <c r="L523" s="232"/>
      <c r="M523" s="250"/>
      <c r="N523" s="232"/>
      <c r="O523" s="598">
        <v>0.05</v>
      </c>
    </row>
    <row r="524" spans="2:15" outlineLevel="2">
      <c r="B524" s="242"/>
      <c r="C524" s="242" t="s">
        <v>182</v>
      </c>
      <c r="D524" s="251" t="s">
        <v>27</v>
      </c>
      <c r="E524" s="232"/>
      <c r="F524" s="250"/>
      <c r="G524" s="232"/>
      <c r="H524" s="576" t="s">
        <v>616</v>
      </c>
      <c r="I524" s="576"/>
      <c r="J524" s="576"/>
      <c r="K524" s="576"/>
      <c r="L524" s="232"/>
      <c r="M524" s="250"/>
      <c r="N524" s="232"/>
      <c r="O524" s="598">
        <v>0.05</v>
      </c>
    </row>
    <row r="525" spans="2:15" outlineLevel="2">
      <c r="B525" s="242"/>
      <c r="C525" s="242" t="s">
        <v>182</v>
      </c>
      <c r="D525" s="251" t="s">
        <v>27</v>
      </c>
      <c r="E525" s="232"/>
      <c r="F525" s="250"/>
      <c r="G525" s="232"/>
      <c r="H525" s="249" t="s">
        <v>618</v>
      </c>
      <c r="I525" s="249"/>
      <c r="J525" s="249"/>
      <c r="K525" s="249"/>
      <c r="L525" s="232"/>
      <c r="M525" s="250"/>
      <c r="N525" s="232"/>
      <c r="O525" s="344">
        <v>0.05</v>
      </c>
    </row>
    <row r="526" spans="2:15" ht="35.85" customHeight="1" outlineLevel="2">
      <c r="B526" s="242"/>
      <c r="C526" s="242" t="s">
        <v>182</v>
      </c>
      <c r="D526" s="251" t="s">
        <v>27</v>
      </c>
      <c r="E526" s="232"/>
      <c r="F526" s="250"/>
      <c r="G526" s="232"/>
      <c r="H526" s="249" t="s">
        <v>791</v>
      </c>
      <c r="I526" s="249"/>
      <c r="J526" s="249"/>
      <c r="K526" s="249"/>
      <c r="L526" s="232"/>
      <c r="M526" s="250"/>
      <c r="N526" s="232"/>
      <c r="O526" s="344">
        <v>0.04</v>
      </c>
    </row>
    <row r="527" spans="2:15" ht="42.6" customHeight="1" outlineLevel="2">
      <c r="B527" s="242"/>
      <c r="C527" s="242" t="s">
        <v>182</v>
      </c>
      <c r="D527" s="251" t="s">
        <v>27</v>
      </c>
      <c r="E527" s="232"/>
      <c r="F527" s="250"/>
      <c r="G527" s="232"/>
      <c r="H527" s="249" t="s">
        <v>178</v>
      </c>
      <c r="I527" s="249"/>
      <c r="J527" s="249"/>
      <c r="K527" s="249"/>
      <c r="L527" s="232"/>
      <c r="M527" s="250"/>
      <c r="N527" s="232"/>
      <c r="O527" s="344">
        <v>0.02</v>
      </c>
    </row>
    <row r="528" spans="2:15" ht="31.35" customHeight="1" outlineLevel="2">
      <c r="B528" s="242"/>
      <c r="C528" s="242" t="s">
        <v>182</v>
      </c>
      <c r="D528" s="251" t="s">
        <v>27</v>
      </c>
      <c r="E528" s="232"/>
      <c r="F528" s="250"/>
      <c r="G528" s="232"/>
      <c r="H528" s="566" t="s">
        <v>107</v>
      </c>
      <c r="I528" s="566"/>
      <c r="J528" s="566"/>
      <c r="K528" s="566"/>
      <c r="L528" s="232"/>
      <c r="M528" s="250"/>
      <c r="N528" s="232"/>
      <c r="O528" s="581">
        <v>0.01</v>
      </c>
    </row>
    <row r="529" spans="2:15" ht="38.85" customHeight="1" outlineLevel="2">
      <c r="B529" s="242"/>
      <c r="C529" s="242" t="s">
        <v>182</v>
      </c>
      <c r="D529" s="251" t="s">
        <v>27</v>
      </c>
      <c r="E529" s="232"/>
      <c r="F529" s="250"/>
      <c r="G529" s="232"/>
      <c r="H529" s="249" t="s">
        <v>23</v>
      </c>
      <c r="I529" s="249"/>
      <c r="J529" s="249"/>
      <c r="K529" s="249"/>
      <c r="L529" s="232"/>
      <c r="M529" s="250"/>
      <c r="N529" s="232"/>
      <c r="O529" s="344">
        <v>0.12284444962643681</v>
      </c>
    </row>
    <row r="530" spans="2:15" ht="35.85" customHeight="1" outlineLevel="2">
      <c r="B530" s="242"/>
      <c r="C530" s="242" t="s">
        <v>182</v>
      </c>
      <c r="D530" s="251" t="s">
        <v>27</v>
      </c>
      <c r="E530" s="232"/>
      <c r="F530" s="250"/>
      <c r="G530" s="232"/>
      <c r="H530" s="249" t="s">
        <v>106</v>
      </c>
      <c r="I530" s="249"/>
      <c r="J530" s="249"/>
      <c r="K530" s="249"/>
      <c r="L530" s="232"/>
      <c r="M530" s="250"/>
      <c r="N530" s="232"/>
      <c r="O530" s="344">
        <v>8.1296301249949125E-3</v>
      </c>
    </row>
    <row r="531" spans="2:15" ht="42" customHeight="1" outlineLevel="2">
      <c r="B531" s="242"/>
      <c r="C531" s="242" t="s">
        <v>182</v>
      </c>
      <c r="D531" s="251" t="s">
        <v>27</v>
      </c>
      <c r="E531" s="232"/>
      <c r="F531" s="250"/>
      <c r="G531" s="232"/>
      <c r="H531" s="249" t="s">
        <v>88</v>
      </c>
      <c r="I531" s="249"/>
      <c r="J531" s="249"/>
      <c r="K531" s="249"/>
      <c r="L531" s="232"/>
      <c r="M531" s="250"/>
      <c r="N531" s="232"/>
      <c r="O531" s="344">
        <v>2.7098767083316381E-3</v>
      </c>
    </row>
    <row r="532" spans="2:15" outlineLevel="2">
      <c r="B532" s="242"/>
      <c r="C532" s="242" t="s">
        <v>182</v>
      </c>
      <c r="D532" s="251" t="s">
        <v>27</v>
      </c>
      <c r="E532" s="232"/>
      <c r="F532" s="250"/>
      <c r="G532" s="232"/>
      <c r="H532" s="576" t="s">
        <v>603</v>
      </c>
      <c r="I532" s="576"/>
      <c r="J532" s="576"/>
      <c r="K532" s="576"/>
      <c r="L532" s="232"/>
      <c r="M532" s="250"/>
      <c r="N532" s="232"/>
      <c r="O532" s="598">
        <v>2.3284349999999999E-2</v>
      </c>
    </row>
    <row r="533" spans="2:15" outlineLevel="2">
      <c r="B533" s="242"/>
      <c r="C533" s="242"/>
      <c r="D533" s="251"/>
      <c r="E533" s="232"/>
      <c r="F533" s="250"/>
      <c r="G533" s="232"/>
      <c r="H533" s="249"/>
      <c r="I533" s="249"/>
      <c r="J533" s="249"/>
      <c r="K533" s="249"/>
      <c r="L533" s="232"/>
      <c r="M533" s="250"/>
      <c r="N533" s="232"/>
      <c r="O533" s="344"/>
    </row>
    <row r="534" spans="2:15" outlineLevel="2">
      <c r="B534" s="242"/>
      <c r="C534" s="242"/>
      <c r="D534" s="251"/>
      <c r="E534" s="232"/>
      <c r="F534" s="250"/>
      <c r="G534" s="232"/>
      <c r="H534" s="584"/>
      <c r="I534" s="584"/>
      <c r="J534" s="584"/>
      <c r="K534" s="584"/>
      <c r="L534" s="232"/>
      <c r="M534" s="250"/>
      <c r="N534" s="232"/>
      <c r="O534" s="570"/>
    </row>
    <row r="535" spans="2:15" outlineLevel="2">
      <c r="B535" s="242"/>
      <c r="C535" s="242" t="s">
        <v>182</v>
      </c>
      <c r="D535" s="251" t="s">
        <v>766</v>
      </c>
      <c r="E535" s="232"/>
      <c r="F535" s="250"/>
      <c r="G535" s="232"/>
      <c r="H535" s="583" t="s">
        <v>44</v>
      </c>
      <c r="I535" s="583"/>
      <c r="J535" s="583"/>
      <c r="K535" s="583"/>
      <c r="L535" s="232"/>
      <c r="M535" s="250"/>
      <c r="N535" s="232"/>
      <c r="O535" s="579">
        <v>0.10269917259520001</v>
      </c>
    </row>
    <row r="536" spans="2:15" outlineLevel="2">
      <c r="B536" s="242"/>
      <c r="C536" s="242" t="s">
        <v>182</v>
      </c>
      <c r="D536" s="251" t="s">
        <v>766</v>
      </c>
      <c r="E536" s="232"/>
      <c r="F536" s="250"/>
      <c r="G536" s="232"/>
      <c r="H536" s="583" t="s">
        <v>66</v>
      </c>
      <c r="I536" s="583"/>
      <c r="J536" s="583"/>
      <c r="K536" s="583"/>
      <c r="L536" s="232"/>
      <c r="M536" s="250"/>
      <c r="N536" s="232"/>
      <c r="O536" s="579">
        <v>0.12323900711424056</v>
      </c>
    </row>
    <row r="537" spans="2:15" outlineLevel="2">
      <c r="B537" s="242"/>
      <c r="C537" s="242" t="s">
        <v>182</v>
      </c>
      <c r="D537" s="251" t="s">
        <v>766</v>
      </c>
      <c r="E537" s="232"/>
      <c r="F537" s="250"/>
      <c r="G537" s="232"/>
      <c r="H537" s="249" t="s">
        <v>106</v>
      </c>
      <c r="I537" s="249"/>
      <c r="J537" s="249"/>
      <c r="K537" s="249"/>
      <c r="L537" s="232"/>
      <c r="M537" s="250"/>
      <c r="N537" s="232"/>
      <c r="O537" s="579">
        <v>2.1000000000000001E-2</v>
      </c>
    </row>
    <row r="538" spans="2:15" outlineLevel="2">
      <c r="B538" s="242"/>
      <c r="C538" s="242" t="s">
        <v>182</v>
      </c>
      <c r="D538" s="251" t="s">
        <v>766</v>
      </c>
      <c r="E538" s="232"/>
      <c r="F538" s="250"/>
      <c r="G538" s="232"/>
      <c r="H538" s="583" t="s">
        <v>107</v>
      </c>
      <c r="I538" s="583"/>
      <c r="J538" s="583"/>
      <c r="K538" s="583"/>
      <c r="L538" s="232"/>
      <c r="M538" s="250"/>
      <c r="N538" s="232"/>
      <c r="O538" s="579">
        <v>4.2000000000000003E-2</v>
      </c>
    </row>
    <row r="539" spans="2:15" outlineLevel="2">
      <c r="B539" s="242"/>
      <c r="C539" s="242" t="s">
        <v>182</v>
      </c>
      <c r="D539" s="251" t="s">
        <v>766</v>
      </c>
      <c r="E539" s="232"/>
      <c r="F539" s="250"/>
      <c r="G539" s="232"/>
      <c r="H539" s="566" t="s">
        <v>595</v>
      </c>
      <c r="I539" s="566"/>
      <c r="J539" s="566"/>
      <c r="K539" s="566"/>
      <c r="L539" s="232"/>
      <c r="M539" s="250"/>
      <c r="N539" s="232"/>
      <c r="O539" s="579">
        <v>5.2499999999999998E-2</v>
      </c>
    </row>
    <row r="540" spans="2:15" outlineLevel="2">
      <c r="B540" s="242"/>
      <c r="C540" s="242"/>
      <c r="D540" s="249"/>
      <c r="E540" s="232"/>
      <c r="F540" s="250"/>
      <c r="G540" s="232"/>
      <c r="H540" s="562"/>
      <c r="I540" s="562"/>
      <c r="J540" s="562"/>
      <c r="K540" s="562"/>
      <c r="L540" s="232"/>
      <c r="M540" s="250"/>
      <c r="N540" s="232"/>
      <c r="O540" s="570"/>
    </row>
    <row r="541" spans="2:15" ht="3" customHeight="1" outlineLevel="1">
      <c r="B541" s="242"/>
      <c r="C541" s="242"/>
      <c r="D541" s="249"/>
      <c r="E541" s="232"/>
      <c r="F541" s="250"/>
      <c r="G541" s="232"/>
      <c r="H541" s="569"/>
      <c r="I541" s="569"/>
      <c r="J541" s="569"/>
      <c r="K541" s="569"/>
      <c r="L541" s="232"/>
      <c r="M541" s="250"/>
      <c r="N541" s="232"/>
      <c r="O541" s="570"/>
    </row>
    <row r="542" spans="2:15" s="234" customFormat="1" outlineLevel="1">
      <c r="B542" s="235" t="s">
        <v>620</v>
      </c>
      <c r="C542" s="235"/>
      <c r="D542" s="235"/>
      <c r="E542" s="232"/>
      <c r="F542" s="250"/>
      <c r="G542" s="232"/>
      <c r="H542" s="236">
        <f>COUNTA(H543:H555)</f>
        <v>10</v>
      </c>
      <c r="I542" s="236"/>
      <c r="J542" s="236"/>
      <c r="K542" s="236"/>
      <c r="L542" s="232"/>
      <c r="M542" s="250"/>
      <c r="N542" s="232"/>
      <c r="O542" s="260">
        <f>SUM(O543:O555)</f>
        <v>1.8335089521167911</v>
      </c>
    </row>
    <row r="543" spans="2:15" outlineLevel="2">
      <c r="B543" s="242"/>
      <c r="C543" s="242" t="s">
        <v>620</v>
      </c>
      <c r="D543" s="251" t="s">
        <v>27</v>
      </c>
      <c r="E543" s="232"/>
      <c r="F543" s="250"/>
      <c r="G543" s="232"/>
      <c r="H543" s="566" t="s">
        <v>792</v>
      </c>
      <c r="I543" s="566"/>
      <c r="J543" s="566"/>
      <c r="K543" s="566"/>
      <c r="L543" s="232"/>
      <c r="M543" s="250"/>
      <c r="N543" s="232"/>
      <c r="O543" s="563">
        <v>0.14000000000000001</v>
      </c>
    </row>
    <row r="544" spans="2:15" outlineLevel="2">
      <c r="B544" s="242"/>
      <c r="C544" s="242" t="s">
        <v>620</v>
      </c>
      <c r="D544" s="251" t="s">
        <v>27</v>
      </c>
      <c r="E544" s="232"/>
      <c r="F544" s="250"/>
      <c r="G544" s="232"/>
      <c r="H544" s="566" t="s">
        <v>178</v>
      </c>
      <c r="I544" s="566"/>
      <c r="J544" s="566"/>
      <c r="K544" s="566"/>
      <c r="L544" s="232"/>
      <c r="M544" s="250"/>
      <c r="N544" s="232"/>
      <c r="O544" s="563">
        <v>0.17350895211679071</v>
      </c>
    </row>
    <row r="545" spans="2:15" outlineLevel="2" collapsed="1">
      <c r="B545" s="242"/>
      <c r="C545" s="242" t="s">
        <v>620</v>
      </c>
      <c r="D545" s="251" t="s">
        <v>27</v>
      </c>
      <c r="E545" s="232"/>
      <c r="F545" s="250"/>
      <c r="G545" s="232"/>
      <c r="H545" s="566" t="s">
        <v>107</v>
      </c>
      <c r="I545" s="566"/>
      <c r="J545" s="566"/>
      <c r="K545" s="566"/>
      <c r="L545" s="232"/>
      <c r="M545" s="250"/>
      <c r="N545" s="232"/>
      <c r="O545" s="563">
        <v>0.05</v>
      </c>
    </row>
    <row r="546" spans="2:15" outlineLevel="2">
      <c r="B546" s="242"/>
      <c r="C546" s="242" t="s">
        <v>620</v>
      </c>
      <c r="D546" s="251" t="s">
        <v>27</v>
      </c>
      <c r="E546" s="232"/>
      <c r="F546" s="250"/>
      <c r="G546" s="232"/>
      <c r="H546" s="566" t="s">
        <v>106</v>
      </c>
      <c r="I546" s="566"/>
      <c r="J546" s="566"/>
      <c r="K546" s="566"/>
      <c r="L546" s="232"/>
      <c r="M546" s="250"/>
      <c r="N546" s="232"/>
      <c r="O546" s="563">
        <v>7.0000000000000007E-2</v>
      </c>
    </row>
    <row r="547" spans="2:15" outlineLevel="2">
      <c r="B547" s="242"/>
      <c r="C547" s="242" t="s">
        <v>620</v>
      </c>
      <c r="D547" s="251" t="s">
        <v>27</v>
      </c>
      <c r="E547" s="232"/>
      <c r="F547" s="250"/>
      <c r="G547" s="232"/>
      <c r="H547" s="566" t="s">
        <v>88</v>
      </c>
      <c r="I547" s="566"/>
      <c r="J547" s="566"/>
      <c r="K547" s="566"/>
      <c r="L547" s="232"/>
      <c r="M547" s="250"/>
      <c r="N547" s="232"/>
      <c r="O547" s="563">
        <v>0.02</v>
      </c>
    </row>
    <row r="548" spans="2:15" outlineLevel="2">
      <c r="B548" s="242"/>
      <c r="C548" s="242"/>
      <c r="D548" s="251"/>
      <c r="E548" s="232"/>
      <c r="F548" s="250"/>
      <c r="G548" s="232"/>
      <c r="H548" s="566"/>
      <c r="I548" s="566"/>
      <c r="J548" s="566"/>
      <c r="K548" s="566"/>
      <c r="L548" s="232"/>
      <c r="M548" s="250"/>
      <c r="N548" s="232"/>
      <c r="O548" s="563"/>
    </row>
    <row r="549" spans="2:15" outlineLevel="2">
      <c r="B549" s="242"/>
      <c r="C549" s="242"/>
      <c r="D549" s="249"/>
      <c r="E549" s="232"/>
      <c r="F549" s="250"/>
      <c r="G549" s="232"/>
      <c r="H549" s="566"/>
      <c r="I549" s="566"/>
      <c r="J549" s="566"/>
      <c r="K549" s="566"/>
      <c r="L549" s="232"/>
      <c r="M549" s="250"/>
      <c r="N549" s="232"/>
      <c r="O549" s="563"/>
    </row>
    <row r="550" spans="2:15" outlineLevel="2">
      <c r="B550" s="242"/>
      <c r="C550" s="242" t="s">
        <v>620</v>
      </c>
      <c r="D550" s="257" t="s">
        <v>793</v>
      </c>
      <c r="E550" s="232"/>
      <c r="F550" s="250"/>
      <c r="G550" s="232"/>
      <c r="H550" s="566" t="s">
        <v>23</v>
      </c>
      <c r="I550" s="566"/>
      <c r="J550" s="566"/>
      <c r="K550" s="566"/>
      <c r="L550" s="232"/>
      <c r="M550" s="250"/>
      <c r="N550" s="232"/>
      <c r="O550" s="275">
        <v>0.3</v>
      </c>
    </row>
    <row r="551" spans="2:15" outlineLevel="2">
      <c r="B551" s="242"/>
      <c r="C551" s="242" t="s">
        <v>620</v>
      </c>
      <c r="D551" s="257" t="s">
        <v>793</v>
      </c>
      <c r="E551" s="232"/>
      <c r="F551" s="250"/>
      <c r="G551" s="232"/>
      <c r="H551" s="566" t="s">
        <v>65</v>
      </c>
      <c r="I551" s="566"/>
      <c r="J551" s="566"/>
      <c r="K551" s="566"/>
      <c r="L551" s="232"/>
      <c r="M551" s="250"/>
      <c r="N551" s="232"/>
      <c r="O551" s="275">
        <v>0.91</v>
      </c>
    </row>
    <row r="552" spans="2:15" outlineLevel="2">
      <c r="B552" s="242"/>
      <c r="C552" s="242"/>
      <c r="D552" s="257"/>
      <c r="E552" s="232"/>
      <c r="F552" s="250"/>
      <c r="G552" s="232"/>
      <c r="H552" s="566"/>
      <c r="I552" s="566"/>
      <c r="J552" s="566"/>
      <c r="K552" s="566"/>
      <c r="L552" s="232"/>
      <c r="M552" s="250"/>
      <c r="N552" s="232"/>
      <c r="O552" s="563"/>
    </row>
    <row r="553" spans="2:15" outlineLevel="2">
      <c r="B553" s="242"/>
      <c r="C553" s="242" t="s">
        <v>620</v>
      </c>
      <c r="D553" s="257" t="s">
        <v>766</v>
      </c>
      <c r="E553" s="232"/>
      <c r="F553" s="250"/>
      <c r="G553" s="232"/>
      <c r="H553" s="566" t="s">
        <v>107</v>
      </c>
      <c r="I553" s="566"/>
      <c r="J553" s="566"/>
      <c r="K553" s="566"/>
      <c r="L553" s="232"/>
      <c r="M553" s="250"/>
      <c r="N553" s="232"/>
      <c r="O553" s="563">
        <v>0.06</v>
      </c>
    </row>
    <row r="554" spans="2:15" outlineLevel="2">
      <c r="B554" s="242"/>
      <c r="C554" s="242" t="s">
        <v>620</v>
      </c>
      <c r="D554" s="257" t="s">
        <v>766</v>
      </c>
      <c r="E554" s="232"/>
      <c r="F554" s="250"/>
      <c r="G554" s="232"/>
      <c r="H554" s="566" t="s">
        <v>106</v>
      </c>
      <c r="I554" s="566"/>
      <c r="J554" s="566"/>
      <c r="K554" s="566"/>
      <c r="L554" s="232"/>
      <c r="M554" s="250"/>
      <c r="N554" s="232"/>
      <c r="O554" s="563">
        <v>0.03</v>
      </c>
    </row>
    <row r="555" spans="2:15" outlineLevel="2">
      <c r="B555" s="242"/>
      <c r="C555" s="242" t="s">
        <v>620</v>
      </c>
      <c r="D555" s="257" t="s">
        <v>766</v>
      </c>
      <c r="E555" s="232"/>
      <c r="F555" s="250"/>
      <c r="G555" s="232"/>
      <c r="H555" s="566" t="s">
        <v>108</v>
      </c>
      <c r="I555" s="566"/>
      <c r="J555" s="566"/>
      <c r="K555" s="566"/>
      <c r="L555" s="232"/>
      <c r="M555" s="250"/>
      <c r="N555" s="232"/>
      <c r="O555" s="563">
        <v>0.08</v>
      </c>
    </row>
    <row r="556" spans="2:15" ht="3" customHeight="1" outlineLevel="1">
      <c r="B556" s="242"/>
      <c r="C556" s="242"/>
      <c r="D556" s="249"/>
      <c r="E556" s="232"/>
      <c r="F556" s="250"/>
      <c r="G556" s="232"/>
      <c r="H556" s="569"/>
      <c r="I556" s="569"/>
      <c r="J556" s="569"/>
      <c r="K556" s="569"/>
      <c r="L556" s="232"/>
      <c r="M556" s="250"/>
      <c r="N556" s="232"/>
      <c r="O556" s="570"/>
    </row>
    <row r="557" spans="2:15" s="234" customFormat="1" outlineLevel="1">
      <c r="B557" s="235" t="s">
        <v>570</v>
      </c>
      <c r="C557" s="235"/>
      <c r="D557" s="235"/>
      <c r="E557" s="232"/>
      <c r="F557" s="250"/>
      <c r="G557" s="232"/>
      <c r="H557" s="236">
        <f>COUNTA(H558:H569)</f>
        <v>9</v>
      </c>
      <c r="I557" s="236"/>
      <c r="J557" s="236"/>
      <c r="K557" s="236"/>
      <c r="L557" s="232"/>
      <c r="M557" s="250"/>
      <c r="N557" s="232"/>
      <c r="O557" s="260">
        <f>SUM(O558:O569)</f>
        <v>5.6307479699999998</v>
      </c>
    </row>
    <row r="558" spans="2:15" outlineLevel="2">
      <c r="B558" s="242"/>
      <c r="C558" s="242" t="s">
        <v>571</v>
      </c>
      <c r="D558" s="231" t="s">
        <v>27</v>
      </c>
      <c r="E558" s="232"/>
      <c r="F558" s="250"/>
      <c r="G558" s="232"/>
      <c r="H558" s="599" t="s">
        <v>31</v>
      </c>
      <c r="I558" s="599"/>
      <c r="J558" s="599"/>
      <c r="K558" s="599"/>
      <c r="L558" s="232"/>
      <c r="M558" s="250"/>
      <c r="N558" s="232"/>
      <c r="O558" s="563">
        <v>0.97</v>
      </c>
    </row>
    <row r="559" spans="2:15" outlineLevel="2">
      <c r="B559" s="242"/>
      <c r="C559" s="242" t="s">
        <v>571</v>
      </c>
      <c r="D559" s="231" t="s">
        <v>27</v>
      </c>
      <c r="E559" s="232"/>
      <c r="F559" s="250"/>
      <c r="G559" s="232"/>
      <c r="H559" s="599" t="s">
        <v>59</v>
      </c>
      <c r="I559" s="599"/>
      <c r="J559" s="599"/>
      <c r="K559" s="599"/>
      <c r="L559" s="232"/>
      <c r="M559" s="250"/>
      <c r="N559" s="232"/>
      <c r="O559" s="563">
        <v>0.97</v>
      </c>
    </row>
    <row r="560" spans="2:15" outlineLevel="2">
      <c r="B560" s="242"/>
      <c r="C560" s="242" t="s">
        <v>571</v>
      </c>
      <c r="D560" s="231" t="s">
        <v>27</v>
      </c>
      <c r="E560" s="232"/>
      <c r="F560" s="250"/>
      <c r="G560" s="232"/>
      <c r="H560" s="588" t="s">
        <v>32</v>
      </c>
      <c r="I560" s="588"/>
      <c r="J560" s="588"/>
      <c r="K560" s="588"/>
      <c r="L560" s="232"/>
      <c r="M560" s="250"/>
      <c r="N560" s="232"/>
      <c r="O560" s="563">
        <v>0.48</v>
      </c>
    </row>
    <row r="561" spans="2:15" outlineLevel="2">
      <c r="B561" s="242"/>
      <c r="C561" s="242" t="s">
        <v>571</v>
      </c>
      <c r="D561" s="231" t="s">
        <v>27</v>
      </c>
      <c r="E561" s="232"/>
      <c r="F561" s="250"/>
      <c r="G561" s="232"/>
      <c r="H561" s="280" t="s">
        <v>170</v>
      </c>
      <c r="I561" s="280"/>
      <c r="J561" s="280"/>
      <c r="K561" s="280"/>
      <c r="L561" s="232"/>
      <c r="M561" s="250"/>
      <c r="N561" s="232"/>
      <c r="O561" s="563">
        <v>0.48</v>
      </c>
    </row>
    <row r="562" spans="2:15" outlineLevel="2">
      <c r="B562" s="242"/>
      <c r="C562" s="242"/>
      <c r="D562" s="249"/>
      <c r="E562" s="232"/>
      <c r="F562" s="250"/>
      <c r="G562" s="232"/>
      <c r="H562" s="247"/>
      <c r="I562" s="247"/>
      <c r="J562" s="247"/>
      <c r="K562" s="247"/>
      <c r="L562" s="232"/>
      <c r="M562" s="250"/>
      <c r="N562" s="232"/>
      <c r="O562" s="311"/>
    </row>
    <row r="563" spans="2:15" outlineLevel="2">
      <c r="B563" s="242"/>
      <c r="C563" s="242" t="s">
        <v>794</v>
      </c>
      <c r="D563" s="231" t="s">
        <v>27</v>
      </c>
      <c r="E563" s="232"/>
      <c r="F563" s="250"/>
      <c r="G563" s="232"/>
      <c r="H563" s="599" t="s">
        <v>31</v>
      </c>
      <c r="I563" s="599"/>
      <c r="J563" s="599"/>
      <c r="K563" s="599"/>
      <c r="L563" s="232"/>
      <c r="M563" s="250"/>
      <c r="N563" s="232"/>
      <c r="O563" s="563">
        <v>0.57967523600000004</v>
      </c>
    </row>
    <row r="564" spans="2:15" outlineLevel="2">
      <c r="B564" s="242"/>
      <c r="C564" s="242" t="s">
        <v>794</v>
      </c>
      <c r="D564" s="231" t="s">
        <v>27</v>
      </c>
      <c r="E564" s="232"/>
      <c r="F564" s="250"/>
      <c r="G564" s="232"/>
      <c r="H564" s="588" t="s">
        <v>32</v>
      </c>
      <c r="I564" s="588"/>
      <c r="J564" s="588"/>
      <c r="K564" s="588"/>
      <c r="L564" s="232"/>
      <c r="M564" s="250"/>
      <c r="N564" s="232"/>
      <c r="O564" s="563">
        <v>0.57967523600000004</v>
      </c>
    </row>
    <row r="565" spans="2:15" outlineLevel="2">
      <c r="B565" s="242"/>
      <c r="C565" s="242"/>
      <c r="D565" s="249"/>
      <c r="E565" s="232"/>
      <c r="F565" s="250"/>
      <c r="G565" s="232"/>
      <c r="H565" s="247"/>
      <c r="I565" s="247"/>
      <c r="J565" s="247"/>
      <c r="K565" s="247"/>
      <c r="L565" s="232"/>
      <c r="M565" s="250"/>
      <c r="N565" s="232"/>
      <c r="O565" s="311"/>
    </row>
    <row r="566" spans="2:15" outlineLevel="2">
      <c r="B566" s="242"/>
      <c r="C566" s="242" t="s">
        <v>571</v>
      </c>
      <c r="D566" s="249" t="s">
        <v>766</v>
      </c>
      <c r="E566" s="232"/>
      <c r="F566" s="250"/>
      <c r="G566" s="232"/>
      <c r="H566" s="568" t="s">
        <v>31</v>
      </c>
      <c r="I566" s="568"/>
      <c r="J566" s="568"/>
      <c r="K566" s="568"/>
      <c r="L566" s="232"/>
      <c r="M566" s="250"/>
      <c r="N566" s="232"/>
      <c r="O566" s="572">
        <v>0.81379484999999996</v>
      </c>
    </row>
    <row r="567" spans="2:15" outlineLevel="2">
      <c r="B567" s="242"/>
      <c r="C567" s="242" t="s">
        <v>571</v>
      </c>
      <c r="D567" s="249" t="s">
        <v>766</v>
      </c>
      <c r="E567" s="232"/>
      <c r="F567" s="250"/>
      <c r="G567" s="232"/>
      <c r="H567" s="589" t="s">
        <v>170</v>
      </c>
      <c r="I567" s="589"/>
      <c r="J567" s="589"/>
      <c r="K567" s="589"/>
      <c r="L567" s="232"/>
      <c r="M567" s="250"/>
      <c r="N567" s="232"/>
      <c r="O567" s="572">
        <v>0.27126495</v>
      </c>
    </row>
    <row r="568" spans="2:15" outlineLevel="2">
      <c r="B568" s="242"/>
      <c r="C568" s="242"/>
      <c r="D568" s="249"/>
      <c r="E568" s="232"/>
      <c r="F568" s="250"/>
      <c r="G568" s="232"/>
      <c r="H568" s="247"/>
      <c r="I568" s="247"/>
      <c r="J568" s="247"/>
      <c r="K568" s="247"/>
      <c r="L568" s="232"/>
      <c r="M568" s="250"/>
      <c r="N568" s="232"/>
      <c r="O568" s="311"/>
    </row>
    <row r="569" spans="2:15" outlineLevel="2">
      <c r="B569" s="242"/>
      <c r="C569" s="242" t="s">
        <v>794</v>
      </c>
      <c r="D569" s="249" t="s">
        <v>766</v>
      </c>
      <c r="E569" s="232"/>
      <c r="F569" s="250"/>
      <c r="G569" s="232"/>
      <c r="H569" s="568" t="s">
        <v>31</v>
      </c>
      <c r="I569" s="568"/>
      <c r="J569" s="568"/>
      <c r="K569" s="568"/>
      <c r="L569" s="232"/>
      <c r="M569" s="250"/>
      <c r="N569" s="232"/>
      <c r="O569" s="572">
        <v>0.48633769799999993</v>
      </c>
    </row>
    <row r="570" spans="2:15" ht="3" customHeight="1" outlineLevel="1">
      <c r="B570" s="242"/>
      <c r="C570" s="242"/>
      <c r="D570" s="249"/>
      <c r="E570" s="232"/>
      <c r="F570" s="250"/>
      <c r="G570" s="232"/>
      <c r="H570" s="582"/>
      <c r="I570" s="582"/>
      <c r="J570" s="582"/>
      <c r="K570" s="582"/>
      <c r="L570" s="232"/>
      <c r="M570" s="250"/>
      <c r="N570" s="232"/>
      <c r="O570" s="581"/>
    </row>
    <row r="571" spans="2:15" s="234" customFormat="1" outlineLevel="1">
      <c r="B571" s="267" t="s">
        <v>795</v>
      </c>
      <c r="C571" s="235"/>
      <c r="D571" s="235"/>
      <c r="E571" s="232"/>
      <c r="F571" s="250"/>
      <c r="G571" s="232"/>
      <c r="H571" s="236"/>
      <c r="I571" s="236"/>
      <c r="J571" s="236"/>
      <c r="K571" s="236"/>
      <c r="L571" s="232"/>
      <c r="M571" s="250"/>
      <c r="N571" s="232"/>
      <c r="O571" s="260"/>
    </row>
    <row r="572" spans="2:15" ht="3" customHeight="1" outlineLevel="1">
      <c r="B572" s="242"/>
      <c r="C572" s="242"/>
      <c r="D572" s="249"/>
      <c r="E572" s="232"/>
      <c r="F572" s="250"/>
      <c r="G572" s="232"/>
      <c r="H572" s="569"/>
      <c r="I572" s="569"/>
      <c r="J572" s="569"/>
      <c r="K572" s="569"/>
      <c r="L572" s="232"/>
      <c r="M572" s="250"/>
      <c r="N572" s="232"/>
      <c r="O572" s="570"/>
    </row>
    <row r="573" spans="2:15" s="234" customFormat="1" outlineLevel="1">
      <c r="B573" s="267" t="s">
        <v>273</v>
      </c>
      <c r="C573" s="235"/>
      <c r="D573" s="235"/>
      <c r="E573" s="232"/>
      <c r="F573" s="250"/>
      <c r="G573" s="232"/>
      <c r="H573" s="236"/>
      <c r="I573" s="236"/>
      <c r="J573" s="236"/>
      <c r="K573" s="236"/>
      <c r="L573" s="232"/>
      <c r="M573" s="250"/>
      <c r="N573" s="232"/>
      <c r="O573" s="260"/>
    </row>
    <row r="574" spans="2:15" ht="3" customHeight="1" outlineLevel="1">
      <c r="B574" s="242"/>
      <c r="C574" s="242"/>
      <c r="D574" s="249"/>
      <c r="E574" s="232"/>
      <c r="F574" s="250"/>
      <c r="G574" s="232"/>
      <c r="H574" s="582"/>
      <c r="I574" s="582"/>
      <c r="J574" s="582"/>
      <c r="K574" s="582"/>
      <c r="L574" s="232"/>
      <c r="M574" s="250"/>
      <c r="N574" s="232"/>
      <c r="O574" s="581"/>
    </row>
    <row r="575" spans="2:15" s="234" customFormat="1" outlineLevel="1">
      <c r="B575" s="235" t="s">
        <v>340</v>
      </c>
      <c r="C575" s="235"/>
      <c r="D575" s="235"/>
      <c r="E575" s="232"/>
      <c r="F575" s="250"/>
      <c r="G575" s="232"/>
      <c r="H575" s="236">
        <f>COUNTA(H576:H584)</f>
        <v>3</v>
      </c>
      <c r="I575" s="236"/>
      <c r="J575" s="236"/>
      <c r="K575" s="236"/>
      <c r="L575" s="232"/>
      <c r="M575" s="250"/>
      <c r="N575" s="232"/>
      <c r="O575" s="260">
        <f>SUM(O576:O584)</f>
        <v>3.0649999999999999</v>
      </c>
    </row>
    <row r="576" spans="2:15" outlineLevel="2">
      <c r="B576" s="242"/>
      <c r="C576" s="242" t="s">
        <v>340</v>
      </c>
      <c r="D576" s="249" t="s">
        <v>766</v>
      </c>
      <c r="E576" s="232"/>
      <c r="F576" s="250"/>
      <c r="G576" s="232"/>
      <c r="H576" s="568"/>
      <c r="I576" s="568"/>
      <c r="J576" s="568"/>
      <c r="K576" s="568"/>
      <c r="L576" s="232"/>
      <c r="M576" s="250"/>
      <c r="N576" s="232"/>
      <c r="O576" s="572"/>
    </row>
    <row r="577" spans="2:15" outlineLevel="2">
      <c r="B577" s="242"/>
      <c r="C577" s="242" t="s">
        <v>340</v>
      </c>
      <c r="D577" s="249" t="s">
        <v>766</v>
      </c>
      <c r="E577" s="232"/>
      <c r="F577" s="250"/>
      <c r="G577" s="232"/>
      <c r="H577" s="559"/>
      <c r="I577" s="559"/>
      <c r="J577" s="559"/>
      <c r="K577" s="559"/>
      <c r="L577" s="232"/>
      <c r="M577" s="250"/>
      <c r="N577" s="232"/>
      <c r="O577" s="585"/>
    </row>
    <row r="578" spans="2:15" outlineLevel="2">
      <c r="B578" s="242"/>
      <c r="C578" s="242"/>
      <c r="D578" s="249"/>
      <c r="E578" s="232"/>
      <c r="F578" s="250"/>
      <c r="G578" s="232"/>
      <c r="H578" s="247"/>
      <c r="I578" s="247"/>
      <c r="J578" s="247"/>
      <c r="K578" s="247"/>
      <c r="L578" s="232"/>
      <c r="M578" s="250"/>
      <c r="N578" s="232"/>
      <c r="O578" s="311"/>
    </row>
    <row r="579" spans="2:15" outlineLevel="2">
      <c r="B579" s="242"/>
      <c r="C579" s="242" t="s">
        <v>340</v>
      </c>
      <c r="D579" s="249" t="s">
        <v>27</v>
      </c>
      <c r="E579" s="232"/>
      <c r="F579" s="250"/>
      <c r="G579" s="232"/>
      <c r="H579" s="599"/>
      <c r="I579" s="599"/>
      <c r="J579" s="599"/>
      <c r="K579" s="599"/>
      <c r="L579" s="232"/>
      <c r="M579" s="250"/>
      <c r="N579" s="232"/>
      <c r="O579" s="563"/>
    </row>
    <row r="580" spans="2:15" outlineLevel="2">
      <c r="B580" s="242"/>
      <c r="C580" s="242" t="s">
        <v>340</v>
      </c>
      <c r="D580" s="249" t="s">
        <v>27</v>
      </c>
      <c r="E580" s="232"/>
      <c r="F580" s="250"/>
      <c r="G580" s="232"/>
      <c r="H580" s="280"/>
      <c r="I580" s="280"/>
      <c r="J580" s="280"/>
      <c r="K580" s="280"/>
      <c r="L580" s="232"/>
      <c r="M580" s="250"/>
      <c r="N580" s="232"/>
      <c r="O580" s="311"/>
    </row>
    <row r="581" spans="2:15" outlineLevel="2">
      <c r="B581" s="242"/>
      <c r="C581" s="242"/>
      <c r="D581" s="249"/>
      <c r="E581" s="232"/>
      <c r="F581" s="250"/>
      <c r="G581" s="232"/>
      <c r="H581" s="568"/>
      <c r="I581" s="568"/>
      <c r="J581" s="568"/>
      <c r="K581" s="568"/>
      <c r="L581" s="232"/>
      <c r="M581" s="250"/>
      <c r="N581" s="232"/>
      <c r="O581" s="572"/>
    </row>
    <row r="582" spans="2:15" outlineLevel="2">
      <c r="B582" s="242"/>
      <c r="C582" s="242" t="s">
        <v>340</v>
      </c>
      <c r="D582" s="249" t="s">
        <v>793</v>
      </c>
      <c r="E582" s="232"/>
      <c r="F582" s="250"/>
      <c r="G582" s="232"/>
      <c r="H582" s="559" t="s">
        <v>284</v>
      </c>
      <c r="I582" s="559"/>
      <c r="J582" s="559"/>
      <c r="K582" s="559"/>
      <c r="L582" s="232"/>
      <c r="M582" s="250"/>
      <c r="N582" s="232"/>
      <c r="O582" s="585">
        <v>1.02</v>
      </c>
    </row>
    <row r="583" spans="2:15" outlineLevel="2">
      <c r="B583" s="242"/>
      <c r="C583" s="242" t="s">
        <v>340</v>
      </c>
      <c r="D583" s="249" t="s">
        <v>793</v>
      </c>
      <c r="E583" s="232"/>
      <c r="F583" s="250"/>
      <c r="G583" s="232"/>
      <c r="H583" s="588" t="s">
        <v>31</v>
      </c>
      <c r="I583" s="588"/>
      <c r="J583" s="588"/>
      <c r="K583" s="588"/>
      <c r="L583" s="232"/>
      <c r="M583" s="250"/>
      <c r="N583" s="232"/>
      <c r="O583" s="587">
        <v>1.0225</v>
      </c>
    </row>
    <row r="584" spans="2:15" outlineLevel="2">
      <c r="B584" s="242"/>
      <c r="C584" s="242" t="s">
        <v>340</v>
      </c>
      <c r="D584" s="249" t="s">
        <v>793</v>
      </c>
      <c r="E584" s="232"/>
      <c r="F584" s="250"/>
      <c r="G584" s="232"/>
      <c r="H584" s="559" t="s">
        <v>32</v>
      </c>
      <c r="I584" s="559"/>
      <c r="J584" s="559"/>
      <c r="K584" s="559"/>
      <c r="L584" s="232"/>
      <c r="M584" s="250"/>
      <c r="N584" s="232"/>
      <c r="O584" s="585">
        <v>1.0225</v>
      </c>
    </row>
    <row r="585" spans="2:15" ht="3" customHeight="1" outlineLevel="1">
      <c r="B585" s="242"/>
      <c r="C585" s="242"/>
      <c r="D585" s="249"/>
      <c r="E585" s="232"/>
      <c r="F585" s="250"/>
      <c r="G585" s="232"/>
      <c r="H585" s="582"/>
      <c r="I585" s="582"/>
      <c r="J585" s="582"/>
      <c r="K585" s="582"/>
      <c r="L585" s="232"/>
      <c r="M585" s="250"/>
      <c r="N585" s="232"/>
      <c r="O585" s="581"/>
    </row>
    <row r="586" spans="2:15" s="234" customFormat="1" outlineLevel="1">
      <c r="B586" s="267" t="s">
        <v>622</v>
      </c>
      <c r="C586" s="235"/>
      <c r="D586" s="235"/>
      <c r="E586" s="232"/>
      <c r="F586" s="250"/>
      <c r="G586" s="232"/>
      <c r="H586" s="236">
        <f>COUNTA(H587:H589)</f>
        <v>0</v>
      </c>
      <c r="I586" s="236"/>
      <c r="J586" s="236"/>
      <c r="K586" s="236"/>
      <c r="L586" s="232"/>
      <c r="M586" s="250"/>
      <c r="N586" s="232"/>
      <c r="O586" s="260">
        <f>SUM(O587:O589)</f>
        <v>0</v>
      </c>
    </row>
    <row r="587" spans="2:15" outlineLevel="2">
      <c r="B587" s="242"/>
      <c r="C587" s="242"/>
      <c r="D587" s="249"/>
      <c r="E587" s="232"/>
      <c r="F587" s="250"/>
      <c r="G587" s="232"/>
      <c r="H587" s="247"/>
      <c r="I587" s="247"/>
      <c r="J587" s="247"/>
      <c r="K587" s="247"/>
      <c r="L587" s="232"/>
      <c r="M587" s="250"/>
      <c r="N587" s="232"/>
      <c r="O587" s="311"/>
    </row>
    <row r="588" spans="2:15" outlineLevel="2">
      <c r="B588" s="242"/>
      <c r="C588" s="242"/>
      <c r="D588" s="249"/>
      <c r="E588" s="232"/>
      <c r="F588" s="250"/>
      <c r="G588" s="232"/>
      <c r="H588" s="247"/>
      <c r="I588" s="247"/>
      <c r="J588" s="247"/>
      <c r="K588" s="247"/>
      <c r="L588" s="232"/>
      <c r="M588" s="250"/>
      <c r="N588" s="232"/>
      <c r="O588" s="311"/>
    </row>
    <row r="589" spans="2:15" outlineLevel="2">
      <c r="B589" s="242"/>
      <c r="C589" s="242" t="s">
        <v>622</v>
      </c>
      <c r="D589" s="249" t="s">
        <v>793</v>
      </c>
      <c r="E589" s="232"/>
      <c r="F589" s="250"/>
      <c r="G589" s="232"/>
      <c r="H589" s="568"/>
      <c r="I589" s="568"/>
      <c r="J589" s="568"/>
      <c r="K589" s="568"/>
      <c r="L589" s="232"/>
      <c r="M589" s="250"/>
      <c r="N589" s="232"/>
      <c r="O589" s="572"/>
    </row>
    <row r="590" spans="2:15" ht="3" customHeight="1" outlineLevel="1">
      <c r="B590" s="242"/>
      <c r="C590" s="242"/>
      <c r="D590" s="249"/>
      <c r="E590" s="232"/>
      <c r="F590" s="250"/>
      <c r="G590" s="232"/>
      <c r="H590" s="582"/>
      <c r="I590" s="582"/>
      <c r="J590" s="582"/>
      <c r="K590" s="582"/>
      <c r="L590" s="232"/>
      <c r="M590" s="250"/>
      <c r="N590" s="232"/>
      <c r="O590" s="581"/>
    </row>
    <row r="591" spans="2:15" s="234" customFormat="1" outlineLevel="1">
      <c r="B591" s="235" t="s">
        <v>265</v>
      </c>
      <c r="C591" s="235"/>
      <c r="D591" s="235"/>
      <c r="E591" s="232"/>
      <c r="F591" s="250"/>
      <c r="G591" s="232"/>
      <c r="H591" s="236">
        <f>COUNTA(H592:H603)</f>
        <v>6</v>
      </c>
      <c r="I591" s="236"/>
      <c r="J591" s="236"/>
      <c r="K591" s="236"/>
      <c r="L591" s="232"/>
      <c r="M591" s="250"/>
      <c r="N591" s="232"/>
      <c r="O591" s="260">
        <f>SUM(O592:O603)</f>
        <v>2.6166961500000006</v>
      </c>
    </row>
    <row r="592" spans="2:15" outlineLevel="2">
      <c r="B592" s="242"/>
      <c r="C592" s="242" t="s">
        <v>265</v>
      </c>
      <c r="D592" s="249" t="s">
        <v>27</v>
      </c>
      <c r="E592" s="232"/>
      <c r="F592" s="250"/>
      <c r="G592" s="232"/>
      <c r="H592" s="568" t="s">
        <v>31</v>
      </c>
      <c r="I592" s="568"/>
      <c r="J592" s="568"/>
      <c r="K592" s="568"/>
      <c r="L592" s="232"/>
      <c r="M592" s="250"/>
      <c r="N592" s="232"/>
      <c r="O592" s="572">
        <v>2.8907049999999997E-2</v>
      </c>
    </row>
    <row r="593" spans="2:24" outlineLevel="2">
      <c r="B593" s="242"/>
      <c r="C593" s="242" t="s">
        <v>265</v>
      </c>
      <c r="D593" s="249" t="s">
        <v>27</v>
      </c>
      <c r="E593" s="232"/>
      <c r="F593" s="250"/>
      <c r="G593" s="232"/>
      <c r="H593" s="559" t="s">
        <v>32</v>
      </c>
      <c r="I593" s="559"/>
      <c r="J593" s="559"/>
      <c r="K593" s="559"/>
      <c r="L593" s="232"/>
      <c r="M593" s="250"/>
      <c r="N593" s="232"/>
      <c r="O593" s="585">
        <v>5.7814099999999993E-2</v>
      </c>
      <c r="P593" s="585"/>
      <c r="Q593" s="585"/>
      <c r="R593" s="585"/>
      <c r="S593" s="232"/>
      <c r="T593" s="250"/>
      <c r="U593" s="559"/>
      <c r="V593" s="559"/>
      <c r="W593" s="559"/>
      <c r="X593" s="559"/>
    </row>
    <row r="594" spans="2:24" outlineLevel="2">
      <c r="B594" s="242"/>
      <c r="C594" s="242" t="s">
        <v>265</v>
      </c>
      <c r="D594" s="249" t="s">
        <v>27</v>
      </c>
      <c r="E594" s="232"/>
      <c r="F594" s="250"/>
      <c r="G594" s="232"/>
      <c r="H594" s="568"/>
      <c r="I594" s="568"/>
      <c r="J594" s="568"/>
      <c r="K594" s="568"/>
      <c r="L594" s="232"/>
      <c r="M594" s="250"/>
      <c r="N594" s="232"/>
      <c r="O594" s="572"/>
      <c r="P594" s="572"/>
      <c r="Q594" s="572"/>
      <c r="R594" s="572"/>
      <c r="S594" s="232"/>
      <c r="T594" s="250"/>
      <c r="U594" s="559"/>
      <c r="V594" s="559"/>
      <c r="W594" s="559"/>
      <c r="X594" s="559"/>
    </row>
    <row r="595" spans="2:24" outlineLevel="2">
      <c r="B595" s="242"/>
      <c r="C595" s="242"/>
      <c r="D595" s="249"/>
      <c r="E595" s="232"/>
      <c r="F595" s="250"/>
      <c r="G595" s="232"/>
      <c r="H595" s="247"/>
      <c r="I595" s="247"/>
      <c r="J595" s="247"/>
      <c r="K595" s="247"/>
      <c r="L595" s="232"/>
      <c r="M595" s="250"/>
      <c r="N595" s="232"/>
      <c r="O595" s="311"/>
      <c r="P595" s="311"/>
      <c r="Q595" s="311"/>
      <c r="R595" s="311"/>
      <c r="S595" s="232"/>
      <c r="T595" s="250"/>
      <c r="U595" s="559"/>
      <c r="V595" s="559"/>
      <c r="W595" s="559"/>
      <c r="X595" s="559"/>
    </row>
    <row r="596" spans="2:24" outlineLevel="2">
      <c r="B596" s="242"/>
      <c r="C596" s="242" t="s">
        <v>265</v>
      </c>
      <c r="D596" s="249" t="s">
        <v>766</v>
      </c>
      <c r="E596" s="232"/>
      <c r="F596" s="250"/>
      <c r="G596" s="232"/>
      <c r="H596" s="599"/>
      <c r="I596" s="599"/>
      <c r="J596" s="599"/>
      <c r="K596" s="599"/>
      <c r="L596" s="232"/>
      <c r="M596" s="250"/>
      <c r="N596" s="232"/>
      <c r="O596" s="572"/>
      <c r="P596" s="572"/>
      <c r="Q596" s="572"/>
      <c r="R596" s="572"/>
      <c r="S596" s="232"/>
      <c r="T596" s="250"/>
      <c r="U596" s="559"/>
      <c r="V596" s="559"/>
      <c r="W596" s="559"/>
      <c r="X596" s="559"/>
    </row>
    <row r="597" spans="2:24" outlineLevel="2">
      <c r="B597" s="242"/>
      <c r="C597" s="242" t="s">
        <v>265</v>
      </c>
      <c r="D597" s="249" t="s">
        <v>766</v>
      </c>
      <c r="E597" s="232"/>
      <c r="F597" s="250"/>
      <c r="G597" s="232"/>
      <c r="H597" s="280"/>
      <c r="I597" s="280"/>
      <c r="J597" s="280"/>
      <c r="K597" s="280"/>
      <c r="L597" s="232"/>
      <c r="M597" s="250"/>
      <c r="N597" s="232"/>
      <c r="O597" s="311"/>
      <c r="P597" s="311"/>
      <c r="Q597" s="311"/>
      <c r="R597" s="311"/>
      <c r="S597" s="232"/>
      <c r="T597" s="250"/>
      <c r="U597" s="559"/>
      <c r="V597" s="559"/>
      <c r="W597" s="559"/>
      <c r="X597" s="559"/>
    </row>
    <row r="598" spans="2:24" outlineLevel="2">
      <c r="B598" s="242"/>
      <c r="C598" s="242" t="s">
        <v>265</v>
      </c>
      <c r="D598" s="249" t="s">
        <v>766</v>
      </c>
      <c r="E598" s="232"/>
      <c r="F598" s="250"/>
      <c r="G598" s="232"/>
      <c r="H598" s="599"/>
      <c r="I598" s="599"/>
      <c r="J598" s="599"/>
      <c r="K598" s="599"/>
      <c r="L598" s="232"/>
      <c r="M598" s="250"/>
      <c r="N598" s="232"/>
      <c r="O598" s="572"/>
      <c r="P598" s="572"/>
      <c r="Q598" s="572"/>
      <c r="R598" s="572"/>
      <c r="S598" s="232"/>
      <c r="T598" s="250"/>
      <c r="U598" s="559"/>
      <c r="V598" s="559"/>
      <c r="W598" s="559"/>
      <c r="X598" s="559"/>
    </row>
    <row r="599" spans="2:24" s="246" customFormat="1" outlineLevel="2">
      <c r="B599" s="320"/>
      <c r="C599" s="320"/>
      <c r="D599" s="321"/>
      <c r="E599" s="322"/>
      <c r="F599" s="323"/>
      <c r="G599" s="322"/>
      <c r="H599" s="359"/>
      <c r="I599" s="359"/>
      <c r="J599" s="359"/>
      <c r="K599" s="359"/>
      <c r="L599" s="322"/>
      <c r="M599" s="323"/>
      <c r="N599" s="322"/>
      <c r="O599" s="360"/>
      <c r="P599" s="360"/>
      <c r="Q599" s="360"/>
      <c r="R599" s="360"/>
      <c r="S599" s="322"/>
      <c r="T599" s="323"/>
      <c r="U599" s="600"/>
      <c r="V599" s="600"/>
      <c r="W599" s="600"/>
      <c r="X599" s="600"/>
    </row>
    <row r="600" spans="2:24" s="246" customFormat="1" outlineLevel="2">
      <c r="B600" s="320"/>
      <c r="C600" s="320" t="s">
        <v>265</v>
      </c>
      <c r="D600" s="321" t="s">
        <v>793</v>
      </c>
      <c r="E600" s="324"/>
      <c r="F600" s="325"/>
      <c r="G600" s="324"/>
      <c r="H600" s="601" t="s">
        <v>284</v>
      </c>
      <c r="I600" s="601"/>
      <c r="J600" s="601"/>
      <c r="K600" s="601"/>
      <c r="L600" s="324"/>
      <c r="M600" s="325"/>
      <c r="N600" s="324"/>
      <c r="O600" s="591">
        <v>0.24</v>
      </c>
      <c r="P600" s="591"/>
      <c r="Q600" s="591"/>
      <c r="R600" s="591"/>
      <c r="S600" s="324"/>
      <c r="T600" s="325"/>
      <c r="U600" s="600"/>
      <c r="V600" s="600"/>
      <c r="W600" s="600"/>
      <c r="X600" s="602">
        <f>SUM(R596:R598)</f>
        <v>0</v>
      </c>
    </row>
    <row r="601" spans="2:24" s="246" customFormat="1" outlineLevel="2">
      <c r="B601" s="320"/>
      <c r="C601" s="320" t="s">
        <v>265</v>
      </c>
      <c r="D601" s="321" t="s">
        <v>793</v>
      </c>
      <c r="E601" s="324"/>
      <c r="F601" s="325"/>
      <c r="G601" s="324"/>
      <c r="H601" s="600" t="s">
        <v>31</v>
      </c>
      <c r="I601" s="600"/>
      <c r="J601" s="600"/>
      <c r="K601" s="600"/>
      <c r="L601" s="324"/>
      <c r="M601" s="325"/>
      <c r="N601" s="324"/>
      <c r="O601" s="603">
        <v>1.0225000000000002</v>
      </c>
      <c r="P601" s="603"/>
      <c r="Q601" s="603"/>
      <c r="R601" s="603"/>
      <c r="S601" s="324"/>
      <c r="T601" s="325"/>
      <c r="U601" s="600"/>
      <c r="V601" s="600"/>
      <c r="W601" s="600"/>
      <c r="X601" s="600"/>
    </row>
    <row r="602" spans="2:24" s="246" customFormat="1" outlineLevel="2">
      <c r="B602" s="320"/>
      <c r="C602" s="320" t="s">
        <v>265</v>
      </c>
      <c r="D602" s="321" t="s">
        <v>793</v>
      </c>
      <c r="E602" s="324"/>
      <c r="F602" s="325"/>
      <c r="G602" s="324"/>
      <c r="H602" s="590" t="s">
        <v>32</v>
      </c>
      <c r="I602" s="590"/>
      <c r="J602" s="590"/>
      <c r="K602" s="590"/>
      <c r="L602" s="324"/>
      <c r="M602" s="325"/>
      <c r="N602" s="324"/>
      <c r="O602" s="591">
        <v>1.0225000000000002</v>
      </c>
      <c r="P602" s="591"/>
      <c r="Q602" s="591"/>
      <c r="R602" s="591"/>
      <c r="S602" s="324"/>
      <c r="T602" s="325"/>
      <c r="U602" s="600"/>
      <c r="V602" s="600"/>
      <c r="W602" s="600"/>
      <c r="X602" s="600"/>
    </row>
    <row r="603" spans="2:24" s="246" customFormat="1" outlineLevel="2">
      <c r="B603" s="320"/>
      <c r="C603" s="320" t="s">
        <v>265</v>
      </c>
      <c r="D603" s="321" t="s">
        <v>793</v>
      </c>
      <c r="E603" s="322"/>
      <c r="F603" s="323"/>
      <c r="G603" s="322"/>
      <c r="H603" s="600" t="s">
        <v>796</v>
      </c>
      <c r="I603" s="600"/>
      <c r="J603" s="600"/>
      <c r="K603" s="600"/>
      <c r="L603" s="322"/>
      <c r="M603" s="323"/>
      <c r="N603" s="322"/>
      <c r="O603" s="603">
        <v>0.244975</v>
      </c>
      <c r="P603" s="603"/>
      <c r="Q603" s="603"/>
      <c r="R603" s="603"/>
      <c r="S603" s="322"/>
      <c r="T603" s="323"/>
      <c r="U603" s="600"/>
      <c r="V603" s="600"/>
      <c r="W603" s="600"/>
      <c r="X603" s="600"/>
    </row>
    <row r="604" spans="2:24" ht="3" customHeight="1" outlineLevel="1">
      <c r="B604" s="242"/>
      <c r="C604" s="242"/>
      <c r="D604" s="249"/>
      <c r="E604" s="232"/>
      <c r="F604" s="250"/>
      <c r="G604" s="232"/>
      <c r="H604" s="569"/>
      <c r="I604" s="569"/>
      <c r="J604" s="569"/>
      <c r="K604" s="569"/>
      <c r="L604" s="232"/>
      <c r="M604" s="250"/>
      <c r="N604" s="232"/>
      <c r="O604" s="570"/>
      <c r="P604" s="570"/>
      <c r="Q604" s="570"/>
      <c r="R604" s="570"/>
      <c r="S604" s="232"/>
      <c r="T604" s="250"/>
      <c r="U604" s="559"/>
      <c r="V604" s="559"/>
      <c r="W604" s="559"/>
      <c r="X604" s="559"/>
    </row>
    <row r="605" spans="2:24" s="234" customFormat="1" outlineLevel="1">
      <c r="B605" s="267" t="s">
        <v>797</v>
      </c>
      <c r="C605" s="235"/>
      <c r="D605" s="235"/>
      <c r="E605" s="232"/>
      <c r="F605" s="250"/>
      <c r="G605" s="232"/>
      <c r="H605" s="236">
        <f>COUNTA(H606:H607)</f>
        <v>0</v>
      </c>
      <c r="I605" s="236"/>
      <c r="J605" s="236"/>
      <c r="K605" s="236"/>
      <c r="L605" s="232"/>
      <c r="M605" s="250"/>
      <c r="N605" s="232"/>
      <c r="O605" s="260">
        <f>SUM(O606:O607)</f>
        <v>0</v>
      </c>
      <c r="P605" s="260"/>
      <c r="Q605" s="260"/>
      <c r="R605" s="260"/>
      <c r="S605" s="232"/>
      <c r="T605" s="250"/>
    </row>
    <row r="606" spans="2:24" outlineLevel="2">
      <c r="B606" s="560"/>
      <c r="C606" s="559"/>
      <c r="D606" s="559"/>
      <c r="H606" s="562"/>
      <c r="I606" s="562"/>
      <c r="J606" s="562"/>
      <c r="K606" s="562"/>
      <c r="O606" s="563"/>
      <c r="P606" s="563"/>
      <c r="Q606" s="563"/>
      <c r="R606" s="563"/>
      <c r="U606" s="559"/>
      <c r="V606" s="559"/>
      <c r="W606" s="559"/>
      <c r="X606" s="559"/>
    </row>
    <row r="607" spans="2:24" outlineLevel="2">
      <c r="B607" s="560"/>
      <c r="C607" s="559"/>
      <c r="D607" s="559"/>
      <c r="H607" s="562"/>
      <c r="I607" s="562"/>
      <c r="J607" s="562"/>
      <c r="K607" s="562"/>
      <c r="O607" s="563"/>
      <c r="P607" s="563"/>
      <c r="Q607" s="563"/>
      <c r="R607" s="563"/>
      <c r="U607" s="559"/>
      <c r="V607" s="559"/>
      <c r="W607" s="559"/>
      <c r="X607" s="559"/>
    </row>
    <row r="608" spans="2:24" ht="3" customHeight="1" outlineLevel="1">
      <c r="B608" s="560"/>
      <c r="C608" s="559"/>
      <c r="D608" s="559"/>
      <c r="H608" s="562"/>
      <c r="I608" s="562"/>
      <c r="J608" s="562"/>
      <c r="K608" s="562"/>
      <c r="O608" s="563"/>
      <c r="P608" s="563"/>
      <c r="Q608" s="563"/>
      <c r="R608" s="563"/>
      <c r="U608" s="559"/>
      <c r="V608" s="559"/>
      <c r="W608" s="559"/>
      <c r="X608" s="559"/>
    </row>
    <row r="609" spans="2:15" s="234" customFormat="1" outlineLevel="1">
      <c r="B609" s="267" t="s">
        <v>629</v>
      </c>
      <c r="C609" s="235"/>
      <c r="D609" s="235"/>
      <c r="E609" s="232"/>
      <c r="F609" s="250"/>
      <c r="G609" s="232"/>
      <c r="H609" s="236">
        <f>COUNTA(H610:H613)</f>
        <v>0</v>
      </c>
      <c r="I609" s="236"/>
      <c r="J609" s="236"/>
      <c r="K609" s="236"/>
      <c r="L609" s="232"/>
      <c r="M609" s="250"/>
      <c r="N609" s="232"/>
      <c r="O609" s="260">
        <f>SUM(O610:O613)</f>
        <v>0</v>
      </c>
    </row>
    <row r="610" spans="2:15" outlineLevel="2">
      <c r="B610" s="242"/>
      <c r="C610" s="565" t="s">
        <v>584</v>
      </c>
      <c r="D610" s="249" t="s">
        <v>27</v>
      </c>
      <c r="E610" s="232"/>
      <c r="F610" s="250"/>
      <c r="G610" s="232"/>
      <c r="H610" s="571"/>
      <c r="I610" s="571"/>
      <c r="J610" s="571"/>
      <c r="K610" s="571"/>
      <c r="L610" s="232"/>
      <c r="M610" s="250"/>
      <c r="N610" s="232"/>
      <c r="O610" s="279"/>
    </row>
    <row r="611" spans="2:15" outlineLevel="2">
      <c r="B611" s="242"/>
      <c r="C611" s="242"/>
      <c r="D611" s="249"/>
      <c r="E611" s="232"/>
      <c r="F611" s="250"/>
      <c r="G611" s="232"/>
      <c r="H611" s="559"/>
      <c r="I611" s="559"/>
      <c r="J611" s="559"/>
      <c r="K611" s="559"/>
      <c r="L611" s="232"/>
      <c r="M611" s="250"/>
      <c r="N611" s="232"/>
      <c r="O611" s="585"/>
    </row>
    <row r="612" spans="2:15" outlineLevel="2">
      <c r="B612" s="242"/>
      <c r="C612" s="565" t="s">
        <v>584</v>
      </c>
      <c r="D612" s="249" t="s">
        <v>766</v>
      </c>
      <c r="E612" s="232"/>
      <c r="F612" s="250"/>
      <c r="G612" s="232"/>
      <c r="H612" s="571"/>
      <c r="I612" s="571"/>
      <c r="J612" s="571"/>
      <c r="K612" s="571"/>
      <c r="L612" s="232"/>
      <c r="M612" s="250"/>
      <c r="N612" s="232"/>
      <c r="O612" s="279"/>
    </row>
    <row r="613" spans="2:15" outlineLevel="2">
      <c r="B613" s="242"/>
      <c r="C613" s="242"/>
      <c r="D613" s="249"/>
      <c r="E613" s="232"/>
      <c r="F613" s="250"/>
      <c r="G613" s="232"/>
      <c r="H613" s="559"/>
      <c r="I613" s="559"/>
      <c r="J613" s="559"/>
      <c r="K613" s="559"/>
      <c r="L613" s="232"/>
      <c r="M613" s="250"/>
      <c r="N613" s="232"/>
      <c r="O613" s="563"/>
    </row>
    <row r="614" spans="2:15" ht="3" customHeight="1" outlineLevel="1">
      <c r="B614" s="565"/>
      <c r="C614" s="565"/>
      <c r="D614" s="566"/>
      <c r="E614" s="232"/>
      <c r="F614" s="250"/>
      <c r="G614" s="232"/>
      <c r="H614" s="259"/>
      <c r="I614" s="259"/>
      <c r="J614" s="259"/>
      <c r="K614" s="259"/>
      <c r="L614" s="232"/>
      <c r="M614" s="250"/>
      <c r="N614" s="232"/>
      <c r="O614" s="342"/>
    </row>
    <row r="615" spans="2:15" s="234" customFormat="1" outlineLevel="1">
      <c r="B615" s="235" t="s">
        <v>364</v>
      </c>
      <c r="C615" s="235"/>
      <c r="D615" s="235"/>
      <c r="E615" s="232"/>
      <c r="F615" s="250"/>
      <c r="G615" s="232"/>
      <c r="H615" s="236">
        <f>COUNTA(H616:H621)</f>
        <v>0</v>
      </c>
      <c r="I615" s="236"/>
      <c r="J615" s="236"/>
      <c r="K615" s="236"/>
      <c r="L615" s="232"/>
      <c r="M615" s="250"/>
      <c r="N615" s="232"/>
      <c r="O615" s="260">
        <f>SUM(O616:O621)</f>
        <v>0</v>
      </c>
    </row>
    <row r="616" spans="2:15" s="327" customFormat="1" outlineLevel="2">
      <c r="B616" s="229"/>
      <c r="C616" s="230" t="s">
        <v>364</v>
      </c>
      <c r="D616" s="231" t="s">
        <v>27</v>
      </c>
      <c r="E616" s="232"/>
      <c r="F616" s="250"/>
      <c r="G616" s="232"/>
      <c r="H616" s="278"/>
      <c r="I616" s="278"/>
      <c r="J616" s="278"/>
      <c r="K616" s="278"/>
      <c r="L616" s="232"/>
      <c r="M616" s="250"/>
      <c r="N616" s="232"/>
      <c r="O616" s="317"/>
    </row>
    <row r="617" spans="2:15" s="327" customFormat="1" outlineLevel="2">
      <c r="B617" s="229"/>
      <c r="C617" s="230" t="s">
        <v>364</v>
      </c>
      <c r="D617" s="231" t="s">
        <v>27</v>
      </c>
      <c r="E617" s="232"/>
      <c r="F617" s="250"/>
      <c r="G617" s="232"/>
      <c r="H617" s="256"/>
      <c r="I617" s="256"/>
      <c r="J617" s="256"/>
      <c r="K617" s="256"/>
      <c r="L617" s="232"/>
      <c r="M617" s="250"/>
      <c r="N617" s="232"/>
      <c r="O617" s="279"/>
    </row>
    <row r="618" spans="2:15" outlineLevel="2">
      <c r="B618" s="229"/>
      <c r="C618" s="230"/>
      <c r="D618" s="231"/>
      <c r="E618" s="232"/>
      <c r="F618" s="250"/>
      <c r="G618" s="232"/>
      <c r="H618" s="588"/>
      <c r="I618" s="588"/>
      <c r="J618" s="588"/>
      <c r="K618" s="588"/>
      <c r="L618" s="232"/>
      <c r="M618" s="250"/>
      <c r="N618" s="232"/>
      <c r="O618" s="587"/>
    </row>
    <row r="619" spans="2:15" outlineLevel="2">
      <c r="B619" s="229"/>
      <c r="C619" s="230" t="s">
        <v>364</v>
      </c>
      <c r="D619" s="231" t="s">
        <v>766</v>
      </c>
      <c r="E619" s="232"/>
      <c r="F619" s="250"/>
      <c r="G619" s="232"/>
      <c r="H619" s="256"/>
      <c r="I619" s="256"/>
      <c r="J619" s="256"/>
      <c r="K619" s="256"/>
      <c r="L619" s="232"/>
      <c r="M619" s="250"/>
      <c r="N619" s="232"/>
      <c r="O619" s="279"/>
    </row>
    <row r="620" spans="2:15" outlineLevel="2">
      <c r="B620" s="229"/>
      <c r="C620" s="230" t="s">
        <v>364</v>
      </c>
      <c r="D620" s="231" t="s">
        <v>766</v>
      </c>
      <c r="E620" s="232"/>
      <c r="F620" s="250"/>
      <c r="G620" s="232"/>
      <c r="H620" s="559"/>
      <c r="I620" s="559"/>
      <c r="J620" s="559"/>
      <c r="K620" s="559"/>
      <c r="L620" s="232"/>
      <c r="M620" s="250"/>
      <c r="N620" s="232"/>
      <c r="O620" s="585"/>
    </row>
    <row r="621" spans="2:15" outlineLevel="2">
      <c r="B621" s="229"/>
      <c r="C621" s="230"/>
      <c r="D621" s="231"/>
      <c r="E621" s="232"/>
      <c r="F621" s="250"/>
      <c r="G621" s="232"/>
      <c r="H621" s="588"/>
      <c r="I621" s="588"/>
      <c r="J621" s="588"/>
      <c r="K621" s="588"/>
      <c r="L621" s="232"/>
      <c r="M621" s="250"/>
      <c r="N621" s="232"/>
      <c r="O621" s="587"/>
    </row>
    <row r="622" spans="2:15" ht="3" customHeight="1" outlineLevel="1">
      <c r="B622" s="229"/>
      <c r="C622" s="230"/>
      <c r="D622" s="231"/>
      <c r="E622" s="232"/>
      <c r="F622" s="250"/>
      <c r="G622" s="232"/>
      <c r="H622" s="604"/>
      <c r="I622" s="604"/>
      <c r="J622" s="604"/>
      <c r="K622" s="604"/>
      <c r="L622" s="232"/>
      <c r="M622" s="250"/>
      <c r="N622" s="232"/>
      <c r="O622" s="598"/>
    </row>
    <row r="623" spans="2:15" s="234" customFormat="1" outlineLevel="1">
      <c r="B623" s="235" t="s">
        <v>627</v>
      </c>
      <c r="C623" s="235"/>
      <c r="D623" s="235"/>
      <c r="E623" s="232"/>
      <c r="F623" s="250"/>
      <c r="G623" s="232"/>
      <c r="H623" s="236">
        <f>COUNTA(H624:H631)</f>
        <v>5</v>
      </c>
      <c r="I623" s="236"/>
      <c r="J623" s="236"/>
      <c r="K623" s="236"/>
      <c r="L623" s="232"/>
      <c r="M623" s="250"/>
      <c r="N623" s="232"/>
      <c r="O623" s="260">
        <f>SUM(O624:P631)</f>
        <v>0.59609482549255288</v>
      </c>
    </row>
    <row r="624" spans="2:15" outlineLevel="2">
      <c r="B624" s="560"/>
      <c r="C624" s="559"/>
      <c r="D624" s="559"/>
      <c r="H624" s="562"/>
      <c r="I624" s="562"/>
      <c r="J624" s="562"/>
      <c r="K624" s="562"/>
      <c r="O624" s="563"/>
    </row>
    <row r="625" spans="2:15" s="327" customFormat="1" outlineLevel="2">
      <c r="B625" s="229"/>
      <c r="C625" s="230" t="s">
        <v>627</v>
      </c>
      <c r="D625" s="231" t="s">
        <v>27</v>
      </c>
      <c r="E625" s="232"/>
      <c r="F625" s="250"/>
      <c r="G625" s="232"/>
      <c r="H625" s="278" t="s">
        <v>31</v>
      </c>
      <c r="I625" s="278"/>
      <c r="J625" s="278"/>
      <c r="K625" s="278"/>
      <c r="L625" s="232"/>
      <c r="M625" s="250"/>
      <c r="N625" s="232"/>
      <c r="O625" s="317">
        <v>0.1343568139141843</v>
      </c>
    </row>
    <row r="626" spans="2:15" s="327" customFormat="1" outlineLevel="2">
      <c r="B626" s="229"/>
      <c r="C626" s="230" t="s">
        <v>627</v>
      </c>
      <c r="D626" s="231" t="s">
        <v>27</v>
      </c>
      <c r="E626" s="232"/>
      <c r="F626" s="250"/>
      <c r="G626" s="232"/>
      <c r="H626" s="278" t="s">
        <v>32</v>
      </c>
      <c r="I626" s="278"/>
      <c r="J626" s="278"/>
      <c r="K626" s="278"/>
      <c r="L626" s="232"/>
      <c r="M626" s="250"/>
      <c r="N626" s="232"/>
      <c r="O626" s="317">
        <v>6.7178406957092152E-2</v>
      </c>
    </row>
    <row r="627" spans="2:15" s="327" customFormat="1" outlineLevel="2">
      <c r="B627" s="229"/>
      <c r="C627" s="230" t="s">
        <v>627</v>
      </c>
      <c r="D627" s="231" t="s">
        <v>27</v>
      </c>
      <c r="E627" s="232"/>
      <c r="F627" s="250"/>
      <c r="G627" s="232"/>
      <c r="H627" s="278" t="s">
        <v>33</v>
      </c>
      <c r="I627" s="278"/>
      <c r="J627" s="278"/>
      <c r="K627" s="278"/>
      <c r="L627" s="232"/>
      <c r="M627" s="250"/>
      <c r="N627" s="232"/>
      <c r="O627" s="317">
        <v>0.1343568139141843</v>
      </c>
    </row>
    <row r="628" spans="2:15" s="327" customFormat="1" outlineLevel="2">
      <c r="B628" s="229"/>
      <c r="C628" s="230" t="s">
        <v>627</v>
      </c>
      <c r="D628" s="231" t="s">
        <v>27</v>
      </c>
      <c r="E628" s="232"/>
      <c r="F628" s="250"/>
      <c r="G628" s="232"/>
      <c r="H628" s="278" t="s">
        <v>170</v>
      </c>
      <c r="I628" s="278"/>
      <c r="J628" s="278"/>
      <c r="K628" s="278"/>
      <c r="L628" s="232"/>
      <c r="M628" s="250"/>
      <c r="N628" s="232"/>
      <c r="O628" s="317">
        <v>6.7178406957092152E-2</v>
      </c>
    </row>
    <row r="629" spans="2:15" outlineLevel="2">
      <c r="B629" s="229"/>
      <c r="C629" s="230"/>
      <c r="D629" s="231"/>
      <c r="E629" s="232"/>
      <c r="F629" s="250"/>
      <c r="G629" s="232"/>
      <c r="H629" s="256"/>
      <c r="I629" s="256"/>
      <c r="J629" s="256"/>
      <c r="K629" s="256"/>
      <c r="L629" s="232"/>
      <c r="M629" s="250"/>
      <c r="N629" s="232"/>
      <c r="O629" s="279"/>
    </row>
    <row r="630" spans="2:15" outlineLevel="2">
      <c r="B630" s="229"/>
      <c r="C630" s="230" t="s">
        <v>627</v>
      </c>
      <c r="D630" s="231" t="s">
        <v>766</v>
      </c>
      <c r="E630" s="232"/>
      <c r="F630" s="250"/>
      <c r="G630" s="232"/>
      <c r="H630" s="278" t="s">
        <v>31</v>
      </c>
      <c r="I630" s="278"/>
      <c r="J630" s="278"/>
      <c r="K630" s="278"/>
      <c r="L630" s="232"/>
      <c r="M630" s="250"/>
      <c r="N630" s="232"/>
      <c r="O630" s="317">
        <v>0.19302438375</v>
      </c>
    </row>
    <row r="631" spans="2:15" outlineLevel="2">
      <c r="B631" s="229"/>
      <c r="C631" s="230"/>
      <c r="D631" s="231"/>
      <c r="E631" s="232"/>
      <c r="F631" s="250"/>
      <c r="G631" s="232"/>
      <c r="H631" s="559"/>
      <c r="I631" s="559"/>
      <c r="J631" s="559"/>
      <c r="K631" s="559"/>
      <c r="L631" s="232"/>
      <c r="M631" s="250"/>
      <c r="N631" s="232"/>
      <c r="O631" s="585"/>
    </row>
    <row r="632" spans="2:15" ht="3" customHeight="1" outlineLevel="1">
      <c r="B632" s="242"/>
      <c r="C632" s="242"/>
      <c r="D632" s="249"/>
      <c r="E632" s="232"/>
      <c r="F632" s="250"/>
      <c r="G632" s="232"/>
      <c r="H632" s="569"/>
      <c r="I632" s="569"/>
      <c r="J632" s="569"/>
      <c r="K632" s="569"/>
      <c r="L632" s="232"/>
      <c r="M632" s="250"/>
      <c r="N632" s="232"/>
      <c r="O632" s="570"/>
    </row>
    <row r="633" spans="2:15" s="234" customFormat="1" outlineLevel="1">
      <c r="B633" s="235" t="s">
        <v>576</v>
      </c>
      <c r="C633" s="235"/>
      <c r="D633" s="235"/>
      <c r="E633" s="232"/>
      <c r="F633" s="250"/>
      <c r="G633" s="232"/>
      <c r="H633" s="236">
        <f>COUNTA(H634:H640)</f>
        <v>1</v>
      </c>
      <c r="I633" s="236"/>
      <c r="J633" s="236"/>
      <c r="K633" s="236"/>
      <c r="L633" s="232"/>
      <c r="M633" s="250"/>
      <c r="N633" s="232"/>
      <c r="O633" s="260">
        <f>SUM(O634:O640)</f>
        <v>7.4218848599999998E-2</v>
      </c>
    </row>
    <row r="634" spans="2:15" outlineLevel="2">
      <c r="B634" s="238"/>
      <c r="C634" s="565" t="s">
        <v>577</v>
      </c>
      <c r="D634" s="566" t="s">
        <v>27</v>
      </c>
      <c r="E634" s="232"/>
      <c r="F634" s="250"/>
      <c r="G634" s="232"/>
      <c r="H634" s="566" t="s">
        <v>87</v>
      </c>
      <c r="I634" s="566"/>
      <c r="J634" s="566"/>
      <c r="K634" s="566"/>
      <c r="L634" s="232"/>
      <c r="M634" s="250"/>
      <c r="N634" s="232"/>
      <c r="O634" s="563">
        <v>7.4218848599999998E-2</v>
      </c>
    </row>
    <row r="635" spans="2:15" outlineLevel="2">
      <c r="B635" s="238"/>
      <c r="C635" s="565" t="s">
        <v>581</v>
      </c>
      <c r="D635" s="566" t="s">
        <v>27</v>
      </c>
      <c r="E635" s="232"/>
      <c r="F635" s="250"/>
      <c r="G635" s="232"/>
      <c r="H635" s="566"/>
      <c r="I635" s="566"/>
      <c r="J635" s="566"/>
      <c r="K635" s="566"/>
      <c r="L635" s="232"/>
      <c r="M635" s="250"/>
      <c r="N635" s="232"/>
      <c r="O635" s="563"/>
    </row>
    <row r="636" spans="2:15" outlineLevel="2">
      <c r="B636" s="238"/>
      <c r="C636" s="565" t="s">
        <v>581</v>
      </c>
      <c r="D636" s="566" t="s">
        <v>27</v>
      </c>
      <c r="E636" s="232"/>
      <c r="F636" s="250"/>
      <c r="G636" s="232"/>
      <c r="H636" s="566"/>
      <c r="I636" s="566"/>
      <c r="J636" s="566"/>
      <c r="K636" s="566"/>
      <c r="L636" s="232"/>
      <c r="M636" s="250"/>
      <c r="N636" s="232"/>
      <c r="O636" s="563"/>
    </row>
    <row r="637" spans="2:15" outlineLevel="2">
      <c r="B637" s="238"/>
      <c r="C637" s="565"/>
      <c r="D637" s="566"/>
      <c r="E637" s="232"/>
      <c r="F637" s="250"/>
      <c r="G637" s="232"/>
      <c r="H637" s="566"/>
      <c r="I637" s="566"/>
      <c r="J637" s="566"/>
      <c r="K637" s="566"/>
      <c r="L637" s="232"/>
      <c r="M637" s="250"/>
      <c r="N637" s="232"/>
      <c r="O637" s="563"/>
    </row>
    <row r="638" spans="2:15" outlineLevel="2">
      <c r="B638" s="238"/>
      <c r="C638" s="565" t="s">
        <v>581</v>
      </c>
      <c r="D638" s="566" t="s">
        <v>766</v>
      </c>
      <c r="E638" s="232"/>
      <c r="F638" s="250"/>
      <c r="G638" s="232"/>
      <c r="H638" s="566"/>
      <c r="I638" s="566"/>
      <c r="J638" s="566"/>
      <c r="K638" s="566"/>
      <c r="L638" s="232"/>
      <c r="M638" s="250"/>
      <c r="N638" s="232"/>
      <c r="O638" s="575"/>
    </row>
    <row r="639" spans="2:15" outlineLevel="2">
      <c r="B639" s="238"/>
      <c r="C639" s="565" t="s">
        <v>581</v>
      </c>
      <c r="D639" s="566" t="s">
        <v>766</v>
      </c>
      <c r="E639" s="232"/>
      <c r="F639" s="250"/>
      <c r="G639" s="232"/>
      <c r="H639" s="566"/>
      <c r="I639" s="566"/>
      <c r="J639" s="566"/>
      <c r="K639" s="566"/>
      <c r="L639" s="232"/>
      <c r="M639" s="250"/>
      <c r="N639" s="232"/>
      <c r="O639" s="575"/>
    </row>
    <row r="640" spans="2:15" outlineLevel="2">
      <c r="B640" s="238"/>
      <c r="C640" s="565" t="s">
        <v>581</v>
      </c>
      <c r="D640" s="566" t="s">
        <v>766</v>
      </c>
      <c r="E640" s="232"/>
      <c r="F640" s="250"/>
      <c r="G640" s="232"/>
      <c r="H640" s="566"/>
      <c r="I640" s="566"/>
      <c r="J640" s="566"/>
      <c r="K640" s="566"/>
      <c r="L640" s="232"/>
      <c r="M640" s="250"/>
      <c r="N640" s="232"/>
      <c r="O640" s="575"/>
    </row>
    <row r="641" spans="2:15" ht="3" customHeight="1" outlineLevel="1">
      <c r="B641" s="560"/>
      <c r="C641" s="559"/>
      <c r="D641" s="559"/>
      <c r="H641" s="562"/>
      <c r="I641" s="562"/>
      <c r="J641" s="562"/>
      <c r="K641" s="562"/>
      <c r="O641" s="563"/>
    </row>
    <row r="642" spans="2:15" s="234" customFormat="1" outlineLevel="1">
      <c r="B642" s="235" t="s">
        <v>695</v>
      </c>
      <c r="C642" s="235"/>
      <c r="D642" s="235"/>
      <c r="E642" s="232"/>
      <c r="F642" s="250"/>
      <c r="G642" s="232"/>
      <c r="H642" s="236">
        <f>COUNTA(H643:H655)</f>
        <v>0</v>
      </c>
      <c r="I642" s="236"/>
      <c r="J642" s="236"/>
      <c r="K642" s="236"/>
      <c r="L642" s="232"/>
      <c r="M642" s="250"/>
      <c r="N642" s="232"/>
      <c r="O642" s="260">
        <f>SUM(O649:O650)</f>
        <v>0</v>
      </c>
    </row>
    <row r="643" spans="2:15" outlineLevel="2">
      <c r="B643" s="560"/>
      <c r="C643" s="559"/>
      <c r="D643" s="559"/>
      <c r="H643" s="562"/>
      <c r="I643" s="562"/>
      <c r="J643" s="562"/>
      <c r="K643" s="562"/>
      <c r="O643" s="563"/>
    </row>
    <row r="644" spans="2:15" outlineLevel="2">
      <c r="B644" s="560"/>
      <c r="C644" s="559"/>
      <c r="D644" s="559"/>
      <c r="H644" s="562"/>
      <c r="I644" s="562"/>
      <c r="J644" s="562"/>
      <c r="K644" s="562"/>
      <c r="O644" s="563"/>
    </row>
    <row r="645" spans="2:15" outlineLevel="2">
      <c r="B645" s="560"/>
      <c r="C645" s="559"/>
      <c r="D645" s="559"/>
      <c r="H645" s="562"/>
      <c r="I645" s="562"/>
      <c r="J645" s="562"/>
      <c r="K645" s="562"/>
      <c r="O645" s="563"/>
    </row>
    <row r="646" spans="2:15" outlineLevel="2">
      <c r="B646" s="560"/>
      <c r="C646" s="559"/>
      <c r="D646" s="559"/>
      <c r="H646" s="562"/>
      <c r="I646" s="562"/>
      <c r="J646" s="562"/>
      <c r="K646" s="562"/>
      <c r="O646" s="563"/>
    </row>
    <row r="647" spans="2:15" outlineLevel="2">
      <c r="B647" s="560"/>
      <c r="C647" s="559"/>
      <c r="D647" s="559"/>
      <c r="H647" s="562"/>
      <c r="I647" s="562"/>
      <c r="J647" s="562"/>
      <c r="K647" s="562"/>
      <c r="O647" s="563"/>
    </row>
    <row r="648" spans="2:15" outlineLevel="2">
      <c r="B648" s="560"/>
      <c r="C648" s="559"/>
      <c r="D648" s="559"/>
      <c r="H648" s="562"/>
      <c r="I648" s="562"/>
      <c r="J648" s="562"/>
      <c r="K648" s="562"/>
      <c r="O648" s="563"/>
    </row>
    <row r="649" spans="2:15" outlineLevel="2">
      <c r="B649" s="560"/>
      <c r="C649" s="559"/>
      <c r="D649" s="559"/>
      <c r="H649" s="562"/>
      <c r="I649" s="562"/>
      <c r="J649" s="562"/>
      <c r="K649" s="562"/>
      <c r="O649" s="563"/>
    </row>
    <row r="650" spans="2:15" outlineLevel="2">
      <c r="B650" s="560"/>
      <c r="C650" s="559"/>
      <c r="D650" s="559"/>
      <c r="H650" s="562"/>
      <c r="I650" s="562"/>
      <c r="J650" s="562"/>
      <c r="K650" s="562"/>
      <c r="O650" s="563"/>
    </row>
    <row r="651" spans="2:15" outlineLevel="2">
      <c r="B651" s="560"/>
      <c r="C651" s="559"/>
      <c r="D651" s="559"/>
      <c r="H651" s="562"/>
      <c r="I651" s="562"/>
      <c r="J651" s="562"/>
      <c r="K651" s="562"/>
      <c r="O651" s="563"/>
    </row>
    <row r="652" spans="2:15" s="253" customFormat="1" outlineLevel="2">
      <c r="B652" s="583"/>
      <c r="C652" s="583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 spans="2:15" s="253" customFormat="1" outlineLevel="2">
      <c r="B653" s="583"/>
      <c r="C653" s="583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 spans="2:15" s="253" customFormat="1" outlineLevel="2">
      <c r="B654" s="583"/>
      <c r="C654" s="583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 spans="2:15" s="253" customFormat="1" outlineLevel="2">
      <c r="B655" s="583"/>
      <c r="C655" s="583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 spans="2:15" ht="3" customHeight="1" outlineLevel="1">
      <c r="B656" s="560"/>
      <c r="C656" s="559"/>
      <c r="D656" s="559"/>
      <c r="H656" s="562"/>
      <c r="I656" s="562"/>
      <c r="J656" s="562"/>
      <c r="K656" s="562"/>
      <c r="O656" s="563"/>
    </row>
    <row r="657" spans="2:15" s="234" customFormat="1" outlineLevel="1">
      <c r="B657" s="235" t="s">
        <v>353</v>
      </c>
      <c r="C657" s="235"/>
      <c r="D657" s="235"/>
      <c r="E657" s="232"/>
      <c r="F657" s="250"/>
      <c r="G657" s="232"/>
      <c r="H657" s="236">
        <f t="shared" ref="H657" si="6">COUNTA(H658:H663)</f>
        <v>3</v>
      </c>
      <c r="I657" s="236"/>
      <c r="J657" s="236"/>
      <c r="K657" s="236"/>
      <c r="L657" s="232"/>
      <c r="M657" s="250"/>
      <c r="N657" s="232"/>
      <c r="O657" s="260">
        <f>SUM(O658:O663)</f>
        <v>0</v>
      </c>
    </row>
    <row r="658" spans="2:15" outlineLevel="2">
      <c r="B658" s="229"/>
      <c r="C658" s="230" t="s">
        <v>703</v>
      </c>
      <c r="D658" s="231" t="s">
        <v>27</v>
      </c>
      <c r="E658" s="232"/>
      <c r="F658" s="250"/>
      <c r="G658" s="232"/>
      <c r="H658" s="588" t="s">
        <v>31</v>
      </c>
      <c r="I658" s="588"/>
      <c r="J658" s="588"/>
      <c r="K658" s="588"/>
      <c r="L658" s="232"/>
      <c r="M658" s="250"/>
      <c r="N658" s="232"/>
      <c r="O658" s="275"/>
    </row>
    <row r="659" spans="2:15" outlineLevel="2">
      <c r="B659" s="229"/>
      <c r="C659" s="230" t="s">
        <v>703</v>
      </c>
      <c r="D659" s="231" t="s">
        <v>27</v>
      </c>
      <c r="E659" s="232"/>
      <c r="F659" s="250"/>
      <c r="G659" s="232"/>
      <c r="H659" s="588"/>
      <c r="I659" s="588"/>
      <c r="J659" s="588"/>
      <c r="K659" s="588"/>
      <c r="L659" s="232"/>
      <c r="M659" s="250"/>
      <c r="N659" s="232"/>
      <c r="O659" s="275"/>
    </row>
    <row r="660" spans="2:15" outlineLevel="2">
      <c r="B660" s="229"/>
      <c r="C660" s="230" t="s">
        <v>703</v>
      </c>
      <c r="D660" s="231" t="s">
        <v>27</v>
      </c>
      <c r="E660" s="232"/>
      <c r="F660" s="250"/>
      <c r="G660" s="232"/>
      <c r="H660" s="588" t="s">
        <v>32</v>
      </c>
      <c r="I660" s="588"/>
      <c r="J660" s="588"/>
      <c r="K660" s="588"/>
      <c r="L660" s="232"/>
      <c r="M660" s="250"/>
      <c r="N660" s="232"/>
      <c r="O660" s="275"/>
    </row>
    <row r="661" spans="2:15" outlineLevel="2">
      <c r="B661" s="229"/>
      <c r="C661" s="230"/>
      <c r="D661" s="231"/>
      <c r="E661" s="232"/>
      <c r="F661" s="250"/>
      <c r="G661" s="232"/>
      <c r="H661" s="245"/>
      <c r="I661" s="245"/>
      <c r="J661" s="245"/>
      <c r="K661" s="245"/>
      <c r="L661" s="232"/>
      <c r="M661" s="250"/>
      <c r="N661" s="232"/>
      <c r="O661" s="275"/>
    </row>
    <row r="662" spans="2:15" outlineLevel="2">
      <c r="B662" s="229"/>
      <c r="C662" s="230" t="s">
        <v>703</v>
      </c>
      <c r="D662" s="231" t="s">
        <v>766</v>
      </c>
      <c r="E662" s="232"/>
      <c r="F662" s="250"/>
      <c r="G662" s="232"/>
      <c r="H662" s="588" t="s">
        <v>32</v>
      </c>
      <c r="I662" s="588"/>
      <c r="J662" s="588"/>
      <c r="K662" s="588"/>
      <c r="L662" s="232"/>
      <c r="M662" s="250"/>
      <c r="N662" s="232"/>
      <c r="O662" s="275"/>
    </row>
    <row r="663" spans="2:15" outlineLevel="2">
      <c r="B663" s="229"/>
      <c r="C663" s="230" t="s">
        <v>703</v>
      </c>
      <c r="D663" s="231" t="s">
        <v>766</v>
      </c>
      <c r="E663" s="232"/>
      <c r="F663" s="250"/>
      <c r="G663" s="232"/>
      <c r="H663" s="588"/>
      <c r="I663" s="588"/>
      <c r="J663" s="588"/>
      <c r="K663" s="588"/>
      <c r="L663" s="232"/>
      <c r="M663" s="250"/>
      <c r="N663" s="232"/>
      <c r="O663" s="275"/>
    </row>
    <row r="664" spans="2:15" ht="3" customHeight="1" outlineLevel="1">
      <c r="B664" s="565"/>
      <c r="C664" s="565"/>
      <c r="D664" s="565"/>
      <c r="E664" s="232"/>
      <c r="F664" s="250"/>
      <c r="G664" s="232"/>
      <c r="H664" s="569"/>
      <c r="I664" s="569"/>
      <c r="J664" s="569"/>
      <c r="K664" s="569"/>
      <c r="L664" s="232"/>
      <c r="M664" s="250"/>
      <c r="N664" s="232"/>
      <c r="O664" s="570"/>
    </row>
    <row r="665" spans="2:15" s="234" customFormat="1" outlineLevel="1">
      <c r="B665" s="235" t="s">
        <v>701</v>
      </c>
      <c r="C665" s="235"/>
      <c r="D665" s="235"/>
      <c r="E665" s="232"/>
      <c r="F665" s="250"/>
      <c r="G665" s="232"/>
      <c r="H665" s="236">
        <f>COUNTA(H666:H673)</f>
        <v>0</v>
      </c>
      <c r="I665" s="236"/>
      <c r="J665" s="236"/>
      <c r="K665" s="236"/>
      <c r="L665" s="232"/>
      <c r="M665" s="250"/>
      <c r="N665" s="232"/>
      <c r="O665" s="260">
        <f>SUM(O666:O673)</f>
        <v>0</v>
      </c>
    </row>
    <row r="666" spans="2:15" outlineLevel="2">
      <c r="B666" s="560"/>
      <c r="C666" s="230" t="s">
        <v>702</v>
      </c>
      <c r="D666" s="231" t="s">
        <v>27</v>
      </c>
      <c r="E666" s="232"/>
      <c r="F666" s="250"/>
      <c r="G666" s="232"/>
      <c r="H666" s="280"/>
      <c r="I666" s="280"/>
      <c r="J666" s="280"/>
      <c r="K666" s="280"/>
      <c r="L666" s="232"/>
      <c r="M666" s="250"/>
      <c r="N666" s="232"/>
      <c r="O666" s="275"/>
    </row>
    <row r="667" spans="2:15" outlineLevel="2">
      <c r="B667" s="560"/>
      <c r="C667" s="230" t="s">
        <v>702</v>
      </c>
      <c r="D667" s="231" t="s">
        <v>27</v>
      </c>
      <c r="E667" s="232"/>
      <c r="F667" s="250"/>
      <c r="G667" s="232"/>
      <c r="H667" s="280"/>
      <c r="I667" s="280"/>
      <c r="J667" s="280"/>
      <c r="K667" s="280"/>
      <c r="L667" s="232"/>
      <c r="M667" s="250"/>
      <c r="N667" s="232"/>
      <c r="O667" s="275"/>
    </row>
    <row r="668" spans="2:15" outlineLevel="2">
      <c r="B668" s="560"/>
      <c r="C668" s="230"/>
      <c r="D668" s="231"/>
      <c r="E668" s="232"/>
      <c r="F668" s="250"/>
      <c r="G668" s="232"/>
      <c r="H668" s="280"/>
      <c r="I668" s="280"/>
      <c r="J668" s="280"/>
      <c r="K668" s="280"/>
      <c r="L668" s="232"/>
      <c r="M668" s="250"/>
      <c r="N668" s="232"/>
      <c r="O668" s="275"/>
    </row>
    <row r="669" spans="2:15" outlineLevel="2">
      <c r="B669" s="560"/>
      <c r="C669" s="230" t="s">
        <v>702</v>
      </c>
      <c r="D669" s="231" t="s">
        <v>793</v>
      </c>
      <c r="E669" s="232"/>
      <c r="F669" s="250"/>
      <c r="G669" s="232"/>
      <c r="H669" s="280"/>
      <c r="I669" s="280"/>
      <c r="J669" s="280"/>
      <c r="K669" s="280"/>
      <c r="L669" s="232"/>
      <c r="M669" s="250"/>
      <c r="N669" s="232"/>
      <c r="O669" s="275"/>
    </row>
    <row r="670" spans="2:15" outlineLevel="2">
      <c r="B670" s="560"/>
      <c r="C670" s="230" t="s">
        <v>702</v>
      </c>
      <c r="D670" s="231" t="s">
        <v>793</v>
      </c>
      <c r="E670" s="232"/>
      <c r="F670" s="250"/>
      <c r="G670" s="232"/>
      <c r="H670" s="280"/>
      <c r="I670" s="280"/>
      <c r="J670" s="280"/>
      <c r="K670" s="280"/>
      <c r="L670" s="232"/>
      <c r="M670" s="250"/>
      <c r="N670" s="232"/>
      <c r="O670" s="275"/>
    </row>
    <row r="671" spans="2:15" outlineLevel="2">
      <c r="B671" s="560"/>
      <c r="C671" s="230"/>
      <c r="D671" s="231"/>
      <c r="E671" s="232"/>
      <c r="F671" s="250"/>
      <c r="G671" s="232"/>
      <c r="H671" s="280"/>
      <c r="I671" s="280"/>
      <c r="J671" s="280"/>
      <c r="K671" s="280"/>
      <c r="L671" s="232"/>
      <c r="M671" s="250"/>
      <c r="N671" s="232"/>
      <c r="O671" s="275"/>
    </row>
    <row r="672" spans="2:15" outlineLevel="2">
      <c r="B672" s="560"/>
      <c r="C672" s="230" t="s">
        <v>702</v>
      </c>
      <c r="D672" s="231" t="s">
        <v>766</v>
      </c>
      <c r="E672" s="232"/>
      <c r="F672" s="250"/>
      <c r="G672" s="232"/>
      <c r="H672" s="280"/>
      <c r="I672" s="280"/>
      <c r="J672" s="280"/>
      <c r="K672" s="280"/>
      <c r="L672" s="232"/>
      <c r="M672" s="250"/>
      <c r="N672" s="232"/>
      <c r="O672" s="275"/>
    </row>
    <row r="673" spans="2:15" outlineLevel="2">
      <c r="B673" s="560"/>
      <c r="C673" s="230" t="s">
        <v>702</v>
      </c>
      <c r="D673" s="231" t="s">
        <v>766</v>
      </c>
      <c r="E673" s="232"/>
      <c r="F673" s="250"/>
      <c r="G673" s="232"/>
      <c r="H673" s="280"/>
      <c r="I673" s="280"/>
      <c r="J673" s="280"/>
      <c r="K673" s="280"/>
      <c r="L673" s="232"/>
      <c r="M673" s="250"/>
      <c r="N673" s="232"/>
      <c r="O673" s="275"/>
    </row>
    <row r="674" spans="2:15" ht="3" customHeight="1" outlineLevel="1">
      <c r="B674" s="242"/>
      <c r="C674" s="242"/>
      <c r="D674" s="249"/>
      <c r="E674" s="239"/>
      <c r="F674" s="192"/>
      <c r="G674" s="239"/>
      <c r="H674" s="569"/>
      <c r="I674" s="569"/>
      <c r="J674" s="569"/>
      <c r="K674" s="569"/>
      <c r="L674" s="239"/>
      <c r="M674" s="192"/>
      <c r="N674" s="239"/>
      <c r="O674" s="570"/>
    </row>
    <row r="675" spans="2:15" s="234" customFormat="1" outlineLevel="1">
      <c r="B675" s="235" t="s">
        <v>582</v>
      </c>
      <c r="C675" s="235"/>
      <c r="D675" s="235"/>
      <c r="E675" s="232"/>
      <c r="F675" s="250"/>
      <c r="G675" s="232"/>
      <c r="H675" s="236">
        <f>COUNTA(H676:H682)</f>
        <v>0</v>
      </c>
      <c r="I675" s="236"/>
      <c r="J675" s="236"/>
      <c r="K675" s="236"/>
      <c r="L675" s="232"/>
      <c r="M675" s="250"/>
      <c r="N675" s="232"/>
      <c r="O675" s="260">
        <f>SUM(O676:O682)</f>
        <v>0</v>
      </c>
    </row>
    <row r="676" spans="2:15" outlineLevel="2">
      <c r="B676" s="238"/>
      <c r="C676" s="565" t="s">
        <v>245</v>
      </c>
      <c r="D676" s="566" t="s">
        <v>27</v>
      </c>
      <c r="E676" s="232"/>
      <c r="F676" s="250"/>
      <c r="G676" s="232"/>
      <c r="H676" s="576"/>
      <c r="I676" s="576"/>
      <c r="J676" s="576"/>
      <c r="K676" s="576"/>
      <c r="L676" s="232"/>
      <c r="M676" s="250"/>
      <c r="N676" s="232"/>
      <c r="O676" s="563"/>
    </row>
    <row r="677" spans="2:15" outlineLevel="2" collapsed="1">
      <c r="B677" s="238"/>
      <c r="C677" s="565" t="s">
        <v>245</v>
      </c>
      <c r="D677" s="566" t="s">
        <v>27</v>
      </c>
      <c r="E677" s="232"/>
      <c r="F677" s="250"/>
      <c r="G677" s="232"/>
      <c r="H677" s="576"/>
      <c r="I677" s="576"/>
      <c r="J677" s="576"/>
      <c r="K677" s="576"/>
      <c r="L677" s="232"/>
      <c r="M677" s="250"/>
      <c r="N677" s="232"/>
      <c r="O677" s="563"/>
    </row>
    <row r="678" spans="2:15" outlineLevel="2">
      <c r="B678" s="238"/>
      <c r="C678" s="565" t="s">
        <v>245</v>
      </c>
      <c r="D678" s="566" t="s">
        <v>27</v>
      </c>
      <c r="E678" s="232"/>
      <c r="F678" s="250"/>
      <c r="G678" s="232"/>
      <c r="H678" s="576"/>
      <c r="I678" s="576"/>
      <c r="J678" s="576"/>
      <c r="K678" s="576"/>
      <c r="L678" s="232"/>
      <c r="M678" s="250"/>
      <c r="N678" s="232"/>
      <c r="O678" s="563"/>
    </row>
    <row r="679" spans="2:15" outlineLevel="2">
      <c r="B679" s="238"/>
      <c r="C679" s="565"/>
      <c r="D679" s="566"/>
      <c r="E679" s="232"/>
      <c r="F679" s="250"/>
      <c r="G679" s="232"/>
      <c r="H679" s="576"/>
      <c r="I679" s="576"/>
      <c r="J679" s="576"/>
      <c r="K679" s="576"/>
      <c r="L679" s="232"/>
      <c r="M679" s="250"/>
      <c r="N679" s="232"/>
      <c r="O679" s="563"/>
    </row>
    <row r="680" spans="2:15" outlineLevel="2">
      <c r="B680" s="238"/>
      <c r="C680" s="565" t="s">
        <v>245</v>
      </c>
      <c r="D680" s="566" t="s">
        <v>766</v>
      </c>
      <c r="E680" s="232"/>
      <c r="F680" s="250"/>
      <c r="G680" s="232"/>
      <c r="H680" s="576"/>
      <c r="I680" s="576"/>
      <c r="J680" s="576"/>
      <c r="K680" s="576"/>
      <c r="L680" s="232"/>
      <c r="M680" s="250"/>
      <c r="N680" s="232"/>
      <c r="O680" s="563"/>
    </row>
    <row r="681" spans="2:15" outlineLevel="2">
      <c r="B681" s="238"/>
      <c r="C681" s="565" t="s">
        <v>245</v>
      </c>
      <c r="D681" s="566" t="s">
        <v>766</v>
      </c>
      <c r="E681" s="232"/>
      <c r="F681" s="250"/>
      <c r="G681" s="232"/>
      <c r="H681" s="576"/>
      <c r="I681" s="576"/>
      <c r="J681" s="576"/>
      <c r="K681" s="576"/>
      <c r="L681" s="232"/>
      <c r="M681" s="250"/>
      <c r="N681" s="232"/>
      <c r="O681" s="563"/>
    </row>
    <row r="682" spans="2:15" outlineLevel="2">
      <c r="B682" s="238"/>
      <c r="C682" s="565" t="s">
        <v>245</v>
      </c>
      <c r="D682" s="566" t="s">
        <v>766</v>
      </c>
      <c r="E682" s="232"/>
      <c r="F682" s="250"/>
      <c r="G682" s="232"/>
      <c r="H682" s="576"/>
      <c r="I682" s="576"/>
      <c r="J682" s="576"/>
      <c r="K682" s="576"/>
      <c r="L682" s="232"/>
      <c r="M682" s="250"/>
      <c r="N682" s="232"/>
      <c r="O682" s="563"/>
    </row>
    <row r="683" spans="2:15" outlineLevel="1">
      <c r="B683" s="565"/>
      <c r="C683" s="565"/>
      <c r="D683" s="565"/>
      <c r="E683" s="232"/>
      <c r="F683" s="250"/>
      <c r="G683" s="232"/>
      <c r="H683" s="569"/>
      <c r="I683" s="569"/>
      <c r="J683" s="569"/>
      <c r="K683" s="569"/>
      <c r="L683" s="232"/>
      <c r="M683" s="250"/>
      <c r="N683" s="232"/>
      <c r="O683" s="570"/>
    </row>
    <row r="684" spans="2:15" s="234" customFormat="1" outlineLevel="1">
      <c r="B684" s="235" t="s">
        <v>731</v>
      </c>
      <c r="C684" s="235"/>
      <c r="D684" s="235"/>
      <c r="E684" s="232"/>
      <c r="F684" s="250"/>
      <c r="G684" s="232"/>
      <c r="H684" s="236">
        <f>COUNTA(H685:H688)</f>
        <v>0</v>
      </c>
      <c r="I684" s="236"/>
      <c r="J684" s="236"/>
      <c r="K684" s="236"/>
      <c r="L684" s="232"/>
      <c r="M684" s="250"/>
      <c r="N684" s="232"/>
      <c r="O684" s="260">
        <f>SUM(O685:O688)</f>
        <v>0</v>
      </c>
    </row>
    <row r="685" spans="2:15" outlineLevel="2">
      <c r="B685" s="238"/>
      <c r="C685" s="565" t="s">
        <v>240</v>
      </c>
      <c r="D685" s="566" t="s">
        <v>27</v>
      </c>
      <c r="E685" s="232"/>
      <c r="F685" s="250"/>
      <c r="G685" s="232"/>
      <c r="H685" s="577"/>
      <c r="I685" s="577"/>
      <c r="J685" s="577"/>
      <c r="K685" s="577"/>
      <c r="L685" s="232"/>
      <c r="M685" s="250"/>
      <c r="N685" s="232"/>
      <c r="O685" s="563"/>
    </row>
    <row r="686" spans="2:15" outlineLevel="2">
      <c r="B686" s="238"/>
      <c r="C686" s="565"/>
      <c r="D686" s="566"/>
      <c r="E686" s="232"/>
      <c r="F686" s="250"/>
      <c r="G686" s="232"/>
      <c r="H686" s="576"/>
      <c r="I686" s="576"/>
      <c r="J686" s="576"/>
      <c r="K686" s="576"/>
      <c r="L686" s="232"/>
      <c r="M686" s="250"/>
      <c r="N686" s="232"/>
      <c r="O686" s="563"/>
    </row>
    <row r="687" spans="2:15" outlineLevel="2">
      <c r="B687" s="238"/>
      <c r="C687" s="565" t="s">
        <v>240</v>
      </c>
      <c r="D687" s="566" t="s">
        <v>766</v>
      </c>
      <c r="E687" s="232"/>
      <c r="F687" s="250"/>
      <c r="G687" s="232"/>
      <c r="H687" s="577"/>
      <c r="I687" s="577"/>
      <c r="J687" s="577"/>
      <c r="K687" s="577"/>
      <c r="L687" s="232"/>
      <c r="M687" s="250"/>
      <c r="N687" s="232"/>
      <c r="O687" s="563"/>
    </row>
    <row r="688" spans="2:15" outlineLevel="1">
      <c r="B688" s="560"/>
      <c r="C688" s="559"/>
      <c r="D688" s="559"/>
      <c r="H688" s="562"/>
      <c r="I688" s="562"/>
      <c r="J688" s="562"/>
      <c r="K688" s="562"/>
      <c r="O688" s="563"/>
    </row>
    <row r="689" spans="2:15" s="234" customFormat="1" outlineLevel="1">
      <c r="B689" s="235" t="s">
        <v>258</v>
      </c>
      <c r="C689" s="235"/>
      <c r="D689" s="235"/>
      <c r="E689" s="232"/>
      <c r="F689" s="250"/>
      <c r="G689" s="232"/>
      <c r="H689" s="236">
        <f>COUNTA(H690:H693)</f>
        <v>0</v>
      </c>
      <c r="I689" s="236"/>
      <c r="J689" s="236"/>
      <c r="K689" s="236"/>
      <c r="L689" s="232"/>
      <c r="M689" s="250"/>
      <c r="N689" s="232"/>
      <c r="O689" s="260">
        <f>SUM(O690:O693)</f>
        <v>0</v>
      </c>
    </row>
    <row r="690" spans="2:15" outlineLevel="2">
      <c r="B690" s="238"/>
      <c r="C690" s="565" t="s">
        <v>258</v>
      </c>
      <c r="D690" s="566" t="s">
        <v>27</v>
      </c>
      <c r="E690" s="232"/>
      <c r="F690" s="250"/>
      <c r="G690" s="232"/>
      <c r="H690" s="577"/>
      <c r="I690" s="577"/>
      <c r="J690" s="577"/>
      <c r="K690" s="577"/>
      <c r="L690" s="232"/>
      <c r="M690" s="250"/>
      <c r="N690" s="232"/>
      <c r="O690" s="563"/>
    </row>
    <row r="691" spans="2:15" outlineLevel="2">
      <c r="B691" s="238"/>
      <c r="C691" s="565"/>
      <c r="D691" s="566"/>
      <c r="E691" s="232"/>
      <c r="F691" s="250"/>
      <c r="G691" s="232"/>
      <c r="H691" s="576"/>
      <c r="I691" s="576"/>
      <c r="J691" s="576"/>
      <c r="K691" s="576"/>
      <c r="L691" s="232"/>
      <c r="M691" s="250"/>
      <c r="N691" s="232"/>
      <c r="O691" s="563"/>
    </row>
    <row r="692" spans="2:15" outlineLevel="2">
      <c r="B692" s="238"/>
      <c r="C692" s="565" t="s">
        <v>258</v>
      </c>
      <c r="D692" s="566" t="s">
        <v>766</v>
      </c>
      <c r="E692" s="232"/>
      <c r="F692" s="250"/>
      <c r="G692" s="232"/>
      <c r="H692" s="577"/>
      <c r="I692" s="577"/>
      <c r="J692" s="577"/>
      <c r="K692" s="577"/>
      <c r="L692" s="232"/>
      <c r="M692" s="250"/>
      <c r="N692" s="232"/>
      <c r="O692" s="563"/>
    </row>
    <row r="693" spans="2:15" outlineLevel="1">
      <c r="B693" s="565"/>
      <c r="C693" s="565"/>
      <c r="D693" s="565"/>
      <c r="E693" s="232"/>
      <c r="F693" s="250"/>
      <c r="G693" s="232"/>
      <c r="H693" s="569"/>
      <c r="I693" s="569"/>
      <c r="J693" s="569"/>
      <c r="K693" s="569"/>
      <c r="L693" s="232"/>
      <c r="M693" s="250"/>
      <c r="N693" s="232"/>
      <c r="O693" s="570"/>
    </row>
    <row r="694" spans="2:15" s="234" customFormat="1" outlineLevel="1">
      <c r="B694" s="235" t="s">
        <v>798</v>
      </c>
      <c r="C694" s="235"/>
      <c r="D694" s="235"/>
      <c r="E694" s="232"/>
      <c r="F694" s="250"/>
      <c r="G694" s="232"/>
      <c r="H694" s="236">
        <f>COUNTA(H695:H703)</f>
        <v>8</v>
      </c>
      <c r="I694" s="236"/>
      <c r="J694" s="236"/>
      <c r="K694" s="236"/>
      <c r="L694" s="232"/>
      <c r="M694" s="250"/>
      <c r="N694" s="232"/>
      <c r="O694" s="260">
        <f>SUM(O695:O703)</f>
        <v>2.4698100000000001E-2</v>
      </c>
    </row>
    <row r="695" spans="2:15" outlineLevel="2">
      <c r="B695" s="238"/>
      <c r="C695" s="565" t="s">
        <v>798</v>
      </c>
      <c r="D695" s="566" t="s">
        <v>27</v>
      </c>
      <c r="E695" s="232"/>
      <c r="F695" s="250"/>
      <c r="G695" s="232"/>
      <c r="H695" s="577" t="s">
        <v>31</v>
      </c>
      <c r="I695" s="577"/>
      <c r="J695" s="577"/>
      <c r="K695" s="577"/>
      <c r="L695" s="232"/>
      <c r="M695" s="250"/>
      <c r="N695" s="232"/>
      <c r="O695" s="563">
        <v>1.5877349999999998E-2</v>
      </c>
    </row>
    <row r="696" spans="2:15" outlineLevel="2" collapsed="1">
      <c r="B696" s="238"/>
      <c r="C696" s="565" t="s">
        <v>798</v>
      </c>
      <c r="D696" s="566" t="s">
        <v>27</v>
      </c>
      <c r="E696" s="232"/>
      <c r="F696" s="250"/>
      <c r="G696" s="232"/>
      <c r="H696" s="576" t="s">
        <v>32</v>
      </c>
      <c r="I696" s="576"/>
      <c r="J696" s="576"/>
      <c r="K696" s="576"/>
      <c r="L696" s="232"/>
      <c r="M696" s="250"/>
      <c r="N696" s="232"/>
      <c r="O696" s="563"/>
    </row>
    <row r="697" spans="2:15" outlineLevel="2">
      <c r="B697" s="238"/>
      <c r="C697" s="565" t="s">
        <v>798</v>
      </c>
      <c r="D697" s="566" t="s">
        <v>27</v>
      </c>
      <c r="E697" s="232"/>
      <c r="F697" s="250"/>
      <c r="G697" s="232"/>
      <c r="H697" s="577" t="s">
        <v>632</v>
      </c>
      <c r="I697" s="577"/>
      <c r="J697" s="577"/>
      <c r="K697" s="577"/>
      <c r="L697" s="232"/>
      <c r="M697" s="250"/>
      <c r="N697" s="232"/>
      <c r="O697" s="563"/>
    </row>
    <row r="698" spans="2:15" outlineLevel="2">
      <c r="B698" s="238"/>
      <c r="C698" s="565" t="s">
        <v>798</v>
      </c>
      <c r="D698" s="566" t="s">
        <v>27</v>
      </c>
      <c r="E698" s="232"/>
      <c r="F698" s="250"/>
      <c r="G698" s="232"/>
      <c r="H698" s="576" t="s">
        <v>799</v>
      </c>
      <c r="I698" s="576"/>
      <c r="J698" s="576"/>
      <c r="K698" s="576"/>
      <c r="L698" s="232"/>
      <c r="M698" s="250"/>
      <c r="N698" s="232"/>
      <c r="O698" s="563"/>
    </row>
    <row r="699" spans="2:15" outlineLevel="2">
      <c r="B699" s="238"/>
      <c r="C699" s="565"/>
      <c r="D699" s="566"/>
      <c r="E699" s="232"/>
      <c r="F699" s="250"/>
      <c r="G699" s="232"/>
      <c r="H699" s="576"/>
      <c r="I699" s="576"/>
      <c r="J699" s="576"/>
      <c r="K699" s="576"/>
      <c r="L699" s="232"/>
      <c r="M699" s="250"/>
      <c r="N699" s="232"/>
      <c r="O699" s="563"/>
    </row>
    <row r="700" spans="2:15" outlineLevel="2">
      <c r="B700" s="238"/>
      <c r="C700" s="565" t="s">
        <v>798</v>
      </c>
      <c r="D700" s="566" t="s">
        <v>766</v>
      </c>
      <c r="E700" s="232"/>
      <c r="F700" s="250"/>
      <c r="G700" s="232"/>
      <c r="H700" s="577" t="s">
        <v>31</v>
      </c>
      <c r="I700" s="577"/>
      <c r="J700" s="577"/>
      <c r="K700" s="577"/>
      <c r="L700" s="232"/>
      <c r="M700" s="250"/>
      <c r="N700" s="232"/>
      <c r="O700" s="563">
        <v>8.8207500000000005E-3</v>
      </c>
    </row>
    <row r="701" spans="2:15" outlineLevel="2">
      <c r="B701" s="238"/>
      <c r="C701" s="565" t="s">
        <v>798</v>
      </c>
      <c r="D701" s="566" t="s">
        <v>766</v>
      </c>
      <c r="E701" s="232"/>
      <c r="F701" s="250"/>
      <c r="G701" s="232"/>
      <c r="H701" s="576" t="s">
        <v>32</v>
      </c>
      <c r="I701" s="576"/>
      <c r="J701" s="576"/>
      <c r="K701" s="576"/>
      <c r="L701" s="232"/>
      <c r="M701" s="250"/>
      <c r="N701" s="232"/>
      <c r="O701" s="563"/>
    </row>
    <row r="702" spans="2:15" outlineLevel="2">
      <c r="B702" s="238"/>
      <c r="C702" s="565" t="s">
        <v>798</v>
      </c>
      <c r="D702" s="566" t="s">
        <v>766</v>
      </c>
      <c r="E702" s="232"/>
      <c r="F702" s="250"/>
      <c r="G702" s="232"/>
      <c r="H702" s="577" t="s">
        <v>632</v>
      </c>
      <c r="I702" s="577"/>
      <c r="J702" s="577"/>
      <c r="K702" s="577"/>
      <c r="L702" s="232"/>
      <c r="M702" s="250"/>
      <c r="N702" s="232"/>
      <c r="O702" s="563"/>
    </row>
    <row r="703" spans="2:15" outlineLevel="2">
      <c r="B703" s="238"/>
      <c r="C703" s="565" t="s">
        <v>798</v>
      </c>
      <c r="D703" s="566" t="s">
        <v>766</v>
      </c>
      <c r="E703" s="232"/>
      <c r="F703" s="250"/>
      <c r="G703" s="232"/>
      <c r="H703" s="576" t="s">
        <v>799</v>
      </c>
      <c r="I703" s="576"/>
      <c r="J703" s="576"/>
      <c r="K703" s="576"/>
      <c r="L703" s="232"/>
      <c r="M703" s="250"/>
      <c r="N703" s="232"/>
      <c r="O703" s="563"/>
    </row>
    <row r="704" spans="2:15" ht="3" customHeight="1" outlineLevel="1">
      <c r="B704" s="560"/>
      <c r="C704" s="559"/>
      <c r="D704" s="559"/>
      <c r="H704" s="562"/>
      <c r="I704" s="562"/>
      <c r="J704" s="562"/>
      <c r="K704" s="562"/>
      <c r="O704" s="563"/>
    </row>
    <row r="705" spans="2:15" s="234" customFormat="1" outlineLevel="1">
      <c r="B705" s="235" t="s">
        <v>800</v>
      </c>
      <c r="C705" s="235"/>
      <c r="D705" s="235"/>
      <c r="E705" s="232"/>
      <c r="F705" s="250"/>
      <c r="G705" s="232"/>
      <c r="H705" s="236">
        <f>COUNTA(H706:H712)</f>
        <v>0</v>
      </c>
      <c r="I705" s="236"/>
      <c r="J705" s="236"/>
      <c r="K705" s="236"/>
      <c r="L705" s="232"/>
      <c r="M705" s="250"/>
      <c r="N705" s="232"/>
      <c r="O705" s="260">
        <f>SUM(O706:O712)</f>
        <v>0</v>
      </c>
    </row>
    <row r="706" spans="2:15" outlineLevel="2">
      <c r="B706" s="238"/>
      <c r="C706" s="565" t="s">
        <v>733</v>
      </c>
      <c r="D706" s="566" t="s">
        <v>27</v>
      </c>
      <c r="E706" s="232"/>
      <c r="F706" s="250"/>
      <c r="G706" s="232"/>
      <c r="H706" s="577"/>
      <c r="I706" s="577"/>
      <c r="J706" s="577"/>
      <c r="K706" s="577"/>
      <c r="L706" s="232"/>
      <c r="M706" s="250"/>
      <c r="N706" s="232"/>
      <c r="O706" s="563"/>
    </row>
    <row r="707" spans="2:15" outlineLevel="2">
      <c r="B707" s="238"/>
      <c r="C707" s="565" t="s">
        <v>733</v>
      </c>
      <c r="D707" s="566" t="s">
        <v>27</v>
      </c>
      <c r="E707" s="232"/>
      <c r="F707" s="250"/>
      <c r="G707" s="232"/>
      <c r="H707" s="576"/>
      <c r="I707" s="576"/>
      <c r="J707" s="576"/>
      <c r="K707" s="576"/>
      <c r="L707" s="232"/>
      <c r="M707" s="250"/>
      <c r="N707" s="232"/>
      <c r="O707" s="563"/>
    </row>
    <row r="708" spans="2:15" outlineLevel="2">
      <c r="B708" s="238"/>
      <c r="C708" s="565" t="s">
        <v>733</v>
      </c>
      <c r="D708" s="566" t="s">
        <v>27</v>
      </c>
      <c r="E708" s="232"/>
      <c r="F708" s="250"/>
      <c r="G708" s="232"/>
      <c r="H708" s="576"/>
      <c r="I708" s="576"/>
      <c r="J708" s="576"/>
      <c r="K708" s="576"/>
      <c r="L708" s="232"/>
      <c r="M708" s="250"/>
      <c r="N708" s="232"/>
      <c r="O708" s="563"/>
    </row>
    <row r="709" spans="2:15" outlineLevel="2">
      <c r="B709" s="238"/>
      <c r="C709" s="565"/>
      <c r="D709" s="566"/>
      <c r="E709" s="232"/>
      <c r="F709" s="250"/>
      <c r="G709" s="232"/>
      <c r="H709" s="576"/>
      <c r="I709" s="576"/>
      <c r="J709" s="576"/>
      <c r="K709" s="576"/>
      <c r="L709" s="232"/>
      <c r="M709" s="250"/>
      <c r="N709" s="232"/>
      <c r="O709" s="563"/>
    </row>
    <row r="710" spans="2:15" outlineLevel="2">
      <c r="B710" s="238"/>
      <c r="C710" s="565" t="s">
        <v>733</v>
      </c>
      <c r="D710" s="566" t="s">
        <v>766</v>
      </c>
      <c r="E710" s="232"/>
      <c r="F710" s="250"/>
      <c r="G710" s="232"/>
      <c r="H710" s="576"/>
      <c r="I710" s="576"/>
      <c r="J710" s="576"/>
      <c r="K710" s="576"/>
      <c r="L710" s="232"/>
      <c r="M710" s="250"/>
      <c r="N710" s="232"/>
      <c r="O710" s="563"/>
    </row>
    <row r="711" spans="2:15" outlineLevel="2">
      <c r="B711" s="238"/>
      <c r="C711" s="565" t="s">
        <v>733</v>
      </c>
      <c r="D711" s="566" t="s">
        <v>766</v>
      </c>
      <c r="E711" s="232"/>
      <c r="F711" s="250"/>
      <c r="G711" s="232"/>
      <c r="H711" s="577"/>
      <c r="I711" s="577"/>
      <c r="J711" s="577"/>
      <c r="K711" s="577"/>
      <c r="L711" s="232"/>
      <c r="M711" s="250"/>
      <c r="N711" s="232"/>
      <c r="O711" s="563"/>
    </row>
    <row r="712" spans="2:15" outlineLevel="2">
      <c r="B712" s="238"/>
      <c r="C712" s="565" t="s">
        <v>733</v>
      </c>
      <c r="D712" s="566" t="s">
        <v>766</v>
      </c>
      <c r="E712" s="232"/>
      <c r="F712" s="250"/>
      <c r="G712" s="232"/>
      <c r="H712" s="576"/>
      <c r="I712" s="576"/>
      <c r="J712" s="576"/>
      <c r="K712" s="576"/>
      <c r="L712" s="232"/>
      <c r="M712" s="250"/>
      <c r="N712" s="232"/>
      <c r="O712" s="563"/>
    </row>
    <row r="713" spans="2:15" ht="3" customHeight="1" outlineLevel="1">
      <c r="B713" s="605"/>
      <c r="C713" s="605"/>
      <c r="D713" s="606"/>
      <c r="E713" s="232"/>
      <c r="F713" s="250"/>
      <c r="G713" s="232"/>
      <c r="H713" s="259"/>
      <c r="I713" s="259"/>
      <c r="J713" s="259"/>
      <c r="K713" s="259"/>
      <c r="L713" s="232"/>
      <c r="M713" s="250"/>
      <c r="N713" s="232"/>
      <c r="O713" s="342"/>
    </row>
    <row r="714" spans="2:15" s="234" customFormat="1" outlineLevel="1">
      <c r="B714" s="235" t="s">
        <v>233</v>
      </c>
      <c r="C714" s="235"/>
      <c r="D714" s="235"/>
      <c r="E714" s="232"/>
      <c r="F714" s="250"/>
      <c r="G714" s="232"/>
      <c r="H714" s="236">
        <f>COUNTA(H715:H721)</f>
        <v>3</v>
      </c>
      <c r="I714" s="236"/>
      <c r="J714" s="236"/>
      <c r="K714" s="236"/>
      <c r="L714" s="232"/>
      <c r="M714" s="250"/>
      <c r="N714" s="232"/>
      <c r="O714" s="260">
        <f>SUM(O715:O721)</f>
        <v>0</v>
      </c>
    </row>
    <row r="715" spans="2:15" outlineLevel="2">
      <c r="B715" s="238"/>
      <c r="C715" s="565" t="s">
        <v>233</v>
      </c>
      <c r="D715" s="566" t="s">
        <v>27</v>
      </c>
      <c r="E715" s="232"/>
      <c r="F715" s="250"/>
      <c r="G715" s="232"/>
      <c r="H715" s="576" t="s">
        <v>31</v>
      </c>
      <c r="I715" s="576"/>
      <c r="J715" s="576"/>
      <c r="K715" s="576"/>
      <c r="L715" s="232"/>
      <c r="M715" s="250"/>
      <c r="N715" s="232"/>
      <c r="O715" s="563"/>
    </row>
    <row r="716" spans="2:15" outlineLevel="2">
      <c r="B716" s="238"/>
      <c r="C716" s="565" t="s">
        <v>233</v>
      </c>
      <c r="D716" s="566" t="s">
        <v>27</v>
      </c>
      <c r="E716" s="232"/>
      <c r="F716" s="250"/>
      <c r="G716" s="232"/>
      <c r="H716" s="576" t="s">
        <v>32</v>
      </c>
      <c r="I716" s="576"/>
      <c r="J716" s="576"/>
      <c r="K716" s="576"/>
      <c r="L716" s="232"/>
      <c r="M716" s="250"/>
      <c r="N716" s="232"/>
      <c r="O716" s="563"/>
    </row>
    <row r="717" spans="2:15" outlineLevel="2">
      <c r="B717" s="238"/>
      <c r="C717" s="565" t="s">
        <v>233</v>
      </c>
      <c r="D717" s="566" t="s">
        <v>27</v>
      </c>
      <c r="E717" s="232"/>
      <c r="F717" s="250"/>
      <c r="G717" s="232"/>
      <c r="H717" s="576" t="s">
        <v>632</v>
      </c>
      <c r="I717" s="576"/>
      <c r="J717" s="576"/>
      <c r="K717" s="576"/>
      <c r="L717" s="232"/>
      <c r="M717" s="250"/>
      <c r="N717" s="232"/>
      <c r="O717" s="563"/>
    </row>
    <row r="718" spans="2:15" outlineLevel="2">
      <c r="B718" s="238"/>
      <c r="C718" s="565"/>
      <c r="D718" s="566"/>
      <c r="E718" s="232"/>
      <c r="F718" s="250"/>
      <c r="G718" s="232"/>
      <c r="H718" s="576"/>
      <c r="I718" s="576"/>
      <c r="J718" s="576"/>
      <c r="K718" s="576"/>
      <c r="L718" s="232"/>
      <c r="M718" s="250"/>
      <c r="N718" s="232"/>
      <c r="O718" s="563"/>
    </row>
    <row r="719" spans="2:15" outlineLevel="2">
      <c r="B719" s="238"/>
      <c r="C719" s="565" t="s">
        <v>233</v>
      </c>
      <c r="D719" s="566" t="s">
        <v>766</v>
      </c>
      <c r="E719" s="232"/>
      <c r="F719" s="250"/>
      <c r="G719" s="232"/>
      <c r="H719" s="576"/>
      <c r="I719" s="576"/>
      <c r="J719" s="576"/>
      <c r="K719" s="576"/>
      <c r="L719" s="232"/>
      <c r="M719" s="250"/>
      <c r="N719" s="232"/>
      <c r="O719" s="563"/>
    </row>
    <row r="720" spans="2:15" outlineLevel="2">
      <c r="B720" s="238"/>
      <c r="C720" s="565" t="s">
        <v>233</v>
      </c>
      <c r="D720" s="566" t="s">
        <v>766</v>
      </c>
      <c r="E720" s="232"/>
      <c r="F720" s="250"/>
      <c r="G720" s="232"/>
      <c r="H720" s="576"/>
      <c r="I720" s="576"/>
      <c r="J720" s="576"/>
      <c r="K720" s="576"/>
      <c r="L720" s="232"/>
      <c r="M720" s="250"/>
      <c r="N720" s="232"/>
      <c r="O720" s="563"/>
    </row>
    <row r="721" spans="2:15" outlineLevel="2">
      <c r="B721" s="238"/>
      <c r="C721" s="565" t="s">
        <v>233</v>
      </c>
      <c r="D721" s="566" t="s">
        <v>766</v>
      </c>
      <c r="E721" s="232"/>
      <c r="F721" s="250"/>
      <c r="G721" s="232"/>
      <c r="H721" s="576"/>
      <c r="I721" s="576"/>
      <c r="J721" s="576"/>
      <c r="K721" s="576"/>
      <c r="L721" s="232"/>
      <c r="M721" s="250"/>
      <c r="N721" s="232"/>
      <c r="O721" s="563"/>
    </row>
    <row r="722" spans="2:15" ht="3" customHeight="1" outlineLevel="1">
      <c r="B722" s="565"/>
      <c r="C722" s="565"/>
      <c r="D722" s="565"/>
      <c r="E722" s="232"/>
      <c r="F722" s="250"/>
      <c r="G722" s="232"/>
      <c r="H722" s="569"/>
      <c r="I722" s="569"/>
      <c r="J722" s="569"/>
      <c r="K722" s="569"/>
      <c r="L722" s="232"/>
      <c r="M722" s="250"/>
      <c r="N722" s="232"/>
      <c r="O722" s="570"/>
    </row>
    <row r="723" spans="2:15" s="234" customFormat="1" outlineLevel="1">
      <c r="B723" s="235" t="s">
        <v>269</v>
      </c>
      <c r="C723" s="235"/>
      <c r="D723" s="235"/>
      <c r="E723" s="232"/>
      <c r="F723" s="250"/>
      <c r="G723" s="232"/>
      <c r="H723" s="236">
        <f>COUNTA(H724:H727)</f>
        <v>4</v>
      </c>
      <c r="I723" s="236"/>
      <c r="J723" s="236"/>
      <c r="K723" s="236"/>
      <c r="L723" s="232"/>
      <c r="M723" s="250"/>
      <c r="N723" s="232"/>
      <c r="O723" s="260">
        <f>SUM(O724:O735)</f>
        <v>2.4949999999999997</v>
      </c>
    </row>
    <row r="724" spans="2:15" outlineLevel="2">
      <c r="B724" s="242"/>
      <c r="C724" s="242" t="s">
        <v>269</v>
      </c>
      <c r="D724" s="249" t="s">
        <v>793</v>
      </c>
      <c r="E724" s="232"/>
      <c r="F724" s="250"/>
      <c r="G724" s="232"/>
      <c r="H724" s="256" t="s">
        <v>284</v>
      </c>
      <c r="I724" s="256"/>
      <c r="J724" s="256"/>
      <c r="K724" s="256"/>
      <c r="L724" s="232"/>
      <c r="M724" s="250"/>
      <c r="N724" s="232"/>
      <c r="O724" s="279">
        <v>0.47</v>
      </c>
    </row>
    <row r="725" spans="2:15" outlineLevel="2">
      <c r="B725" s="242"/>
      <c r="C725" s="242" t="s">
        <v>269</v>
      </c>
      <c r="D725" s="249" t="s">
        <v>793</v>
      </c>
      <c r="E725" s="232"/>
      <c r="F725" s="250"/>
      <c r="G725" s="232"/>
      <c r="H725" s="559" t="s">
        <v>31</v>
      </c>
      <c r="I725" s="559"/>
      <c r="J725" s="559"/>
      <c r="K725" s="559"/>
      <c r="L725" s="232"/>
      <c r="M725" s="250"/>
      <c r="N725" s="232"/>
      <c r="O725" s="585">
        <v>0.85</v>
      </c>
    </row>
    <row r="726" spans="2:15" outlineLevel="2" collapsed="1">
      <c r="B726" s="242"/>
      <c r="C726" s="242" t="s">
        <v>269</v>
      </c>
      <c r="D726" s="249" t="s">
        <v>793</v>
      </c>
      <c r="E726" s="232"/>
      <c r="F726" s="250"/>
      <c r="G726" s="232"/>
      <c r="H726" s="559" t="s">
        <v>32</v>
      </c>
      <c r="I726" s="559"/>
      <c r="J726" s="559"/>
      <c r="K726" s="559"/>
      <c r="L726" s="232"/>
      <c r="M726" s="250"/>
      <c r="N726" s="232"/>
      <c r="O726" s="585">
        <v>0.94000000000000006</v>
      </c>
    </row>
    <row r="727" spans="2:15" outlineLevel="2">
      <c r="B727" s="242"/>
      <c r="C727" s="242" t="s">
        <v>269</v>
      </c>
      <c r="D727" s="249" t="s">
        <v>793</v>
      </c>
      <c r="E727" s="232"/>
      <c r="F727" s="250"/>
      <c r="G727" s="232"/>
      <c r="H727" s="256" t="s">
        <v>796</v>
      </c>
      <c r="I727" s="256"/>
      <c r="J727" s="256"/>
      <c r="K727" s="256"/>
      <c r="L727" s="232"/>
      <c r="M727" s="250"/>
      <c r="N727" s="232"/>
      <c r="O727" s="279">
        <v>0.23499999999999999</v>
      </c>
    </row>
    <row r="728" spans="2:15" outlineLevel="2">
      <c r="B728" s="256"/>
      <c r="C728" s="242"/>
      <c r="D728" s="249"/>
      <c r="E728" s="232"/>
      <c r="F728" s="250"/>
      <c r="G728" s="232"/>
      <c r="H728" s="559"/>
      <c r="I728" s="559"/>
      <c r="J728" s="559"/>
      <c r="K728" s="559"/>
      <c r="L728" s="232"/>
      <c r="M728" s="250"/>
      <c r="N728" s="232"/>
      <c r="O728" s="585"/>
    </row>
    <row r="729" spans="2:15" outlineLevel="2">
      <c r="B729" s="242"/>
      <c r="C729" s="242" t="s">
        <v>269</v>
      </c>
      <c r="D729" s="249" t="s">
        <v>27</v>
      </c>
      <c r="E729" s="232"/>
      <c r="F729" s="250"/>
      <c r="G729" s="232"/>
      <c r="H729" s="332"/>
      <c r="I729" s="332"/>
      <c r="J729" s="332"/>
      <c r="K729" s="332"/>
      <c r="L729" s="232"/>
      <c r="M729" s="250"/>
      <c r="N729" s="232"/>
      <c r="O729" s="361"/>
    </row>
    <row r="730" spans="2:15" outlineLevel="2">
      <c r="B730" s="242"/>
      <c r="C730" s="242" t="s">
        <v>269</v>
      </c>
      <c r="D730" s="249" t="s">
        <v>27</v>
      </c>
      <c r="E730" s="232"/>
      <c r="F730" s="250"/>
      <c r="G730" s="232"/>
      <c r="H730" s="335"/>
      <c r="I730" s="335"/>
      <c r="J730" s="335"/>
      <c r="K730" s="335"/>
      <c r="L730" s="232"/>
      <c r="M730" s="250"/>
      <c r="N730" s="232"/>
      <c r="O730" s="362"/>
    </row>
    <row r="731" spans="2:15" outlineLevel="2">
      <c r="B731" s="242"/>
      <c r="C731" s="242" t="s">
        <v>269</v>
      </c>
      <c r="D731" s="249" t="s">
        <v>27</v>
      </c>
      <c r="E731" s="232"/>
      <c r="F731" s="250"/>
      <c r="G731" s="232"/>
      <c r="H731" s="332"/>
      <c r="I731" s="332"/>
      <c r="J731" s="332"/>
      <c r="K731" s="332"/>
      <c r="L731" s="232"/>
      <c r="M731" s="250"/>
      <c r="N731" s="232"/>
      <c r="O731" s="361"/>
    </row>
    <row r="732" spans="2:15" outlineLevel="2">
      <c r="B732" s="242"/>
      <c r="C732" s="242"/>
      <c r="D732" s="249"/>
      <c r="E732" s="232"/>
      <c r="F732" s="250"/>
      <c r="G732" s="232"/>
      <c r="H732" s="559"/>
      <c r="I732" s="559"/>
      <c r="J732" s="559"/>
      <c r="K732" s="559"/>
      <c r="L732" s="232"/>
      <c r="M732" s="250"/>
      <c r="N732" s="232"/>
      <c r="O732" s="585"/>
    </row>
    <row r="733" spans="2:15" outlineLevel="2">
      <c r="B733" s="242"/>
      <c r="C733" s="242" t="s">
        <v>269</v>
      </c>
      <c r="D733" s="249" t="s">
        <v>766</v>
      </c>
      <c r="E733" s="232"/>
      <c r="F733" s="250"/>
      <c r="G733" s="232"/>
      <c r="H733" s="335"/>
      <c r="I733" s="335"/>
      <c r="J733" s="335"/>
      <c r="K733" s="335"/>
      <c r="L733" s="232"/>
      <c r="M733" s="250"/>
      <c r="N733" s="232"/>
      <c r="O733" s="362"/>
    </row>
    <row r="734" spans="2:15" outlineLevel="2">
      <c r="B734" s="242"/>
      <c r="C734" s="242" t="s">
        <v>269</v>
      </c>
      <c r="D734" s="249" t="s">
        <v>766</v>
      </c>
      <c r="E734" s="232"/>
      <c r="F734" s="250"/>
      <c r="G734" s="232"/>
      <c r="H734" s="332"/>
      <c r="I734" s="332"/>
      <c r="J734" s="332"/>
      <c r="K734" s="332"/>
      <c r="L734" s="232"/>
      <c r="M734" s="250"/>
      <c r="N734" s="232"/>
      <c r="O734" s="361"/>
    </row>
    <row r="735" spans="2:15" outlineLevel="2">
      <c r="B735" s="242"/>
      <c r="C735" s="242" t="s">
        <v>269</v>
      </c>
      <c r="D735" s="249" t="s">
        <v>766</v>
      </c>
      <c r="E735" s="232"/>
      <c r="F735" s="250"/>
      <c r="G735" s="232"/>
      <c r="H735" s="335"/>
      <c r="I735" s="335"/>
      <c r="J735" s="335"/>
      <c r="K735" s="335"/>
      <c r="L735" s="232"/>
      <c r="M735" s="250"/>
      <c r="N735" s="232"/>
      <c r="O735" s="362"/>
    </row>
    <row r="736" spans="2:15" ht="3" customHeight="1" outlineLevel="1">
      <c r="B736" s="560"/>
      <c r="C736" s="559"/>
      <c r="D736" s="559"/>
      <c r="H736" s="562"/>
      <c r="I736" s="562"/>
      <c r="J736" s="562"/>
      <c r="K736" s="562"/>
      <c r="O736" s="563"/>
    </row>
    <row r="737" spans="2:15" s="234" customFormat="1" outlineLevel="1">
      <c r="B737" s="235" t="s">
        <v>267</v>
      </c>
      <c r="C737" s="235"/>
      <c r="D737" s="235"/>
      <c r="E737" s="232"/>
      <c r="F737" s="250"/>
      <c r="G737" s="232"/>
      <c r="H737" s="236">
        <f>COUNTA(H738:H743)</f>
        <v>4</v>
      </c>
      <c r="I737" s="236"/>
      <c r="J737" s="236"/>
      <c r="K737" s="236"/>
      <c r="L737" s="232"/>
      <c r="M737" s="250"/>
      <c r="N737" s="232"/>
      <c r="O737" s="260">
        <f>SUM(O738:O743)</f>
        <v>0.43655340342342008</v>
      </c>
    </row>
    <row r="738" spans="2:15" outlineLevel="2">
      <c r="B738" s="242"/>
      <c r="C738" s="242" t="s">
        <v>267</v>
      </c>
      <c r="D738" s="249" t="s">
        <v>793</v>
      </c>
      <c r="E738" s="232"/>
      <c r="F738" s="250"/>
      <c r="G738" s="232"/>
      <c r="H738" s="256" t="s">
        <v>320</v>
      </c>
      <c r="I738" s="256"/>
      <c r="J738" s="256"/>
      <c r="K738" s="256"/>
      <c r="L738" s="232"/>
      <c r="M738" s="250"/>
      <c r="N738" s="232"/>
      <c r="O738" s="279">
        <v>0.12160261933800001</v>
      </c>
    </row>
    <row r="739" spans="2:15" outlineLevel="2">
      <c r="B739" s="242"/>
      <c r="C739" s="242" t="s">
        <v>267</v>
      </c>
      <c r="D739" s="249" t="s">
        <v>793</v>
      </c>
      <c r="E739" s="232"/>
      <c r="F739" s="250"/>
      <c r="G739" s="232"/>
      <c r="H739" s="559" t="s">
        <v>321</v>
      </c>
      <c r="I739" s="559"/>
      <c r="J739" s="559"/>
      <c r="K739" s="559"/>
      <c r="L739" s="232"/>
      <c r="M739" s="250"/>
      <c r="N739" s="232"/>
      <c r="O739" s="279">
        <v>0.24320523867600002</v>
      </c>
    </row>
    <row r="740" spans="2:15" outlineLevel="2">
      <c r="B740" s="256"/>
      <c r="C740" s="242"/>
      <c r="D740" s="249"/>
      <c r="E740" s="232"/>
      <c r="F740" s="250"/>
      <c r="G740" s="232"/>
      <c r="H740" s="559"/>
      <c r="I740" s="559"/>
      <c r="J740" s="559"/>
      <c r="K740" s="559"/>
      <c r="L740" s="232"/>
      <c r="M740" s="250"/>
      <c r="N740" s="232"/>
      <c r="O740" s="585"/>
    </row>
    <row r="741" spans="2:15" outlineLevel="2">
      <c r="B741" s="242"/>
      <c r="C741" s="242" t="s">
        <v>267</v>
      </c>
      <c r="D741" s="249" t="s">
        <v>27</v>
      </c>
      <c r="E741" s="232"/>
      <c r="F741" s="250"/>
      <c r="G741" s="232"/>
      <c r="H741" s="559" t="s">
        <v>321</v>
      </c>
      <c r="I741" s="559"/>
      <c r="J741" s="559"/>
      <c r="K741" s="559"/>
      <c r="L741" s="232"/>
      <c r="M741" s="250"/>
      <c r="N741" s="232"/>
      <c r="O741" s="279">
        <v>5.7396436327535993E-2</v>
      </c>
    </row>
    <row r="742" spans="2:15" outlineLevel="2">
      <c r="B742" s="242"/>
      <c r="C742" s="242"/>
      <c r="D742" s="249"/>
      <c r="E742" s="232"/>
      <c r="F742" s="250"/>
      <c r="G742" s="232"/>
      <c r="H742" s="559"/>
      <c r="I742" s="559"/>
      <c r="J742" s="559"/>
      <c r="K742" s="559"/>
      <c r="L742" s="232"/>
      <c r="M742" s="250"/>
      <c r="N742" s="232"/>
      <c r="O742" s="585"/>
    </row>
    <row r="743" spans="2:15" outlineLevel="2">
      <c r="B743" s="242"/>
      <c r="C743" s="242" t="s">
        <v>267</v>
      </c>
      <c r="D743" s="249" t="s">
        <v>766</v>
      </c>
      <c r="E743" s="232"/>
      <c r="F743" s="250"/>
      <c r="G743" s="232"/>
      <c r="H743" s="559" t="s">
        <v>321</v>
      </c>
      <c r="I743" s="559"/>
      <c r="J743" s="559"/>
      <c r="K743" s="559"/>
      <c r="L743" s="232"/>
      <c r="M743" s="250"/>
      <c r="N743" s="232"/>
      <c r="O743" s="585">
        <v>1.4349109081883998E-2</v>
      </c>
    </row>
    <row r="744" spans="2:15" ht="3" customHeight="1" outlineLevel="1">
      <c r="B744" s="242"/>
      <c r="C744" s="242"/>
      <c r="D744" s="249"/>
      <c r="E744" s="232"/>
      <c r="F744" s="250"/>
      <c r="G744" s="232"/>
      <c r="H744" s="569"/>
      <c r="I744" s="569"/>
      <c r="J744" s="569"/>
      <c r="K744" s="569"/>
      <c r="L744" s="232"/>
      <c r="M744" s="250"/>
      <c r="N744" s="232"/>
      <c r="O744" s="570"/>
    </row>
    <row r="745" spans="2:15" s="234" customFormat="1" outlineLevel="1">
      <c r="B745" s="267" t="s">
        <v>633</v>
      </c>
      <c r="C745" s="235"/>
      <c r="D745" s="235"/>
      <c r="E745" s="232"/>
      <c r="F745" s="250"/>
      <c r="G745" s="232"/>
      <c r="H745" s="236">
        <f>COUNTA(H746)</f>
        <v>0</v>
      </c>
      <c r="I745" s="236"/>
      <c r="J745" s="236"/>
      <c r="K745" s="236"/>
      <c r="L745" s="232"/>
      <c r="M745" s="250"/>
      <c r="N745" s="232"/>
      <c r="O745" s="260">
        <f>SUM(O746:O757)</f>
        <v>0</v>
      </c>
    </row>
    <row r="746" spans="2:15" outlineLevel="3">
      <c r="B746" s="242"/>
      <c r="C746" s="242" t="s">
        <v>633</v>
      </c>
      <c r="D746" s="249" t="s">
        <v>793</v>
      </c>
      <c r="E746" s="232"/>
      <c r="F746" s="250"/>
      <c r="G746" s="232"/>
      <c r="H746" s="256"/>
      <c r="I746" s="256"/>
      <c r="J746" s="256"/>
      <c r="K746" s="256"/>
      <c r="L746" s="232"/>
      <c r="M746" s="250"/>
      <c r="N746" s="232"/>
      <c r="O746" s="563"/>
    </row>
    <row r="747" spans="2:15" outlineLevel="3">
      <c r="B747" s="242"/>
      <c r="C747" s="331" t="s">
        <v>633</v>
      </c>
      <c r="D747" s="332" t="s">
        <v>793</v>
      </c>
      <c r="E747" s="333"/>
      <c r="F747" s="334"/>
      <c r="G747" s="333"/>
      <c r="H747" s="332"/>
      <c r="I747" s="332"/>
      <c r="J747" s="332"/>
      <c r="K747" s="332"/>
      <c r="L747" s="232"/>
      <c r="M747" s="250"/>
      <c r="N747" s="232"/>
      <c r="O747" s="572"/>
    </row>
    <row r="748" spans="2:15" outlineLevel="3">
      <c r="B748" s="242"/>
      <c r="C748" s="331" t="s">
        <v>633</v>
      </c>
      <c r="D748" s="332" t="s">
        <v>793</v>
      </c>
      <c r="E748" s="333"/>
      <c r="F748" s="334"/>
      <c r="G748" s="333"/>
      <c r="H748" s="332"/>
      <c r="I748" s="332"/>
      <c r="J748" s="332"/>
      <c r="K748" s="332"/>
      <c r="L748" s="232"/>
      <c r="M748" s="250"/>
      <c r="N748" s="232"/>
      <c r="O748" s="572"/>
    </row>
    <row r="749" spans="2:15" outlineLevel="2">
      <c r="B749" s="256"/>
      <c r="C749" s="331"/>
      <c r="D749" s="332"/>
      <c r="E749" s="333"/>
      <c r="F749" s="334"/>
      <c r="G749" s="333"/>
      <c r="H749" s="335"/>
      <c r="I749" s="335"/>
      <c r="J749" s="335"/>
      <c r="K749" s="335"/>
      <c r="L749" s="232"/>
      <c r="M749" s="250"/>
      <c r="N749" s="232"/>
      <c r="O749" s="563"/>
    </row>
    <row r="750" spans="2:15" outlineLevel="2">
      <c r="B750" s="242"/>
      <c r="C750" s="331" t="s">
        <v>633</v>
      </c>
      <c r="D750" s="332" t="s">
        <v>27</v>
      </c>
      <c r="E750" s="333"/>
      <c r="F750" s="334"/>
      <c r="G750" s="333"/>
      <c r="H750" s="332"/>
      <c r="I750" s="332"/>
      <c r="J750" s="332"/>
      <c r="K750" s="332"/>
      <c r="L750" s="232"/>
      <c r="M750" s="250"/>
      <c r="N750" s="232"/>
      <c r="O750" s="563"/>
    </row>
    <row r="751" spans="2:15" outlineLevel="2">
      <c r="B751" s="242"/>
      <c r="C751" s="331" t="s">
        <v>633</v>
      </c>
      <c r="D751" s="332" t="s">
        <v>27</v>
      </c>
      <c r="E751" s="333"/>
      <c r="F751" s="334"/>
      <c r="G751" s="333"/>
      <c r="H751" s="332"/>
      <c r="I751" s="332"/>
      <c r="J751" s="332"/>
      <c r="K751" s="332"/>
      <c r="L751" s="232"/>
      <c r="M751" s="250"/>
      <c r="N751" s="232"/>
      <c r="O751" s="563"/>
    </row>
    <row r="752" spans="2:15" outlineLevel="2">
      <c r="B752" s="242"/>
      <c r="C752" s="331" t="s">
        <v>633</v>
      </c>
      <c r="D752" s="332" t="s">
        <v>27</v>
      </c>
      <c r="E752" s="333"/>
      <c r="F752" s="334"/>
      <c r="G752" s="333"/>
      <c r="H752" s="332"/>
      <c r="I752" s="332"/>
      <c r="J752" s="332"/>
      <c r="K752" s="332"/>
      <c r="L752" s="232"/>
      <c r="M752" s="250"/>
      <c r="N752" s="232"/>
      <c r="O752" s="563"/>
    </row>
    <row r="753" spans="2:15" outlineLevel="2">
      <c r="B753" s="560"/>
      <c r="C753" s="559"/>
      <c r="D753" s="559"/>
      <c r="H753" s="562"/>
      <c r="I753" s="562"/>
      <c r="J753" s="562"/>
      <c r="K753" s="562"/>
      <c r="O753" s="563"/>
    </row>
    <row r="754" spans="2:15" outlineLevel="2">
      <c r="B754" s="242"/>
      <c r="C754" s="331" t="s">
        <v>633</v>
      </c>
      <c r="D754" s="332" t="s">
        <v>766</v>
      </c>
      <c r="E754" s="333"/>
      <c r="F754" s="334"/>
      <c r="G754" s="333"/>
      <c r="H754" s="332"/>
      <c r="I754" s="332"/>
      <c r="J754" s="332"/>
      <c r="K754" s="332"/>
      <c r="L754" s="232"/>
      <c r="M754" s="250"/>
      <c r="N754" s="232"/>
      <c r="O754" s="563"/>
    </row>
    <row r="755" spans="2:15" outlineLevel="2">
      <c r="B755" s="242"/>
      <c r="C755" s="331" t="s">
        <v>633</v>
      </c>
      <c r="D755" s="332" t="s">
        <v>766</v>
      </c>
      <c r="E755" s="333"/>
      <c r="F755" s="334"/>
      <c r="G755" s="333"/>
      <c r="H755" s="332"/>
      <c r="I755" s="332"/>
      <c r="J755" s="332"/>
      <c r="K755" s="332"/>
      <c r="L755" s="232"/>
      <c r="M755" s="250"/>
      <c r="N755" s="232"/>
      <c r="O755" s="563"/>
    </row>
    <row r="756" spans="2:15" outlineLevel="2">
      <c r="B756" s="242"/>
      <c r="C756" s="331" t="s">
        <v>633</v>
      </c>
      <c r="D756" s="332" t="s">
        <v>766</v>
      </c>
      <c r="E756" s="333"/>
      <c r="F756" s="334"/>
      <c r="G756" s="333"/>
      <c r="H756" s="332"/>
      <c r="I756" s="332"/>
      <c r="J756" s="332"/>
      <c r="K756" s="332"/>
      <c r="L756" s="232"/>
      <c r="M756" s="250"/>
      <c r="N756" s="232"/>
      <c r="O756" s="563"/>
    </row>
    <row r="757" spans="2:15" outlineLevel="2">
      <c r="B757" s="242"/>
      <c r="C757" s="331" t="s">
        <v>633</v>
      </c>
      <c r="D757" s="332" t="s">
        <v>766</v>
      </c>
      <c r="E757" s="333"/>
      <c r="F757" s="334"/>
      <c r="G757" s="333"/>
      <c r="H757" s="332"/>
      <c r="I757" s="332"/>
      <c r="J757" s="332"/>
      <c r="K757" s="332"/>
      <c r="L757" s="232"/>
      <c r="M757" s="250"/>
      <c r="N757" s="232"/>
      <c r="O757" s="563"/>
    </row>
    <row r="758" spans="2:15" ht="3" customHeight="1" outlineLevel="1">
      <c r="B758" s="242"/>
      <c r="C758" s="242"/>
      <c r="D758" s="249"/>
      <c r="E758" s="232"/>
      <c r="F758" s="250"/>
      <c r="G758" s="232"/>
      <c r="H758" s="569"/>
      <c r="I758" s="569"/>
      <c r="J758" s="569"/>
      <c r="K758" s="569"/>
      <c r="L758" s="232"/>
      <c r="M758" s="250"/>
      <c r="N758" s="232"/>
      <c r="O758" s="570"/>
    </row>
    <row r="759" spans="2:15" s="234" customFormat="1" outlineLevel="1">
      <c r="B759" s="267" t="s">
        <v>379</v>
      </c>
      <c r="C759" s="235"/>
      <c r="D759" s="235"/>
      <c r="E759" s="232"/>
      <c r="F759" s="250"/>
      <c r="G759" s="232"/>
      <c r="H759" s="236"/>
      <c r="I759" s="236"/>
      <c r="J759" s="236"/>
      <c r="K759" s="236"/>
      <c r="L759" s="232"/>
      <c r="M759" s="250"/>
      <c r="N759" s="232"/>
      <c r="O759" s="260">
        <f>SUM(O760:O761)</f>
        <v>0</v>
      </c>
    </row>
    <row r="760" spans="2:15" outlineLevel="2">
      <c r="B760" s="242"/>
      <c r="C760" s="242" t="s">
        <v>379</v>
      </c>
      <c r="D760" s="249" t="s">
        <v>793</v>
      </c>
      <c r="E760" s="232"/>
      <c r="F760" s="250"/>
      <c r="G760" s="232"/>
      <c r="H760" s="256"/>
      <c r="I760" s="256"/>
      <c r="J760" s="256"/>
      <c r="K760" s="256"/>
      <c r="L760" s="232"/>
      <c r="M760" s="250"/>
      <c r="N760" s="232"/>
      <c r="O760" s="279"/>
    </row>
    <row r="761" spans="2:15" outlineLevel="2">
      <c r="B761" s="242"/>
      <c r="C761" s="242"/>
      <c r="D761" s="249"/>
      <c r="E761" s="232"/>
      <c r="F761" s="250"/>
      <c r="G761" s="232"/>
      <c r="H761" s="256"/>
      <c r="I761" s="256"/>
      <c r="J761" s="256"/>
      <c r="K761" s="256"/>
      <c r="L761" s="232"/>
      <c r="M761" s="250"/>
      <c r="N761" s="232"/>
      <c r="O761" s="563"/>
    </row>
    <row r="762" spans="2:15" ht="3" customHeight="1" outlineLevel="1">
      <c r="B762" s="242"/>
      <c r="C762" s="242"/>
      <c r="D762" s="249"/>
      <c r="E762" s="232"/>
      <c r="F762" s="250"/>
      <c r="G762" s="232"/>
      <c r="H762" s="569"/>
      <c r="I762" s="569"/>
      <c r="J762" s="569"/>
      <c r="K762" s="569"/>
      <c r="L762" s="232"/>
      <c r="M762" s="250"/>
      <c r="N762" s="232"/>
      <c r="O762" s="570"/>
    </row>
    <row r="763" spans="2:15" s="234" customFormat="1" outlineLevel="1">
      <c r="B763" s="267" t="s">
        <v>801</v>
      </c>
      <c r="C763" s="235"/>
      <c r="D763" s="235"/>
      <c r="E763" s="232"/>
      <c r="F763" s="250"/>
      <c r="G763" s="232"/>
      <c r="H763" s="236"/>
      <c r="I763" s="236"/>
      <c r="J763" s="236"/>
      <c r="K763" s="236"/>
      <c r="L763" s="232"/>
      <c r="M763" s="250"/>
      <c r="N763" s="232"/>
      <c r="O763" s="260">
        <f>SUM(O764:O769)</f>
        <v>0</v>
      </c>
    </row>
    <row r="764" spans="2:15" outlineLevel="3">
      <c r="B764" s="242"/>
      <c r="C764" s="242" t="s">
        <v>801</v>
      </c>
      <c r="D764" s="249" t="s">
        <v>793</v>
      </c>
      <c r="E764" s="232"/>
      <c r="F764" s="250"/>
      <c r="G764" s="232"/>
      <c r="H764" s="256"/>
      <c r="I764" s="256"/>
      <c r="J764" s="256"/>
      <c r="K764" s="256"/>
      <c r="L764" s="232"/>
      <c r="M764" s="250"/>
      <c r="N764" s="232"/>
      <c r="O764" s="279"/>
    </row>
    <row r="765" spans="2:15" outlineLevel="3">
      <c r="B765" s="242"/>
      <c r="C765" s="242"/>
      <c r="D765" s="249"/>
      <c r="E765" s="232"/>
      <c r="F765" s="250"/>
      <c r="G765" s="232"/>
      <c r="H765" s="559"/>
      <c r="I765" s="559"/>
      <c r="J765" s="559"/>
      <c r="K765" s="559"/>
      <c r="L765" s="232"/>
      <c r="M765" s="250"/>
      <c r="N765" s="232"/>
      <c r="O765" s="585"/>
    </row>
    <row r="766" spans="2:15" outlineLevel="2">
      <c r="B766" s="256"/>
      <c r="C766" s="242" t="s">
        <v>801</v>
      </c>
      <c r="D766" s="249"/>
      <c r="E766" s="232"/>
      <c r="F766" s="250"/>
      <c r="G766" s="232"/>
      <c r="H766" s="256"/>
      <c r="I766" s="256"/>
      <c r="J766" s="256"/>
      <c r="K766" s="256"/>
      <c r="L766" s="232"/>
      <c r="M766" s="250"/>
      <c r="N766" s="232"/>
      <c r="O766" s="279"/>
    </row>
    <row r="767" spans="2:15" outlineLevel="2">
      <c r="B767" s="242"/>
      <c r="C767" s="242"/>
      <c r="D767" s="249"/>
      <c r="E767" s="232"/>
      <c r="F767" s="250"/>
      <c r="G767" s="232"/>
      <c r="H767" s="559"/>
      <c r="I767" s="559"/>
      <c r="J767" s="559"/>
      <c r="K767" s="559"/>
      <c r="L767" s="232"/>
      <c r="M767" s="250"/>
      <c r="N767" s="232"/>
      <c r="O767" s="585"/>
    </row>
    <row r="768" spans="2:15" outlineLevel="2">
      <c r="B768" s="242"/>
      <c r="C768" s="242" t="s">
        <v>801</v>
      </c>
      <c r="D768" s="249"/>
      <c r="E768" s="232"/>
      <c r="F768" s="250"/>
      <c r="G768" s="232"/>
      <c r="H768" s="256"/>
      <c r="I768" s="256"/>
      <c r="J768" s="256"/>
      <c r="K768" s="256"/>
      <c r="L768" s="232"/>
      <c r="M768" s="250"/>
      <c r="N768" s="232"/>
      <c r="O768" s="279"/>
    </row>
    <row r="769" spans="2:15" outlineLevel="2">
      <c r="B769" s="560"/>
      <c r="C769" s="559"/>
      <c r="D769" s="559"/>
      <c r="H769" s="562"/>
      <c r="I769" s="562"/>
      <c r="J769" s="562"/>
      <c r="K769" s="562"/>
      <c r="O769" s="563"/>
    </row>
    <row r="770" spans="2:15" outlineLevel="1">
      <c r="B770" s="560"/>
      <c r="C770" s="559"/>
      <c r="D770" s="559"/>
      <c r="H770" s="562"/>
      <c r="I770" s="562"/>
      <c r="J770" s="562"/>
      <c r="K770" s="562"/>
      <c r="O770" s="563"/>
    </row>
    <row r="771" spans="2:15" s="234" customFormat="1" outlineLevel="1">
      <c r="B771" s="267" t="s">
        <v>386</v>
      </c>
      <c r="C771" s="235"/>
      <c r="D771" s="235"/>
      <c r="E771" s="232"/>
      <c r="F771" s="250"/>
      <c r="G771" s="232"/>
      <c r="H771" s="236"/>
      <c r="I771" s="236"/>
      <c r="J771" s="236"/>
      <c r="K771" s="236"/>
      <c r="L771" s="232"/>
      <c r="M771" s="250"/>
      <c r="N771" s="232"/>
      <c r="O771" s="260">
        <f>SUM(O772:O772)</f>
        <v>0</v>
      </c>
    </row>
    <row r="772" spans="2:15" outlineLevel="3">
      <c r="B772" s="242"/>
      <c r="C772" s="242" t="s">
        <v>386</v>
      </c>
      <c r="D772" s="249" t="s">
        <v>793</v>
      </c>
      <c r="E772" s="232"/>
      <c r="F772" s="250"/>
      <c r="G772" s="232"/>
      <c r="H772" s="256"/>
      <c r="I772" s="256"/>
      <c r="J772" s="256"/>
      <c r="K772" s="256"/>
      <c r="L772" s="232"/>
      <c r="M772" s="250"/>
      <c r="N772" s="232"/>
      <c r="O772" s="279"/>
    </row>
    <row r="773" spans="2:15" outlineLevel="1">
      <c r="B773" s="565"/>
      <c r="C773" s="565"/>
      <c r="D773" s="565"/>
      <c r="E773" s="232"/>
      <c r="F773" s="250"/>
      <c r="G773" s="232"/>
      <c r="H773" s="569"/>
      <c r="I773" s="569"/>
      <c r="J773" s="569"/>
      <c r="K773" s="569"/>
      <c r="L773" s="232"/>
      <c r="M773" s="250"/>
      <c r="N773" s="232"/>
      <c r="O773" s="570"/>
    </row>
    <row r="774" spans="2:15" s="234" customFormat="1" outlineLevel="1">
      <c r="B774" s="267" t="s">
        <v>378</v>
      </c>
      <c r="C774" s="235"/>
      <c r="D774" s="235"/>
      <c r="E774" s="232"/>
      <c r="F774" s="250"/>
      <c r="G774" s="232"/>
      <c r="H774" s="236"/>
      <c r="I774" s="236"/>
      <c r="J774" s="236"/>
      <c r="K774" s="236"/>
      <c r="L774" s="232"/>
      <c r="M774" s="250"/>
      <c r="N774" s="232"/>
      <c r="O774" s="260">
        <f>SUM(O775:O775)</f>
        <v>0</v>
      </c>
    </row>
    <row r="775" spans="2:15" outlineLevel="3">
      <c r="B775" s="242"/>
      <c r="C775" s="242" t="s">
        <v>378</v>
      </c>
      <c r="D775" s="249" t="s">
        <v>793</v>
      </c>
      <c r="E775" s="232"/>
      <c r="F775" s="250"/>
      <c r="G775" s="232"/>
      <c r="H775" s="256"/>
      <c r="I775" s="256"/>
      <c r="J775" s="256"/>
      <c r="K775" s="256"/>
      <c r="L775" s="232"/>
      <c r="M775" s="250"/>
      <c r="N775" s="232"/>
      <c r="O775" s="279"/>
    </row>
    <row r="776" spans="2:15" outlineLevel="1">
      <c r="B776" s="565"/>
      <c r="C776" s="565"/>
      <c r="D776" s="565"/>
      <c r="E776" s="232"/>
      <c r="F776" s="250"/>
      <c r="G776" s="232"/>
      <c r="H776" s="569"/>
      <c r="I776" s="569"/>
      <c r="J776" s="569"/>
      <c r="K776" s="569"/>
      <c r="L776" s="232"/>
      <c r="M776" s="250"/>
      <c r="N776" s="232"/>
      <c r="O776" s="570"/>
    </row>
    <row r="777" spans="2:15" s="234" customFormat="1" outlineLevel="1">
      <c r="B777" s="267" t="s">
        <v>802</v>
      </c>
      <c r="C777" s="235"/>
      <c r="D777" s="235"/>
      <c r="E777" s="232"/>
      <c r="F777" s="250"/>
      <c r="G777" s="232"/>
      <c r="H777" s="236"/>
      <c r="I777" s="236"/>
      <c r="J777" s="236"/>
      <c r="K777" s="236"/>
      <c r="L777" s="232"/>
      <c r="M777" s="250"/>
      <c r="N777" s="232"/>
      <c r="O777" s="260">
        <f>SUM(O778:O778)</f>
        <v>0</v>
      </c>
    </row>
    <row r="778" spans="2:15" outlineLevel="3">
      <c r="B778" s="242"/>
      <c r="C778" s="242" t="s">
        <v>802</v>
      </c>
      <c r="D778" s="249" t="s">
        <v>793</v>
      </c>
      <c r="E778" s="232"/>
      <c r="F778" s="250"/>
      <c r="G778" s="232"/>
      <c r="H778" s="256"/>
      <c r="I778" s="256"/>
      <c r="J778" s="256"/>
      <c r="K778" s="256"/>
      <c r="L778" s="232"/>
      <c r="M778" s="250"/>
      <c r="N778" s="232"/>
      <c r="O778" s="279"/>
    </row>
    <row r="779" spans="2:15" outlineLevel="1">
      <c r="B779" s="565"/>
      <c r="C779" s="565"/>
      <c r="D779" s="565"/>
      <c r="E779" s="232"/>
      <c r="F779" s="250"/>
      <c r="G779" s="232"/>
      <c r="H779" s="569"/>
      <c r="I779" s="569"/>
      <c r="J779" s="569"/>
      <c r="K779" s="569"/>
      <c r="L779" s="232"/>
      <c r="M779" s="250"/>
      <c r="N779" s="232"/>
      <c r="O779" s="570"/>
    </row>
    <row r="780" spans="2:15" s="234" customFormat="1" outlineLevel="1">
      <c r="B780" s="267" t="s">
        <v>384</v>
      </c>
      <c r="C780" s="235"/>
      <c r="D780" s="235"/>
      <c r="E780" s="232"/>
      <c r="F780" s="250"/>
      <c r="G780" s="232"/>
      <c r="H780" s="236">
        <f>COUNTA(H781:H785)</f>
        <v>0</v>
      </c>
      <c r="I780" s="236"/>
      <c r="J780" s="236"/>
      <c r="K780" s="236"/>
      <c r="L780" s="232"/>
      <c r="M780" s="250"/>
      <c r="N780" s="232"/>
      <c r="O780" s="260">
        <f>SUM(O781:O785)</f>
        <v>0</v>
      </c>
    </row>
    <row r="781" spans="2:15" outlineLevel="3">
      <c r="B781" s="242"/>
      <c r="C781" s="242" t="s">
        <v>384</v>
      </c>
      <c r="D781" s="249" t="s">
        <v>793</v>
      </c>
      <c r="E781" s="232"/>
      <c r="F781" s="250"/>
      <c r="G781" s="232"/>
      <c r="H781" s="256"/>
      <c r="I781" s="256"/>
      <c r="J781" s="256"/>
      <c r="K781" s="256"/>
      <c r="L781" s="232"/>
      <c r="M781" s="250"/>
      <c r="N781" s="232"/>
      <c r="O781" s="279"/>
    </row>
    <row r="782" spans="2:15" outlineLevel="3">
      <c r="B782" s="242"/>
      <c r="C782" s="242"/>
      <c r="D782" s="249"/>
      <c r="E782" s="232"/>
      <c r="F782" s="250"/>
      <c r="G782" s="232"/>
      <c r="H782" s="559"/>
      <c r="I782" s="559"/>
      <c r="J782" s="559"/>
      <c r="K782" s="559"/>
      <c r="L782" s="232"/>
      <c r="M782" s="250"/>
      <c r="N782" s="232"/>
      <c r="O782" s="585"/>
    </row>
    <row r="783" spans="2:15" outlineLevel="2">
      <c r="B783" s="256"/>
      <c r="C783" s="242" t="s">
        <v>384</v>
      </c>
      <c r="D783" s="249"/>
      <c r="E783" s="232"/>
      <c r="F783" s="250"/>
      <c r="G783" s="232"/>
      <c r="H783" s="256"/>
      <c r="I783" s="256"/>
      <c r="J783" s="256"/>
      <c r="K783" s="256"/>
      <c r="L783" s="232"/>
      <c r="M783" s="250"/>
      <c r="N783" s="232"/>
      <c r="O783" s="279"/>
    </row>
    <row r="784" spans="2:15" outlineLevel="2">
      <c r="B784" s="560"/>
      <c r="C784" s="559"/>
      <c r="D784" s="559"/>
      <c r="H784" s="562"/>
      <c r="I784" s="562"/>
      <c r="J784" s="562"/>
      <c r="K784" s="562"/>
      <c r="O784" s="563"/>
    </row>
    <row r="785" spans="2:15" outlineLevel="2">
      <c r="B785" s="242"/>
      <c r="C785" s="242" t="s">
        <v>384</v>
      </c>
      <c r="D785" s="249"/>
      <c r="E785" s="232"/>
      <c r="F785" s="250"/>
      <c r="G785" s="232"/>
      <c r="H785" s="256"/>
      <c r="I785" s="256"/>
      <c r="J785" s="256"/>
      <c r="K785" s="256"/>
      <c r="L785" s="232"/>
      <c r="M785" s="250"/>
      <c r="N785" s="232"/>
      <c r="O785" s="279"/>
    </row>
    <row r="786" spans="2:15" outlineLevel="1">
      <c r="B786" s="565"/>
      <c r="C786" s="565"/>
      <c r="D786" s="565"/>
      <c r="E786" s="232"/>
      <c r="F786" s="250"/>
      <c r="G786" s="232"/>
      <c r="H786" s="569"/>
      <c r="I786" s="569"/>
      <c r="J786" s="569"/>
      <c r="K786" s="569"/>
      <c r="L786" s="232"/>
      <c r="M786" s="250"/>
      <c r="N786" s="232"/>
      <c r="O786" s="570"/>
    </row>
    <row r="787" spans="2:15" s="234" customFormat="1" outlineLevel="1">
      <c r="B787" s="235" t="s">
        <v>387</v>
      </c>
      <c r="C787" s="235"/>
      <c r="D787" s="235"/>
      <c r="E787" s="232"/>
      <c r="F787" s="250"/>
      <c r="G787" s="232"/>
      <c r="H787" s="236"/>
      <c r="I787" s="236"/>
      <c r="J787" s="236"/>
      <c r="K787" s="236"/>
      <c r="L787" s="232"/>
      <c r="M787" s="250"/>
      <c r="N787" s="232"/>
      <c r="O787" s="260">
        <f>SUM(O788:O788)</f>
        <v>0</v>
      </c>
    </row>
    <row r="788" spans="2:15" outlineLevel="3">
      <c r="B788" s="242"/>
      <c r="C788" s="242" t="s">
        <v>387</v>
      </c>
      <c r="D788" s="249" t="s">
        <v>793</v>
      </c>
      <c r="E788" s="232"/>
      <c r="F788" s="250"/>
      <c r="G788" s="232"/>
      <c r="H788" s="256"/>
      <c r="I788" s="256"/>
      <c r="J788" s="256"/>
      <c r="K788" s="256"/>
      <c r="L788" s="232"/>
      <c r="M788" s="250"/>
      <c r="N788" s="232"/>
      <c r="O788" s="279"/>
    </row>
    <row r="789" spans="2:15" ht="3" customHeight="1" outlineLevel="1">
      <c r="B789" s="242"/>
      <c r="C789" s="242"/>
      <c r="D789" s="249"/>
      <c r="E789" s="232"/>
      <c r="F789" s="250"/>
      <c r="G789" s="232"/>
      <c r="H789" s="569"/>
      <c r="I789" s="569"/>
      <c r="J789" s="569"/>
      <c r="K789" s="569"/>
      <c r="L789" s="232"/>
      <c r="M789" s="250"/>
      <c r="N789" s="232"/>
      <c r="O789" s="570"/>
    </row>
    <row r="790" spans="2:15" s="234" customFormat="1" outlineLevel="1">
      <c r="B790" s="267" t="s">
        <v>360</v>
      </c>
      <c r="C790" s="235"/>
      <c r="D790" s="235"/>
      <c r="E790" s="232"/>
      <c r="F790" s="250"/>
      <c r="G790" s="232"/>
      <c r="H790" s="236"/>
      <c r="I790" s="236"/>
      <c r="J790" s="236"/>
      <c r="K790" s="236"/>
      <c r="L790" s="232"/>
      <c r="M790" s="250"/>
      <c r="N790" s="232"/>
      <c r="O790" s="260">
        <f>SUM(O791:O797)</f>
        <v>0</v>
      </c>
    </row>
    <row r="791" spans="2:15" outlineLevel="3">
      <c r="B791" s="242"/>
      <c r="C791" s="242" t="s">
        <v>360</v>
      </c>
      <c r="D791" s="249" t="s">
        <v>793</v>
      </c>
      <c r="E791" s="232"/>
      <c r="F791" s="250"/>
      <c r="G791" s="232"/>
      <c r="H791" s="256"/>
      <c r="I791" s="256"/>
      <c r="J791" s="256"/>
      <c r="K791" s="256"/>
      <c r="L791" s="232"/>
      <c r="M791" s="250"/>
      <c r="N791" s="232"/>
      <c r="O791" s="563"/>
    </row>
    <row r="792" spans="2:15" outlineLevel="3">
      <c r="B792" s="242"/>
      <c r="C792" s="242"/>
      <c r="D792" s="249"/>
      <c r="E792" s="232"/>
      <c r="F792" s="250"/>
      <c r="G792" s="232"/>
      <c r="H792" s="559"/>
      <c r="I792" s="559"/>
      <c r="J792" s="559"/>
      <c r="K792" s="559"/>
      <c r="L792" s="232"/>
      <c r="M792" s="250"/>
      <c r="N792" s="232"/>
      <c r="O792" s="572"/>
    </row>
    <row r="793" spans="2:15" outlineLevel="3">
      <c r="B793" s="242"/>
      <c r="C793" s="242" t="s">
        <v>360</v>
      </c>
      <c r="D793" s="249" t="s">
        <v>27</v>
      </c>
      <c r="E793" s="232"/>
      <c r="F793" s="250"/>
      <c r="G793" s="232"/>
      <c r="H793" s="256"/>
      <c r="I793" s="256"/>
      <c r="J793" s="256"/>
      <c r="K793" s="256"/>
      <c r="L793" s="232"/>
      <c r="M793" s="250"/>
      <c r="N793" s="232"/>
      <c r="O793" s="563"/>
    </row>
    <row r="794" spans="2:15" outlineLevel="3">
      <c r="B794" s="242"/>
      <c r="C794" s="242" t="s">
        <v>360</v>
      </c>
      <c r="D794" s="249" t="s">
        <v>27</v>
      </c>
      <c r="E794" s="232"/>
      <c r="F794" s="250"/>
      <c r="G794" s="232"/>
      <c r="H794" s="256"/>
      <c r="I794" s="256"/>
      <c r="J794" s="256"/>
      <c r="K794" s="256"/>
      <c r="L794" s="232"/>
      <c r="M794" s="250"/>
      <c r="N794" s="232"/>
      <c r="O794" s="563"/>
    </row>
    <row r="795" spans="2:15" outlineLevel="3">
      <c r="B795" s="242"/>
      <c r="C795" s="242"/>
      <c r="D795" s="249"/>
      <c r="E795" s="232"/>
      <c r="F795" s="250"/>
      <c r="G795" s="232"/>
      <c r="H795" s="559"/>
      <c r="I795" s="559"/>
      <c r="J795" s="559"/>
      <c r="K795" s="559"/>
      <c r="L795" s="232"/>
      <c r="M795" s="250"/>
      <c r="N795" s="232"/>
      <c r="O795" s="572"/>
    </row>
    <row r="796" spans="2:15" outlineLevel="3">
      <c r="B796" s="242"/>
      <c r="C796" s="242" t="s">
        <v>360</v>
      </c>
      <c r="D796" s="249" t="s">
        <v>766</v>
      </c>
      <c r="E796" s="232"/>
      <c r="F796" s="250"/>
      <c r="G796" s="232"/>
      <c r="H796" s="256"/>
      <c r="I796" s="256"/>
      <c r="J796" s="256"/>
      <c r="K796" s="256"/>
      <c r="L796" s="232"/>
      <c r="M796" s="250"/>
      <c r="N796" s="232"/>
      <c r="O796" s="563"/>
    </row>
    <row r="797" spans="2:15" outlineLevel="3">
      <c r="B797" s="242"/>
      <c r="C797" s="242" t="s">
        <v>360</v>
      </c>
      <c r="D797" s="249" t="s">
        <v>766</v>
      </c>
      <c r="E797" s="232"/>
      <c r="F797" s="250"/>
      <c r="G797" s="232"/>
      <c r="H797" s="256"/>
      <c r="I797" s="256"/>
      <c r="J797" s="256"/>
      <c r="K797" s="256"/>
      <c r="L797" s="232"/>
      <c r="M797" s="250"/>
      <c r="N797" s="232"/>
      <c r="O797" s="563"/>
    </row>
    <row r="798" spans="2:15" ht="3" customHeight="1" outlineLevel="1">
      <c r="B798" s="242"/>
      <c r="C798" s="242"/>
      <c r="D798" s="249"/>
      <c r="E798" s="232"/>
      <c r="F798" s="250"/>
      <c r="G798" s="232"/>
      <c r="H798" s="569"/>
      <c r="I798" s="569"/>
      <c r="J798" s="569"/>
      <c r="K798" s="569"/>
      <c r="L798" s="232"/>
      <c r="M798" s="250"/>
      <c r="N798" s="232"/>
      <c r="O798" s="570"/>
    </row>
    <row r="799" spans="2:15" s="234" customFormat="1" outlineLevel="1">
      <c r="B799" s="235" t="s">
        <v>803</v>
      </c>
      <c r="C799" s="235"/>
      <c r="D799" s="235"/>
      <c r="E799" s="232"/>
      <c r="F799" s="192"/>
      <c r="G799" s="232"/>
      <c r="H799" s="236">
        <f>COUNTA(H800:H803)</f>
        <v>3</v>
      </c>
      <c r="I799" s="236"/>
      <c r="J799" s="236"/>
      <c r="K799" s="236"/>
      <c r="L799" s="232"/>
      <c r="M799" s="192"/>
      <c r="N799" s="232"/>
      <c r="O799" s="260">
        <f>SUM(O801:O803)</f>
        <v>0</v>
      </c>
    </row>
    <row r="800" spans="2:15" ht="3" customHeight="1" outlineLevel="2">
      <c r="B800" s="560"/>
      <c r="C800" s="559"/>
      <c r="D800" s="559"/>
      <c r="H800" s="562"/>
      <c r="I800" s="562"/>
      <c r="J800" s="562"/>
      <c r="K800" s="562"/>
      <c r="O800" s="563"/>
    </row>
    <row r="801" spans="2:15" ht="15.6" outlineLevel="2">
      <c r="B801" s="242" t="s">
        <v>555</v>
      </c>
      <c r="C801" s="242" t="s">
        <v>804</v>
      </c>
      <c r="D801" s="249" t="s">
        <v>805</v>
      </c>
      <c r="E801" s="257"/>
      <c r="F801" s="192"/>
      <c r="G801" s="257"/>
      <c r="H801" s="249" t="s">
        <v>804</v>
      </c>
      <c r="I801" s="249"/>
      <c r="J801" s="249"/>
      <c r="K801" s="249"/>
      <c r="L801" s="287"/>
      <c r="M801" s="288"/>
      <c r="N801" s="287"/>
      <c r="O801" s="572"/>
    </row>
    <row r="802" spans="2:15" ht="15.6" outlineLevel="2">
      <c r="B802" s="242" t="s">
        <v>663</v>
      </c>
      <c r="C802" s="242" t="s">
        <v>806</v>
      </c>
      <c r="D802" s="249" t="s">
        <v>805</v>
      </c>
      <c r="E802" s="257"/>
      <c r="F802" s="192"/>
      <c r="G802" s="257"/>
      <c r="H802" s="249" t="s">
        <v>806</v>
      </c>
      <c r="I802" s="249"/>
      <c r="J802" s="249"/>
      <c r="K802" s="249"/>
      <c r="L802" s="287"/>
      <c r="M802" s="288"/>
      <c r="N802" s="287"/>
      <c r="O802" s="572"/>
    </row>
    <row r="803" spans="2:15" ht="15.6" outlineLevel="2">
      <c r="B803" s="242" t="s">
        <v>807</v>
      </c>
      <c r="C803" s="242" t="s">
        <v>808</v>
      </c>
      <c r="D803" s="249" t="s">
        <v>805</v>
      </c>
      <c r="E803" s="257"/>
      <c r="F803" s="192"/>
      <c r="G803" s="257"/>
      <c r="H803" s="568" t="s">
        <v>808</v>
      </c>
      <c r="I803" s="568"/>
      <c r="J803" s="568"/>
      <c r="K803" s="568"/>
      <c r="L803" s="287"/>
      <c r="M803" s="288"/>
      <c r="N803" s="287"/>
      <c r="O803" s="572"/>
    </row>
    <row r="804" spans="2:15" ht="3" customHeight="1" outlineLevel="1">
      <c r="B804" s="565"/>
      <c r="C804" s="565"/>
      <c r="D804" s="566"/>
      <c r="E804" s="248"/>
      <c r="F804" s="192"/>
      <c r="G804" s="248"/>
      <c r="H804" s="259"/>
      <c r="I804" s="259"/>
      <c r="J804" s="259"/>
      <c r="K804" s="259"/>
      <c r="L804" s="248"/>
      <c r="M804" s="192"/>
      <c r="N804" s="248"/>
      <c r="O804" s="342"/>
    </row>
    <row r="805" spans="2:15" s="234" customFormat="1" outlineLevel="1">
      <c r="B805" s="235" t="s">
        <v>552</v>
      </c>
      <c r="C805" s="235"/>
      <c r="D805" s="235"/>
      <c r="E805" s="232"/>
      <c r="F805" s="250"/>
      <c r="G805" s="232"/>
      <c r="H805" s="236">
        <f t="shared" ref="H805" si="7">SUM(H806:H807)</f>
        <v>0</v>
      </c>
      <c r="I805" s="236"/>
      <c r="J805" s="236"/>
      <c r="K805" s="236"/>
      <c r="L805" s="232"/>
      <c r="M805" s="250"/>
      <c r="N805" s="232"/>
      <c r="O805" s="260">
        <f t="shared" ref="O805" si="8">SUM(O806:O807)</f>
        <v>0</v>
      </c>
    </row>
    <row r="806" spans="2:15" outlineLevel="2">
      <c r="B806" s="238"/>
      <c r="C806" s="565" t="s">
        <v>590</v>
      </c>
      <c r="D806" s="566" t="s">
        <v>27</v>
      </c>
      <c r="E806" s="232"/>
      <c r="F806" s="250"/>
      <c r="G806" s="232"/>
      <c r="H806" s="567"/>
      <c r="I806" s="567"/>
      <c r="J806" s="567"/>
      <c r="K806" s="567"/>
      <c r="L806" s="232"/>
      <c r="M806" s="250"/>
      <c r="N806" s="232"/>
      <c r="O806" s="563"/>
    </row>
    <row r="807" spans="2:15" outlineLevel="2">
      <c r="B807" s="238"/>
      <c r="C807" s="565" t="s">
        <v>590</v>
      </c>
      <c r="D807" s="566" t="s">
        <v>766</v>
      </c>
      <c r="E807" s="232"/>
      <c r="F807" s="250"/>
      <c r="G807" s="232"/>
      <c r="H807" s="567"/>
      <c r="I807" s="567"/>
      <c r="J807" s="567"/>
      <c r="K807" s="567"/>
      <c r="L807" s="232"/>
      <c r="M807" s="250"/>
      <c r="N807" s="232"/>
      <c r="O807" s="563"/>
    </row>
    <row r="808" spans="2:15" ht="3" customHeight="1">
      <c r="B808" s="565"/>
      <c r="C808" s="565"/>
      <c r="D808" s="566"/>
      <c r="E808" s="248"/>
      <c r="F808" s="192"/>
      <c r="G808" s="248"/>
      <c r="H808" s="259"/>
      <c r="I808" s="259"/>
      <c r="J808" s="259"/>
      <c r="K808" s="259"/>
      <c r="L808" s="248"/>
      <c r="M808" s="192"/>
      <c r="N808" s="248"/>
      <c r="O808" s="342"/>
    </row>
    <row r="809" spans="2:15" s="228" customFormat="1" ht="15.6">
      <c r="B809" s="222" t="s">
        <v>809</v>
      </c>
      <c r="C809" s="223" t="s">
        <v>810</v>
      </c>
      <c r="D809" s="224" t="s">
        <v>25</v>
      </c>
      <c r="E809" s="225"/>
      <c r="F809" s="226"/>
      <c r="G809" s="225"/>
      <c r="H809" s="227">
        <f>SUM(H811,H816,H837,H844,H856,H859,H862,H871,H901,H904,H907,H909,H913,H953,H961,H969,H971,H973,H975,H978,H980,H984,H987,H995,H998,H1002,H1004,H1008,H1012,H1017,H1022,H1024,H1027,H1031,H1035,H1040,H1044,H1046)</f>
        <v>158</v>
      </c>
      <c r="I809" s="227"/>
      <c r="J809" s="227"/>
      <c r="K809" s="227"/>
      <c r="L809" s="225"/>
      <c r="M809" s="226"/>
      <c r="N809" s="225"/>
      <c r="O809" s="340">
        <f>SUM(O811,O816,O837,O844,O856,O859,O862,O871,O901,O904,O907,O909,O913,O953,O961,O969,O971,O973,O975,O978,O980,O984,O987,O995,O998,O1002,O1004,O1008,O1012,O1017,O1022,O1024,O1027,O1031,O1035,O1040,O1044,O1046)</f>
        <v>30.088177755868358</v>
      </c>
    </row>
    <row r="810" spans="2:15" ht="3" customHeight="1" outlineLevel="1">
      <c r="B810" s="229"/>
      <c r="C810" s="230"/>
      <c r="D810" s="231"/>
      <c r="E810" s="232"/>
      <c r="F810" s="192"/>
      <c r="G810" s="232"/>
      <c r="H810" s="233"/>
      <c r="I810" s="233"/>
      <c r="J810" s="233"/>
      <c r="K810" s="233"/>
      <c r="L810" s="232"/>
      <c r="M810" s="192"/>
      <c r="N810" s="232"/>
      <c r="O810" s="341"/>
    </row>
    <row r="811" spans="2:15" s="234" customFormat="1" outlineLevel="1">
      <c r="B811" s="235" t="s">
        <v>756</v>
      </c>
      <c r="C811" s="235"/>
      <c r="D811" s="235"/>
      <c r="E811" s="232"/>
      <c r="F811" s="192"/>
      <c r="G811" s="232"/>
      <c r="H811" s="236">
        <f>COUNTA(H812:H814)</f>
        <v>3</v>
      </c>
      <c r="I811" s="236"/>
      <c r="J811" s="236"/>
      <c r="K811" s="236"/>
      <c r="L811" s="232"/>
      <c r="M811" s="192"/>
      <c r="N811" s="232"/>
      <c r="O811" s="260">
        <f>SUM(O812:O814)</f>
        <v>0.03</v>
      </c>
    </row>
    <row r="812" spans="2:15" outlineLevel="2">
      <c r="B812" s="242"/>
      <c r="C812" s="242" t="s">
        <v>639</v>
      </c>
      <c r="D812" s="249" t="s">
        <v>25</v>
      </c>
      <c r="E812" s="232"/>
      <c r="F812" s="192"/>
      <c r="G812" s="232"/>
      <c r="H812" s="249" t="s">
        <v>811</v>
      </c>
      <c r="I812" s="249"/>
      <c r="J812" s="249"/>
      <c r="K812" s="249"/>
      <c r="L812" s="232"/>
      <c r="M812" s="192"/>
      <c r="N812" s="232"/>
      <c r="O812" s="311">
        <v>0.01</v>
      </c>
    </row>
    <row r="813" spans="2:15" outlineLevel="2">
      <c r="B813" s="242"/>
      <c r="C813" s="242" t="s">
        <v>643</v>
      </c>
      <c r="D813" s="249" t="s">
        <v>25</v>
      </c>
      <c r="E813" s="232"/>
      <c r="F813" s="192"/>
      <c r="G813" s="232"/>
      <c r="H813" s="249" t="s">
        <v>812</v>
      </c>
      <c r="I813" s="249"/>
      <c r="J813" s="249"/>
      <c r="K813" s="249"/>
      <c r="L813" s="232"/>
      <c r="M813" s="192"/>
      <c r="N813" s="232"/>
      <c r="O813" s="311">
        <v>0.01</v>
      </c>
    </row>
    <row r="814" spans="2:15" outlineLevel="2">
      <c r="B814" s="242"/>
      <c r="C814" s="242" t="s">
        <v>643</v>
      </c>
      <c r="D814" s="249" t="s">
        <v>25</v>
      </c>
      <c r="E814" s="232"/>
      <c r="F814" s="192"/>
      <c r="G814" s="232"/>
      <c r="H814" s="249" t="s">
        <v>813</v>
      </c>
      <c r="I814" s="249"/>
      <c r="J814" s="249"/>
      <c r="K814" s="249"/>
      <c r="L814" s="232"/>
      <c r="M814" s="192"/>
      <c r="N814" s="232"/>
      <c r="O814" s="311">
        <v>0.01</v>
      </c>
    </row>
    <row r="815" spans="2:15" ht="3" customHeight="1" outlineLevel="1">
      <c r="B815" s="242"/>
      <c r="C815" s="242"/>
      <c r="D815" s="249"/>
      <c r="E815" s="232"/>
      <c r="F815" s="192"/>
      <c r="G815" s="232"/>
      <c r="H815" s="241"/>
      <c r="I815" s="241"/>
      <c r="J815" s="241"/>
      <c r="K815" s="241"/>
      <c r="L815" s="232"/>
      <c r="M815" s="192"/>
      <c r="N815" s="232"/>
      <c r="O815" s="343"/>
    </row>
    <row r="816" spans="2:15" s="234" customFormat="1" outlineLevel="1">
      <c r="B816" s="235" t="s">
        <v>648</v>
      </c>
      <c r="C816" s="235"/>
      <c r="D816" s="235"/>
      <c r="E816" s="232"/>
      <c r="F816" s="250"/>
      <c r="G816" s="232"/>
      <c r="H816" s="236">
        <f>COUNTA(H817:H835)</f>
        <v>19</v>
      </c>
      <c r="I816" s="236"/>
      <c r="J816" s="236"/>
      <c r="K816" s="236"/>
      <c r="L816" s="232"/>
      <c r="M816" s="250"/>
      <c r="N816" s="232"/>
      <c r="O816" s="260">
        <f>SUM(O817:O835)</f>
        <v>0.4449553573555684</v>
      </c>
    </row>
    <row r="817" spans="3:15" s="274" customFormat="1" ht="27.75" customHeight="1" outlineLevel="2">
      <c r="C817" s="274" t="s">
        <v>648</v>
      </c>
      <c r="D817" s="249" t="s">
        <v>25</v>
      </c>
      <c r="E817" s="232"/>
      <c r="F817" s="250"/>
      <c r="G817" s="232"/>
      <c r="H817" s="256" t="s">
        <v>814</v>
      </c>
      <c r="I817" s="256"/>
      <c r="J817" s="256"/>
      <c r="K817" s="256"/>
      <c r="L817" s="232"/>
      <c r="M817" s="250"/>
      <c r="N817" s="232"/>
      <c r="O817" s="312">
        <v>8.4427462647305926E-2</v>
      </c>
    </row>
    <row r="818" spans="3:15" s="274" customFormat="1" ht="27.75" customHeight="1" outlineLevel="2">
      <c r="C818" s="274" t="s">
        <v>648</v>
      </c>
      <c r="D818" s="249" t="s">
        <v>25</v>
      </c>
      <c r="E818" s="232"/>
      <c r="F818" s="250"/>
      <c r="G818" s="232"/>
      <c r="H818" s="256" t="s">
        <v>815</v>
      </c>
      <c r="I818" s="256"/>
      <c r="J818" s="256"/>
      <c r="K818" s="256"/>
      <c r="L818" s="232"/>
      <c r="M818" s="250"/>
      <c r="N818" s="232"/>
      <c r="O818" s="312">
        <v>8.4427462647305926E-2</v>
      </c>
    </row>
    <row r="819" spans="3:15" s="274" customFormat="1" ht="27.75" customHeight="1" outlineLevel="2">
      <c r="C819" s="274" t="s">
        <v>648</v>
      </c>
      <c r="D819" s="249" t="s">
        <v>25</v>
      </c>
      <c r="E819" s="232"/>
      <c r="F819" s="250"/>
      <c r="G819" s="232"/>
      <c r="H819" s="256" t="s">
        <v>816</v>
      </c>
      <c r="I819" s="256"/>
      <c r="J819" s="256"/>
      <c r="K819" s="256"/>
      <c r="L819" s="232"/>
      <c r="M819" s="250"/>
      <c r="N819" s="232"/>
      <c r="O819" s="312">
        <v>2.1106865436972901E-2</v>
      </c>
    </row>
    <row r="820" spans="3:15" s="274" customFormat="1" outlineLevel="2">
      <c r="C820" s="274" t="s">
        <v>648</v>
      </c>
      <c r="D820" s="249" t="s">
        <v>25</v>
      </c>
      <c r="E820" s="232"/>
      <c r="F820" s="250"/>
      <c r="G820" s="232"/>
      <c r="H820" s="256" t="s">
        <v>817</v>
      </c>
      <c r="I820" s="256"/>
      <c r="J820" s="256"/>
      <c r="K820" s="256"/>
      <c r="L820" s="232"/>
      <c r="M820" s="250"/>
      <c r="N820" s="232"/>
      <c r="O820" s="312">
        <v>3.166029815545935E-2</v>
      </c>
    </row>
    <row r="821" spans="3:15" s="274" customFormat="1" outlineLevel="2">
      <c r="C821" s="274" t="s">
        <v>648</v>
      </c>
      <c r="D821" s="249" t="s">
        <v>25</v>
      </c>
      <c r="E821" s="232"/>
      <c r="F821" s="250"/>
      <c r="G821" s="232"/>
      <c r="H821" s="256" t="s">
        <v>818</v>
      </c>
      <c r="I821" s="256"/>
      <c r="J821" s="256"/>
      <c r="K821" s="256"/>
      <c r="L821" s="232"/>
      <c r="M821" s="250"/>
      <c r="N821" s="232"/>
      <c r="O821" s="312">
        <v>5.2767163592432253E-3</v>
      </c>
    </row>
    <row r="822" spans="3:15" s="274" customFormat="1" outlineLevel="2">
      <c r="C822" s="274" t="s">
        <v>648</v>
      </c>
      <c r="D822" s="249" t="s">
        <v>25</v>
      </c>
      <c r="E822" s="232"/>
      <c r="F822" s="250"/>
      <c r="G822" s="232"/>
      <c r="H822" s="256" t="s">
        <v>819</v>
      </c>
      <c r="I822" s="256"/>
      <c r="J822" s="256"/>
      <c r="K822" s="256"/>
      <c r="L822" s="232"/>
      <c r="M822" s="250"/>
      <c r="N822" s="232"/>
      <c r="O822" s="312">
        <v>2.1106865436972901E-2</v>
      </c>
    </row>
    <row r="823" spans="3:15" s="274" customFormat="1" outlineLevel="2">
      <c r="C823" s="274" t="s">
        <v>648</v>
      </c>
      <c r="D823" s="249" t="s">
        <v>25</v>
      </c>
      <c r="E823" s="232"/>
      <c r="F823" s="250"/>
      <c r="G823" s="232"/>
      <c r="H823" s="256" t="s">
        <v>820</v>
      </c>
      <c r="I823" s="256"/>
      <c r="J823" s="256"/>
      <c r="K823" s="256"/>
      <c r="L823" s="232"/>
      <c r="M823" s="250"/>
      <c r="N823" s="232"/>
      <c r="O823" s="312">
        <v>3.166029815545935E-2</v>
      </c>
    </row>
    <row r="824" spans="3:15" s="274" customFormat="1" outlineLevel="2">
      <c r="C824" s="274" t="s">
        <v>648</v>
      </c>
      <c r="D824" s="249" t="s">
        <v>25</v>
      </c>
      <c r="E824" s="232"/>
      <c r="F824" s="250"/>
      <c r="G824" s="232"/>
      <c r="H824" s="256" t="s">
        <v>821</v>
      </c>
      <c r="I824" s="256"/>
      <c r="J824" s="256"/>
      <c r="K824" s="256"/>
      <c r="L824" s="232"/>
      <c r="M824" s="250"/>
      <c r="N824" s="232"/>
      <c r="O824" s="312">
        <v>5.2767163592432253E-3</v>
      </c>
    </row>
    <row r="825" spans="3:15" s="274" customFormat="1" outlineLevel="2">
      <c r="C825" s="274" t="s">
        <v>648</v>
      </c>
      <c r="D825" s="249" t="s">
        <v>25</v>
      </c>
      <c r="E825" s="232"/>
      <c r="F825" s="250"/>
      <c r="G825" s="232"/>
      <c r="H825" s="256" t="s">
        <v>822</v>
      </c>
      <c r="I825" s="256"/>
      <c r="J825" s="256"/>
      <c r="K825" s="256"/>
      <c r="L825" s="232"/>
      <c r="M825" s="250"/>
      <c r="N825" s="232"/>
      <c r="O825" s="312">
        <v>2.1106865436972901E-2</v>
      </c>
    </row>
    <row r="826" spans="3:15" s="274" customFormat="1" outlineLevel="2">
      <c r="C826" s="274" t="s">
        <v>648</v>
      </c>
      <c r="D826" s="249" t="s">
        <v>25</v>
      </c>
      <c r="E826" s="232"/>
      <c r="F826" s="250"/>
      <c r="G826" s="232"/>
      <c r="H826" s="256" t="s">
        <v>823</v>
      </c>
      <c r="I826" s="256"/>
      <c r="J826" s="256"/>
      <c r="K826" s="256"/>
      <c r="L826" s="232"/>
      <c r="M826" s="250"/>
      <c r="N826" s="232"/>
      <c r="O826" s="312">
        <v>3.166029815545935E-2</v>
      </c>
    </row>
    <row r="827" spans="3:15" s="274" customFormat="1" outlineLevel="2">
      <c r="C827" s="274" t="s">
        <v>648</v>
      </c>
      <c r="D827" s="249" t="s">
        <v>25</v>
      </c>
      <c r="E827" s="232"/>
      <c r="F827" s="250"/>
      <c r="G827" s="232"/>
      <c r="H827" s="256" t="s">
        <v>824</v>
      </c>
      <c r="I827" s="256"/>
      <c r="J827" s="256"/>
      <c r="K827" s="256"/>
      <c r="L827" s="232"/>
      <c r="M827" s="250"/>
      <c r="N827" s="232"/>
      <c r="O827" s="312">
        <v>5.2767163592432253E-3</v>
      </c>
    </row>
    <row r="828" spans="3:15" s="274" customFormat="1" outlineLevel="2">
      <c r="C828" s="274" t="s">
        <v>648</v>
      </c>
      <c r="D828" s="249" t="s">
        <v>25</v>
      </c>
      <c r="E828" s="232"/>
      <c r="F828" s="250"/>
      <c r="G828" s="232"/>
      <c r="H828" s="256" t="s">
        <v>825</v>
      </c>
      <c r="I828" s="256"/>
      <c r="J828" s="256"/>
      <c r="K828" s="256"/>
      <c r="L828" s="232"/>
      <c r="M828" s="250"/>
      <c r="N828" s="232"/>
      <c r="O828" s="312">
        <v>9.3808290830990661E-3</v>
      </c>
    </row>
    <row r="829" spans="3:15" s="274" customFormat="1" outlineLevel="2">
      <c r="C829" s="274" t="s">
        <v>648</v>
      </c>
      <c r="D829" s="249" t="s">
        <v>25</v>
      </c>
      <c r="E829" s="232"/>
      <c r="F829" s="250"/>
      <c r="G829" s="232"/>
      <c r="H829" s="256" t="s">
        <v>826</v>
      </c>
      <c r="I829" s="256"/>
      <c r="J829" s="256"/>
      <c r="K829" s="256"/>
      <c r="L829" s="232"/>
      <c r="M829" s="250"/>
      <c r="N829" s="232"/>
      <c r="O829" s="312">
        <v>1.4071243624648597E-2</v>
      </c>
    </row>
    <row r="830" spans="3:15" s="274" customFormat="1" outlineLevel="2">
      <c r="C830" s="274" t="s">
        <v>648</v>
      </c>
      <c r="D830" s="249" t="s">
        <v>25</v>
      </c>
      <c r="E830" s="232"/>
      <c r="F830" s="250"/>
      <c r="G830" s="232"/>
      <c r="H830" s="256" t="s">
        <v>827</v>
      </c>
      <c r="I830" s="256"/>
      <c r="J830" s="256"/>
      <c r="K830" s="256"/>
      <c r="L830" s="232"/>
      <c r="M830" s="250"/>
      <c r="N830" s="232"/>
      <c r="O830" s="312">
        <v>2.3452072707747665E-3</v>
      </c>
    </row>
    <row r="831" spans="3:15" s="274" customFormat="1" outlineLevel="2">
      <c r="C831" s="274" t="s">
        <v>648</v>
      </c>
      <c r="D831" s="249" t="s">
        <v>25</v>
      </c>
      <c r="E831" s="232"/>
      <c r="F831" s="250"/>
      <c r="G831" s="232"/>
      <c r="H831" s="256" t="s">
        <v>828</v>
      </c>
      <c r="I831" s="256"/>
      <c r="J831" s="256"/>
      <c r="K831" s="256"/>
      <c r="L831" s="232"/>
      <c r="M831" s="250"/>
      <c r="N831" s="232"/>
      <c r="O831" s="312">
        <v>1.4071243624648597E-2</v>
      </c>
    </row>
    <row r="832" spans="3:15" s="274" customFormat="1" outlineLevel="2">
      <c r="C832" s="274" t="s">
        <v>648</v>
      </c>
      <c r="D832" s="249" t="s">
        <v>25</v>
      </c>
      <c r="E832" s="232"/>
      <c r="F832" s="250"/>
      <c r="G832" s="232"/>
      <c r="H832" s="256" t="s">
        <v>829</v>
      </c>
      <c r="I832" s="256"/>
      <c r="J832" s="256"/>
      <c r="K832" s="256"/>
      <c r="L832" s="232"/>
      <c r="M832" s="250"/>
      <c r="N832" s="232"/>
      <c r="O832" s="312">
        <v>2.1106865436972894E-2</v>
      </c>
    </row>
    <row r="833" spans="2:15" s="274" customFormat="1" outlineLevel="2">
      <c r="C833" s="274" t="s">
        <v>648</v>
      </c>
      <c r="D833" s="249" t="s">
        <v>25</v>
      </c>
      <c r="E833" s="232"/>
      <c r="F833" s="250"/>
      <c r="G833" s="232"/>
      <c r="H833" s="256" t="s">
        <v>830</v>
      </c>
      <c r="I833" s="256"/>
      <c r="J833" s="256"/>
      <c r="K833" s="256"/>
      <c r="L833" s="232"/>
      <c r="M833" s="250"/>
      <c r="N833" s="232"/>
      <c r="O833" s="312">
        <v>3.5178109061621493E-3</v>
      </c>
    </row>
    <row r="834" spans="2:15" s="274" customFormat="1" outlineLevel="2">
      <c r="C834" s="274" t="s">
        <v>648</v>
      </c>
      <c r="D834" s="249" t="s">
        <v>25</v>
      </c>
      <c r="E834" s="232"/>
      <c r="F834" s="250"/>
      <c r="G834" s="232"/>
      <c r="H834" s="256" t="s">
        <v>831</v>
      </c>
      <c r="I834" s="256"/>
      <c r="J834" s="256"/>
      <c r="K834" s="256"/>
      <c r="L834" s="232"/>
      <c r="M834" s="250"/>
      <c r="N834" s="232"/>
      <c r="O834" s="312">
        <v>2.0441232141613128E-2</v>
      </c>
    </row>
    <row r="835" spans="2:15" outlineLevel="2">
      <c r="B835" s="560"/>
      <c r="C835" s="559" t="s">
        <v>648</v>
      </c>
      <c r="D835" s="559" t="s">
        <v>25</v>
      </c>
      <c r="F835" s="239"/>
      <c r="H835" s="562" t="s">
        <v>812</v>
      </c>
      <c r="I835" s="562"/>
      <c r="J835" s="562"/>
      <c r="K835" s="562"/>
      <c r="M835" s="239"/>
      <c r="O835" s="563">
        <v>1.703436011801094E-2</v>
      </c>
    </row>
    <row r="836" spans="2:15" ht="3" customHeight="1" outlineLevel="1">
      <c r="B836" s="242"/>
      <c r="C836" s="242"/>
      <c r="D836" s="249"/>
      <c r="E836" s="232"/>
      <c r="F836" s="192"/>
      <c r="G836" s="232"/>
      <c r="H836" s="241"/>
      <c r="I836" s="241"/>
      <c r="J836" s="241"/>
      <c r="K836" s="241"/>
      <c r="L836" s="232"/>
      <c r="M836" s="192"/>
      <c r="N836" s="232"/>
      <c r="O836" s="343"/>
    </row>
    <row r="837" spans="2:15" s="234" customFormat="1" outlineLevel="1">
      <c r="B837" s="235" t="s">
        <v>690</v>
      </c>
      <c r="C837" s="235"/>
      <c r="D837" s="235"/>
      <c r="E837" s="232"/>
      <c r="F837" s="192"/>
      <c r="G837" s="232"/>
      <c r="H837" s="236">
        <f>COUNTA(H838:H842)</f>
        <v>5</v>
      </c>
      <c r="I837" s="236"/>
      <c r="J837" s="236"/>
      <c r="K837" s="236"/>
      <c r="L837" s="232"/>
      <c r="M837" s="192"/>
      <c r="N837" s="232"/>
      <c r="O837" s="260">
        <f>SUM(O838:O842)</f>
        <v>0.67</v>
      </c>
    </row>
    <row r="838" spans="2:15" outlineLevel="2">
      <c r="B838" s="242"/>
      <c r="C838" s="242" t="s">
        <v>690</v>
      </c>
      <c r="D838" s="249" t="s">
        <v>25</v>
      </c>
      <c r="E838" s="232"/>
      <c r="F838" s="192"/>
      <c r="G838" s="232"/>
      <c r="H838" s="589" t="s">
        <v>832</v>
      </c>
      <c r="I838" s="589"/>
      <c r="J838" s="589"/>
      <c r="K838" s="589"/>
      <c r="L838" s="232"/>
      <c r="M838" s="192"/>
      <c r="N838" s="232"/>
      <c r="O838" s="563">
        <v>0.13</v>
      </c>
    </row>
    <row r="839" spans="2:15" outlineLevel="2">
      <c r="B839" s="242"/>
      <c r="C839" s="242" t="s">
        <v>690</v>
      </c>
      <c r="D839" s="249" t="s">
        <v>25</v>
      </c>
      <c r="E839" s="232"/>
      <c r="F839" s="192"/>
      <c r="G839" s="232"/>
      <c r="H839" s="589" t="s">
        <v>833</v>
      </c>
      <c r="I839" s="589"/>
      <c r="J839" s="589"/>
      <c r="K839" s="589"/>
      <c r="L839" s="232"/>
      <c r="M839" s="192"/>
      <c r="N839" s="232"/>
      <c r="O839" s="563">
        <v>0.26</v>
      </c>
    </row>
    <row r="840" spans="2:15" outlineLevel="2">
      <c r="B840" s="242"/>
      <c r="C840" s="242" t="s">
        <v>690</v>
      </c>
      <c r="D840" s="249" t="s">
        <v>25</v>
      </c>
      <c r="E840" s="232"/>
      <c r="F840" s="192"/>
      <c r="G840" s="232"/>
      <c r="H840" s="589" t="s">
        <v>834</v>
      </c>
      <c r="I840" s="589"/>
      <c r="J840" s="589"/>
      <c r="K840" s="589"/>
      <c r="L840" s="232"/>
      <c r="M840" s="192"/>
      <c r="N840" s="232"/>
      <c r="O840" s="563">
        <v>0.26</v>
      </c>
    </row>
    <row r="841" spans="2:15" outlineLevel="2">
      <c r="B841" s="242"/>
      <c r="C841" s="242" t="s">
        <v>690</v>
      </c>
      <c r="D841" s="249" t="s">
        <v>25</v>
      </c>
      <c r="E841" s="232"/>
      <c r="F841" s="192"/>
      <c r="G841" s="232"/>
      <c r="H841" s="589" t="s">
        <v>831</v>
      </c>
      <c r="I841" s="589"/>
      <c r="J841" s="589"/>
      <c r="K841" s="589"/>
      <c r="L841" s="232"/>
      <c r="M841" s="192"/>
      <c r="N841" s="232"/>
      <c r="O841" s="563">
        <v>0.01</v>
      </c>
    </row>
    <row r="842" spans="2:15" outlineLevel="2">
      <c r="B842" s="242"/>
      <c r="C842" s="242" t="s">
        <v>690</v>
      </c>
      <c r="D842" s="249" t="s">
        <v>25</v>
      </c>
      <c r="E842" s="232"/>
      <c r="F842" s="192"/>
      <c r="G842" s="232"/>
      <c r="H842" s="589" t="s">
        <v>812</v>
      </c>
      <c r="I842" s="589"/>
      <c r="J842" s="589"/>
      <c r="K842" s="589"/>
      <c r="L842" s="232"/>
      <c r="M842" s="192"/>
      <c r="N842" s="232"/>
      <c r="O842" s="563">
        <v>0.01</v>
      </c>
    </row>
    <row r="843" spans="2:15" ht="3" customHeight="1" outlineLevel="1">
      <c r="B843" s="242"/>
      <c r="C843" s="242"/>
      <c r="D843" s="249"/>
      <c r="E843" s="232"/>
      <c r="F843" s="192"/>
      <c r="G843" s="232"/>
      <c r="H843" s="569"/>
      <c r="I843" s="569"/>
      <c r="J843" s="569"/>
      <c r="K843" s="569"/>
      <c r="L843" s="232"/>
      <c r="M843" s="192"/>
      <c r="N843" s="232"/>
      <c r="O843" s="570"/>
    </row>
    <row r="844" spans="2:15" s="234" customFormat="1" outlineLevel="1">
      <c r="B844" s="235" t="s">
        <v>663</v>
      </c>
      <c r="C844" s="235"/>
      <c r="D844" s="235"/>
      <c r="E844" s="232"/>
      <c r="F844" s="192"/>
      <c r="G844" s="232"/>
      <c r="H844" s="236">
        <f>COUNTA(H845:H854)</f>
        <v>10</v>
      </c>
      <c r="I844" s="236"/>
      <c r="J844" s="236"/>
      <c r="K844" s="236"/>
      <c r="L844" s="232"/>
      <c r="M844" s="192"/>
      <c r="N844" s="232"/>
      <c r="O844" s="260">
        <f>SUM(O845:O854)</f>
        <v>2.06</v>
      </c>
    </row>
    <row r="845" spans="2:15" outlineLevel="2">
      <c r="B845" s="242"/>
      <c r="C845" s="242" t="s">
        <v>663</v>
      </c>
      <c r="D845" s="249" t="s">
        <v>25</v>
      </c>
      <c r="E845" s="232"/>
      <c r="F845" s="192"/>
      <c r="G845" s="232"/>
      <c r="H845" s="245" t="s">
        <v>86</v>
      </c>
      <c r="I845" s="245"/>
      <c r="J845" s="245"/>
      <c r="K845" s="245"/>
      <c r="L845" s="232"/>
      <c r="M845" s="192"/>
      <c r="N845" s="232"/>
      <c r="O845" s="275">
        <v>0.19</v>
      </c>
    </row>
    <row r="846" spans="2:15" outlineLevel="2">
      <c r="B846" s="242"/>
      <c r="C846" s="242" t="s">
        <v>663</v>
      </c>
      <c r="D846" s="249" t="s">
        <v>25</v>
      </c>
      <c r="E846" s="232"/>
      <c r="F846" s="192"/>
      <c r="G846" s="232"/>
      <c r="H846" s="245" t="s">
        <v>87</v>
      </c>
      <c r="I846" s="245"/>
      <c r="J846" s="245"/>
      <c r="K846" s="245"/>
      <c r="L846" s="232"/>
      <c r="M846" s="192"/>
      <c r="N846" s="232"/>
      <c r="O846" s="275">
        <v>0.16</v>
      </c>
    </row>
    <row r="847" spans="2:15" outlineLevel="2">
      <c r="B847" s="242"/>
      <c r="C847" s="242" t="s">
        <v>663</v>
      </c>
      <c r="D847" s="249" t="s">
        <v>25</v>
      </c>
      <c r="E847" s="232"/>
      <c r="F847" s="192"/>
      <c r="G847" s="232"/>
      <c r="H847" s="245" t="s">
        <v>88</v>
      </c>
      <c r="I847" s="245"/>
      <c r="J847" s="245"/>
      <c r="K847" s="245"/>
      <c r="L847" s="232"/>
      <c r="M847" s="192"/>
      <c r="N847" s="232"/>
      <c r="O847" s="275">
        <v>0.01</v>
      </c>
    </row>
    <row r="848" spans="2:15" outlineLevel="2">
      <c r="B848" s="242"/>
      <c r="C848" s="242" t="s">
        <v>666</v>
      </c>
      <c r="D848" s="249" t="s">
        <v>25</v>
      </c>
      <c r="E848" s="232"/>
      <c r="F848" s="192"/>
      <c r="G848" s="232"/>
      <c r="H848" s="245" t="s">
        <v>103</v>
      </c>
      <c r="I848" s="245"/>
      <c r="J848" s="245"/>
      <c r="K848" s="245"/>
      <c r="L848" s="232"/>
      <c r="M848" s="192"/>
      <c r="N848" s="232"/>
      <c r="O848" s="275">
        <v>0.2</v>
      </c>
    </row>
    <row r="849" spans="2:15" outlineLevel="2">
      <c r="B849" s="242"/>
      <c r="C849" s="242" t="s">
        <v>666</v>
      </c>
      <c r="D849" s="249" t="s">
        <v>25</v>
      </c>
      <c r="E849" s="232"/>
      <c r="F849" s="192"/>
      <c r="G849" s="232"/>
      <c r="H849" s="245" t="s">
        <v>104</v>
      </c>
      <c r="I849" s="245"/>
      <c r="J849" s="245"/>
      <c r="K849" s="245"/>
      <c r="L849" s="232"/>
      <c r="M849" s="192"/>
      <c r="N849" s="232"/>
      <c r="O849" s="275">
        <v>0.4</v>
      </c>
    </row>
    <row r="850" spans="2:15" outlineLevel="2">
      <c r="B850" s="242"/>
      <c r="C850" s="242" t="s">
        <v>666</v>
      </c>
      <c r="D850" s="249" t="s">
        <v>25</v>
      </c>
      <c r="E850" s="232"/>
      <c r="F850" s="192"/>
      <c r="G850" s="232"/>
      <c r="H850" s="245" t="s">
        <v>109</v>
      </c>
      <c r="I850" s="245"/>
      <c r="J850" s="245"/>
      <c r="K850" s="245"/>
      <c r="L850" s="232"/>
      <c r="M850" s="192"/>
      <c r="N850" s="232"/>
      <c r="O850" s="275">
        <v>0.32</v>
      </c>
    </row>
    <row r="851" spans="2:15" outlineLevel="2">
      <c r="B851" s="242"/>
      <c r="C851" s="242" t="s">
        <v>666</v>
      </c>
      <c r="D851" s="249" t="s">
        <v>25</v>
      </c>
      <c r="E851" s="232"/>
      <c r="F851" s="192"/>
      <c r="G851" s="232"/>
      <c r="H851" s="245" t="s">
        <v>110</v>
      </c>
      <c r="I851" s="245"/>
      <c r="J851" s="245"/>
      <c r="K851" s="245"/>
      <c r="L851" s="232"/>
      <c r="M851" s="192"/>
      <c r="N851" s="232"/>
      <c r="O851" s="275">
        <v>0.32</v>
      </c>
    </row>
    <row r="852" spans="2:15" outlineLevel="2">
      <c r="B852" s="242"/>
      <c r="C852" s="242" t="s">
        <v>666</v>
      </c>
      <c r="D852" s="249" t="s">
        <v>25</v>
      </c>
      <c r="E852" s="232"/>
      <c r="F852" s="192"/>
      <c r="G852" s="232"/>
      <c r="H852" s="245" t="s">
        <v>111</v>
      </c>
      <c r="I852" s="245"/>
      <c r="J852" s="245"/>
      <c r="K852" s="245"/>
      <c r="L852" s="232"/>
      <c r="M852" s="192"/>
      <c r="N852" s="232"/>
      <c r="O852" s="275">
        <v>0.43</v>
      </c>
    </row>
    <row r="853" spans="2:15" outlineLevel="2">
      <c r="B853" s="242"/>
      <c r="C853" s="242" t="s">
        <v>666</v>
      </c>
      <c r="D853" s="249" t="s">
        <v>25</v>
      </c>
      <c r="E853" s="232"/>
      <c r="F853" s="192"/>
      <c r="G853" s="232"/>
      <c r="H853" s="245" t="s">
        <v>86</v>
      </c>
      <c r="I853" s="245"/>
      <c r="J853" s="245"/>
      <c r="K853" s="245"/>
      <c r="L853" s="232"/>
      <c r="M853" s="192"/>
      <c r="N853" s="232"/>
      <c r="O853" s="275">
        <v>0.02</v>
      </c>
    </row>
    <row r="854" spans="2:15" outlineLevel="2">
      <c r="B854" s="242"/>
      <c r="C854" s="242" t="s">
        <v>666</v>
      </c>
      <c r="D854" s="249" t="s">
        <v>25</v>
      </c>
      <c r="E854" s="232"/>
      <c r="F854" s="192"/>
      <c r="G854" s="232"/>
      <c r="H854" s="245" t="s">
        <v>87</v>
      </c>
      <c r="I854" s="245"/>
      <c r="J854" s="245"/>
      <c r="K854" s="245"/>
      <c r="L854" s="232"/>
      <c r="M854" s="192"/>
      <c r="N854" s="232"/>
      <c r="O854" s="275">
        <v>0.01</v>
      </c>
    </row>
    <row r="855" spans="2:15" ht="3" customHeight="1" outlineLevel="1">
      <c r="B855" s="242"/>
      <c r="C855" s="242"/>
      <c r="D855" s="242"/>
      <c r="E855" s="232"/>
      <c r="F855" s="192"/>
      <c r="G855" s="232"/>
      <c r="H855" s="569"/>
      <c r="I855" s="569"/>
      <c r="J855" s="569"/>
      <c r="K855" s="569"/>
      <c r="L855" s="232"/>
      <c r="M855" s="192"/>
      <c r="N855" s="232"/>
      <c r="O855" s="570"/>
    </row>
    <row r="856" spans="2:15" s="234" customFormat="1" outlineLevel="1">
      <c r="B856" s="235" t="s">
        <v>835</v>
      </c>
      <c r="C856" s="235"/>
      <c r="D856" s="235"/>
      <c r="E856" s="232"/>
      <c r="F856" s="192"/>
      <c r="G856" s="232"/>
      <c r="H856" s="236">
        <f>COUNTA(H857:H857)</f>
        <v>1</v>
      </c>
      <c r="I856" s="236"/>
      <c r="J856" s="236"/>
      <c r="K856" s="236"/>
      <c r="L856" s="232"/>
      <c r="M856" s="192"/>
      <c r="N856" s="232"/>
      <c r="O856" s="260">
        <f>SUM(O857:O857)</f>
        <v>2.8729968947520727E-2</v>
      </c>
    </row>
    <row r="857" spans="2:15" outlineLevel="2">
      <c r="B857" s="242"/>
      <c r="C857" s="242" t="s">
        <v>836</v>
      </c>
      <c r="D857" s="249" t="s">
        <v>25</v>
      </c>
      <c r="E857" s="232"/>
      <c r="F857" s="192"/>
      <c r="G857" s="232"/>
      <c r="H857" s="245" t="s">
        <v>65</v>
      </c>
      <c r="I857" s="245"/>
      <c r="J857" s="245"/>
      <c r="K857" s="245"/>
      <c r="L857" s="232"/>
      <c r="M857" s="192"/>
      <c r="N857" s="232"/>
      <c r="O857" s="358">
        <v>2.8729968947520727E-2</v>
      </c>
    </row>
    <row r="858" spans="2:15" ht="3" customHeight="1" outlineLevel="1">
      <c r="B858" s="242"/>
      <c r="C858" s="242"/>
      <c r="D858" s="249"/>
      <c r="E858" s="232"/>
      <c r="F858" s="192"/>
      <c r="G858" s="232"/>
      <c r="H858" s="569"/>
      <c r="I858" s="569"/>
      <c r="J858" s="569"/>
      <c r="K858" s="569"/>
      <c r="L858" s="232"/>
      <c r="M858" s="192"/>
      <c r="N858" s="232"/>
      <c r="O858" s="570"/>
    </row>
    <row r="859" spans="2:15" s="234" customFormat="1" outlineLevel="1">
      <c r="B859" s="235" t="s">
        <v>593</v>
      </c>
      <c r="C859" s="235"/>
      <c r="D859" s="235"/>
      <c r="E859" s="232"/>
      <c r="F859" s="192"/>
      <c r="G859" s="232"/>
      <c r="H859" s="236">
        <f>COUNTA(H860:H860)</f>
        <v>1</v>
      </c>
      <c r="I859" s="236"/>
      <c r="J859" s="236"/>
      <c r="K859" s="236"/>
      <c r="L859" s="232"/>
      <c r="M859" s="192"/>
      <c r="N859" s="232"/>
      <c r="O859" s="260">
        <f>SUM(O860:O860)</f>
        <v>0</v>
      </c>
    </row>
    <row r="860" spans="2:15" outlineLevel="2">
      <c r="B860" s="242"/>
      <c r="C860" s="242" t="s">
        <v>593</v>
      </c>
      <c r="D860" s="249" t="s">
        <v>25</v>
      </c>
      <c r="E860" s="232"/>
      <c r="F860" s="192"/>
      <c r="G860" s="232"/>
      <c r="H860" s="252" t="s">
        <v>31</v>
      </c>
      <c r="I860" s="252"/>
      <c r="J860" s="252"/>
      <c r="K860" s="252"/>
      <c r="L860" s="232"/>
      <c r="M860" s="192"/>
      <c r="N860" s="232"/>
      <c r="O860" s="563"/>
    </row>
    <row r="861" spans="2:15" ht="3" customHeight="1" outlineLevel="1">
      <c r="B861" s="242"/>
      <c r="C861" s="242"/>
      <c r="D861" s="249"/>
      <c r="E861" s="232"/>
      <c r="F861" s="192"/>
      <c r="G861" s="232"/>
      <c r="H861" s="569"/>
      <c r="I861" s="569"/>
      <c r="J861" s="569"/>
      <c r="K861" s="569"/>
      <c r="L861" s="232"/>
      <c r="M861" s="192"/>
      <c r="N861" s="232"/>
      <c r="O861" s="570"/>
    </row>
    <row r="862" spans="2:15" s="234" customFormat="1" outlineLevel="1">
      <c r="B862" s="235" t="s">
        <v>594</v>
      </c>
      <c r="C862" s="235"/>
      <c r="D862" s="235"/>
      <c r="E862" s="232"/>
      <c r="F862" s="192"/>
      <c r="G862" s="232"/>
      <c r="H862" s="236">
        <f>COUNTA(H863:H869)</f>
        <v>7</v>
      </c>
      <c r="I862" s="236"/>
      <c r="J862" s="236"/>
      <c r="K862" s="236"/>
      <c r="L862" s="232"/>
      <c r="M862" s="192"/>
      <c r="N862" s="232"/>
      <c r="O862" s="260">
        <f>SUM(O863:O869)</f>
        <v>0.34916975508561954</v>
      </c>
    </row>
    <row r="863" spans="2:15" outlineLevel="2">
      <c r="B863" s="242"/>
      <c r="C863" s="242" t="s">
        <v>594</v>
      </c>
      <c r="D863" s="249" t="s">
        <v>25</v>
      </c>
      <c r="E863" s="232"/>
      <c r="F863" s="192"/>
      <c r="G863" s="232"/>
      <c r="H863" s="245" t="s">
        <v>228</v>
      </c>
      <c r="I863" s="245"/>
      <c r="J863" s="245"/>
      <c r="K863" s="245"/>
      <c r="L863" s="232"/>
      <c r="M863" s="192"/>
      <c r="N863" s="232"/>
      <c r="O863" s="344">
        <v>0.20115878538561949</v>
      </c>
    </row>
    <row r="864" spans="2:15" outlineLevel="2">
      <c r="B864" s="242"/>
      <c r="C864" s="242" t="s">
        <v>594</v>
      </c>
      <c r="D864" s="249" t="s">
        <v>25</v>
      </c>
      <c r="E864" s="232"/>
      <c r="F864" s="192"/>
      <c r="G864" s="232"/>
      <c r="H864" s="245" t="s">
        <v>65</v>
      </c>
      <c r="I864" s="245"/>
      <c r="J864" s="245"/>
      <c r="K864" s="245"/>
      <c r="L864" s="232"/>
      <c r="M864" s="192"/>
      <c r="N864" s="232"/>
      <c r="O864" s="344">
        <v>5.8456730700000001E-2</v>
      </c>
    </row>
    <row r="865" spans="2:15" outlineLevel="2">
      <c r="B865" s="242"/>
      <c r="C865" s="242" t="s">
        <v>594</v>
      </c>
      <c r="D865" s="249" t="s">
        <v>25</v>
      </c>
      <c r="E865" s="232"/>
      <c r="F865" s="192"/>
      <c r="G865" s="232"/>
      <c r="H865" s="245" t="s">
        <v>23</v>
      </c>
      <c r="I865" s="245"/>
      <c r="J865" s="245"/>
      <c r="K865" s="245"/>
      <c r="L865" s="232"/>
      <c r="M865" s="192"/>
      <c r="N865" s="232"/>
      <c r="O865" s="344">
        <v>4.8713942250000003E-2</v>
      </c>
    </row>
    <row r="866" spans="2:15" outlineLevel="2">
      <c r="B866" s="242"/>
      <c r="C866" s="242" t="s">
        <v>594</v>
      </c>
      <c r="D866" s="249" t="s">
        <v>25</v>
      </c>
      <c r="E866" s="232"/>
      <c r="F866" s="192"/>
      <c r="G866" s="232"/>
      <c r="H866" s="245" t="s">
        <v>178</v>
      </c>
      <c r="I866" s="245"/>
      <c r="J866" s="245"/>
      <c r="K866" s="245"/>
      <c r="L866" s="232"/>
      <c r="M866" s="192"/>
      <c r="N866" s="232"/>
      <c r="O866" s="344">
        <v>2.5989279749999997E-2</v>
      </c>
    </row>
    <row r="867" spans="2:15" outlineLevel="2">
      <c r="B867" s="242"/>
      <c r="C867" s="242" t="s">
        <v>594</v>
      </c>
      <c r="D867" s="249" t="s">
        <v>25</v>
      </c>
      <c r="E867" s="232"/>
      <c r="F867" s="192"/>
      <c r="G867" s="232"/>
      <c r="H867" s="245" t="s">
        <v>107</v>
      </c>
      <c r="I867" s="245"/>
      <c r="J867" s="245"/>
      <c r="K867" s="245"/>
      <c r="L867" s="232"/>
      <c r="M867" s="192"/>
      <c r="N867" s="232"/>
      <c r="O867" s="344">
        <v>3.7127542499999998E-3</v>
      </c>
    </row>
    <row r="868" spans="2:15" outlineLevel="2">
      <c r="B868" s="242"/>
      <c r="C868" s="242" t="s">
        <v>594</v>
      </c>
      <c r="D868" s="249" t="s">
        <v>25</v>
      </c>
      <c r="E868" s="232"/>
      <c r="F868" s="192"/>
      <c r="G868" s="232"/>
      <c r="H868" s="245" t="s">
        <v>229</v>
      </c>
      <c r="I868" s="245"/>
      <c r="J868" s="245"/>
      <c r="K868" s="245"/>
      <c r="L868" s="232"/>
      <c r="M868" s="192"/>
      <c r="N868" s="232"/>
      <c r="O868" s="344">
        <v>3.7127542500000003E-3</v>
      </c>
    </row>
    <row r="869" spans="2:15" outlineLevel="2">
      <c r="B869" s="242"/>
      <c r="C869" s="242" t="s">
        <v>594</v>
      </c>
      <c r="D869" s="249" t="s">
        <v>25</v>
      </c>
      <c r="E869" s="232"/>
      <c r="F869" s="192"/>
      <c r="G869" s="232"/>
      <c r="H869" s="245" t="s">
        <v>230</v>
      </c>
      <c r="I869" s="245"/>
      <c r="J869" s="245"/>
      <c r="K869" s="245"/>
      <c r="L869" s="232"/>
      <c r="M869" s="192"/>
      <c r="N869" s="232"/>
      <c r="O869" s="344">
        <v>7.4255085000000005E-3</v>
      </c>
    </row>
    <row r="870" spans="2:15" ht="3" customHeight="1" outlineLevel="1">
      <c r="B870" s="242"/>
      <c r="C870" s="242"/>
      <c r="D870" s="242"/>
      <c r="E870" s="232"/>
      <c r="F870" s="192"/>
      <c r="G870" s="232"/>
      <c r="H870" s="569"/>
      <c r="I870" s="569"/>
      <c r="J870" s="569"/>
      <c r="K870" s="569"/>
      <c r="L870" s="232"/>
      <c r="M870" s="192"/>
      <c r="N870" s="232"/>
      <c r="O870" s="570"/>
    </row>
    <row r="871" spans="2:15" s="234" customFormat="1" outlineLevel="1">
      <c r="B871" s="235" t="s">
        <v>555</v>
      </c>
      <c r="C871" s="235"/>
      <c r="D871" s="235"/>
      <c r="E871" s="232"/>
      <c r="F871" s="192"/>
      <c r="G871" s="232"/>
      <c r="H871" s="236">
        <f>COUNTA(H872:H899)</f>
        <v>28</v>
      </c>
      <c r="I871" s="236"/>
      <c r="J871" s="236"/>
      <c r="K871" s="236"/>
      <c r="L871" s="232"/>
      <c r="M871" s="192"/>
      <c r="N871" s="232"/>
      <c r="O871" s="260">
        <f>SUM(O872:O899)</f>
        <v>3.4647085280486221</v>
      </c>
    </row>
    <row r="872" spans="2:15" outlineLevel="2">
      <c r="B872" s="242"/>
      <c r="C872" s="565" t="s">
        <v>556</v>
      </c>
      <c r="D872" s="249" t="s">
        <v>25</v>
      </c>
      <c r="E872" s="232"/>
      <c r="F872" s="192"/>
      <c r="G872" s="232"/>
      <c r="H872" s="282" t="s">
        <v>122</v>
      </c>
      <c r="I872" s="282"/>
      <c r="J872" s="282"/>
      <c r="K872" s="282"/>
      <c r="L872" s="232"/>
      <c r="M872" s="192"/>
      <c r="N872" s="232"/>
      <c r="O872" s="343">
        <v>6.0248605439999423E-2</v>
      </c>
    </row>
    <row r="873" spans="2:15" outlineLevel="2">
      <c r="B873" s="242"/>
      <c r="C873" s="565" t="s">
        <v>556</v>
      </c>
      <c r="D873" s="249" t="s">
        <v>25</v>
      </c>
      <c r="E873" s="232"/>
      <c r="F873" s="192"/>
      <c r="G873" s="232"/>
      <c r="H873" s="282" t="s">
        <v>123</v>
      </c>
      <c r="I873" s="282"/>
      <c r="J873" s="282"/>
      <c r="K873" s="282"/>
      <c r="L873" s="232"/>
      <c r="M873" s="192"/>
      <c r="N873" s="232"/>
      <c r="O873" s="343">
        <v>1.1911781127994301E-2</v>
      </c>
    </row>
    <row r="874" spans="2:15" outlineLevel="2">
      <c r="B874" s="242"/>
      <c r="C874" s="565" t="s">
        <v>556</v>
      </c>
      <c r="D874" s="249" t="s">
        <v>25</v>
      </c>
      <c r="E874" s="232"/>
      <c r="F874" s="192"/>
      <c r="G874" s="232"/>
      <c r="H874" s="282" t="s">
        <v>124</v>
      </c>
      <c r="I874" s="282"/>
      <c r="J874" s="282"/>
      <c r="K874" s="282"/>
      <c r="L874" s="232"/>
      <c r="M874" s="192"/>
      <c r="N874" s="232"/>
      <c r="O874" s="343">
        <v>1.1911781127994301E-2</v>
      </c>
    </row>
    <row r="875" spans="2:15" outlineLevel="2">
      <c r="B875" s="560"/>
      <c r="C875" s="565" t="s">
        <v>558</v>
      </c>
      <c r="D875" s="249" t="s">
        <v>25</v>
      </c>
      <c r="E875" s="232"/>
      <c r="F875" s="192"/>
      <c r="G875" s="232"/>
      <c r="H875" s="282" t="s">
        <v>122</v>
      </c>
      <c r="I875" s="282"/>
      <c r="J875" s="282"/>
      <c r="K875" s="282"/>
      <c r="L875" s="232"/>
      <c r="M875" s="192"/>
      <c r="N875" s="232"/>
      <c r="O875" s="343">
        <v>5.4103609800000001E-2</v>
      </c>
    </row>
    <row r="876" spans="2:15" outlineLevel="2">
      <c r="B876" s="560"/>
      <c r="C876" s="565" t="s">
        <v>558</v>
      </c>
      <c r="D876" s="249" t="s">
        <v>25</v>
      </c>
      <c r="E876" s="232"/>
      <c r="F876" s="192"/>
      <c r="G876" s="232"/>
      <c r="H876" s="282" t="s">
        <v>129</v>
      </c>
      <c r="I876" s="282"/>
      <c r="J876" s="282"/>
      <c r="K876" s="282"/>
      <c r="L876" s="232"/>
      <c r="M876" s="192"/>
      <c r="N876" s="232"/>
      <c r="O876" s="343">
        <v>4.5086341500000002E-2</v>
      </c>
    </row>
    <row r="877" spans="2:15" outlineLevel="2">
      <c r="B877" s="560"/>
      <c r="C877" s="565" t="s">
        <v>558</v>
      </c>
      <c r="D877" s="249" t="s">
        <v>25</v>
      </c>
      <c r="E877" s="232"/>
      <c r="F877" s="192"/>
      <c r="G877" s="232"/>
      <c r="H877" s="282" t="s">
        <v>128</v>
      </c>
      <c r="I877" s="282"/>
      <c r="J877" s="282"/>
      <c r="K877" s="282"/>
      <c r="L877" s="232"/>
      <c r="M877" s="192"/>
      <c r="N877" s="232"/>
      <c r="O877" s="343">
        <v>6.7724302924981147E-2</v>
      </c>
    </row>
    <row r="878" spans="2:15" outlineLevel="2">
      <c r="B878" s="560"/>
      <c r="C878" s="565" t="s">
        <v>559</v>
      </c>
      <c r="D878" s="249" t="s">
        <v>25</v>
      </c>
      <c r="E878" s="232"/>
      <c r="F878" s="192"/>
      <c r="G878" s="232"/>
      <c r="H878" s="282" t="s">
        <v>837</v>
      </c>
      <c r="I878" s="282"/>
      <c r="J878" s="282"/>
      <c r="K878" s="282"/>
      <c r="L878" s="232"/>
      <c r="M878" s="192"/>
      <c r="N878" s="232"/>
      <c r="O878" s="343">
        <v>6.5483986034999997E-2</v>
      </c>
    </row>
    <row r="879" spans="2:15" outlineLevel="2">
      <c r="B879" s="560"/>
      <c r="C879" s="565" t="s">
        <v>559</v>
      </c>
      <c r="D879" s="249" t="s">
        <v>25</v>
      </c>
      <c r="E879" s="232"/>
      <c r="F879" s="192"/>
      <c r="G879" s="232"/>
      <c r="H879" s="282" t="s">
        <v>838</v>
      </c>
      <c r="I879" s="282"/>
      <c r="J879" s="282"/>
      <c r="K879" s="282"/>
      <c r="L879" s="232"/>
      <c r="M879" s="192"/>
      <c r="N879" s="232"/>
      <c r="O879" s="343">
        <v>6.5483986034999997E-2</v>
      </c>
    </row>
    <row r="880" spans="2:15" outlineLevel="2">
      <c r="B880" s="560"/>
      <c r="C880" s="565" t="s">
        <v>559</v>
      </c>
      <c r="D880" s="249" t="s">
        <v>25</v>
      </c>
      <c r="E880" s="232"/>
      <c r="F880" s="192"/>
      <c r="G880" s="232"/>
      <c r="H880" s="282" t="s">
        <v>600</v>
      </c>
      <c r="I880" s="282"/>
      <c r="J880" s="282"/>
      <c r="K880" s="282"/>
      <c r="L880" s="232"/>
      <c r="M880" s="192"/>
      <c r="N880" s="232"/>
      <c r="O880" s="343">
        <v>6.5483986034999997E-2</v>
      </c>
    </row>
    <row r="881" spans="3:15" outlineLevel="2">
      <c r="C881" s="565" t="s">
        <v>559</v>
      </c>
      <c r="D881" s="249" t="s">
        <v>25</v>
      </c>
      <c r="E881" s="232"/>
      <c r="F881" s="192"/>
      <c r="G881" s="232"/>
      <c r="H881" s="282" t="s">
        <v>839</v>
      </c>
      <c r="I881" s="282"/>
      <c r="J881" s="282"/>
      <c r="K881" s="282"/>
      <c r="L881" s="232"/>
      <c r="M881" s="192"/>
      <c r="N881" s="232"/>
      <c r="O881" s="343">
        <v>6.5483986034999997E-2</v>
      </c>
    </row>
    <row r="882" spans="3:15" outlineLevel="2">
      <c r="C882" s="565" t="s">
        <v>559</v>
      </c>
      <c r="D882" s="249" t="s">
        <v>25</v>
      </c>
      <c r="E882" s="232"/>
      <c r="F882" s="192"/>
      <c r="G882" s="232"/>
      <c r="H882" s="282" t="s">
        <v>840</v>
      </c>
      <c r="I882" s="282"/>
      <c r="J882" s="282"/>
      <c r="K882" s="282"/>
      <c r="L882" s="232"/>
      <c r="M882" s="192"/>
      <c r="N882" s="232"/>
      <c r="O882" s="343">
        <v>6.5483986034999997E-2</v>
      </c>
    </row>
    <row r="883" spans="3:15" outlineLevel="2">
      <c r="C883" s="565" t="s">
        <v>559</v>
      </c>
      <c r="D883" s="249" t="s">
        <v>25</v>
      </c>
      <c r="E883" s="232"/>
      <c r="F883" s="192"/>
      <c r="G883" s="232"/>
      <c r="H883" s="282" t="s">
        <v>841</v>
      </c>
      <c r="I883" s="282"/>
      <c r="J883" s="282"/>
      <c r="K883" s="282"/>
      <c r="L883" s="232"/>
      <c r="M883" s="192"/>
      <c r="N883" s="232"/>
      <c r="O883" s="343">
        <v>6.5483986034999997E-2</v>
      </c>
    </row>
    <row r="884" spans="3:15" outlineLevel="2">
      <c r="C884" s="565" t="s">
        <v>559</v>
      </c>
      <c r="D884" s="249" t="s">
        <v>25</v>
      </c>
      <c r="E884" s="232"/>
      <c r="F884" s="192"/>
      <c r="G884" s="232"/>
      <c r="H884" s="282" t="s">
        <v>842</v>
      </c>
      <c r="I884" s="282"/>
      <c r="J884" s="282"/>
      <c r="K884" s="282"/>
      <c r="L884" s="232"/>
      <c r="M884" s="192"/>
      <c r="N884" s="232"/>
      <c r="O884" s="343">
        <v>0.13354827417359996</v>
      </c>
    </row>
    <row r="885" spans="3:15" outlineLevel="2">
      <c r="C885" s="565" t="s">
        <v>559</v>
      </c>
      <c r="D885" s="249" t="s">
        <v>25</v>
      </c>
      <c r="E885" s="232"/>
      <c r="F885" s="192"/>
      <c r="G885" s="232"/>
      <c r="H885" s="282" t="s">
        <v>843</v>
      </c>
      <c r="I885" s="282"/>
      <c r="J885" s="282"/>
      <c r="K885" s="282"/>
      <c r="L885" s="232"/>
      <c r="M885" s="192"/>
      <c r="N885" s="232"/>
      <c r="O885" s="343">
        <v>0.17806436556479999</v>
      </c>
    </row>
    <row r="886" spans="3:15" outlineLevel="2">
      <c r="C886" s="565" t="s">
        <v>559</v>
      </c>
      <c r="D886" s="249" t="s">
        <v>25</v>
      </c>
      <c r="E886" s="232"/>
      <c r="F886" s="192"/>
      <c r="G886" s="232"/>
      <c r="H886" s="282" t="s">
        <v>844</v>
      </c>
      <c r="I886" s="282"/>
      <c r="J886" s="282"/>
      <c r="K886" s="282"/>
      <c r="L886" s="232"/>
      <c r="M886" s="192"/>
      <c r="N886" s="232"/>
      <c r="O886" s="343">
        <v>0.13354827417359996</v>
      </c>
    </row>
    <row r="887" spans="3:15" outlineLevel="2">
      <c r="C887" s="565" t="s">
        <v>559</v>
      </c>
      <c r="D887" s="249" t="s">
        <v>25</v>
      </c>
      <c r="E887" s="232"/>
      <c r="F887" s="192"/>
      <c r="G887" s="232"/>
      <c r="H887" s="282" t="s">
        <v>845</v>
      </c>
      <c r="I887" s="282"/>
      <c r="J887" s="282"/>
      <c r="K887" s="282"/>
      <c r="L887" s="232"/>
      <c r="M887" s="192"/>
      <c r="N887" s="232"/>
      <c r="O887" s="343">
        <v>8.7311981380000001E-2</v>
      </c>
    </row>
    <row r="888" spans="3:15" outlineLevel="2">
      <c r="C888" s="565" t="s">
        <v>559</v>
      </c>
      <c r="D888" s="249" t="s">
        <v>25</v>
      </c>
      <c r="E888" s="232"/>
      <c r="F888" s="192"/>
      <c r="G888" s="232"/>
      <c r="H888" s="282" t="s">
        <v>846</v>
      </c>
      <c r="I888" s="282"/>
      <c r="J888" s="282"/>
      <c r="K888" s="282"/>
      <c r="L888" s="232"/>
      <c r="M888" s="192"/>
      <c r="N888" s="232"/>
      <c r="O888" s="343">
        <v>8.7311981380000001E-2</v>
      </c>
    </row>
    <row r="889" spans="3:15" outlineLevel="2">
      <c r="C889" s="565" t="s">
        <v>559</v>
      </c>
      <c r="D889" s="249" t="s">
        <v>25</v>
      </c>
      <c r="E889" s="232"/>
      <c r="F889" s="192"/>
      <c r="G889" s="232"/>
      <c r="H889" s="282" t="s">
        <v>847</v>
      </c>
      <c r="I889" s="282"/>
      <c r="J889" s="282"/>
      <c r="K889" s="282"/>
      <c r="L889" s="232"/>
      <c r="M889" s="192"/>
      <c r="N889" s="232"/>
      <c r="O889" s="343">
        <v>8.7311981380000001E-2</v>
      </c>
    </row>
    <row r="890" spans="3:15" outlineLevel="2">
      <c r="C890" s="565" t="s">
        <v>559</v>
      </c>
      <c r="D890" s="249" t="s">
        <v>25</v>
      </c>
      <c r="E890" s="232"/>
      <c r="F890" s="192"/>
      <c r="G890" s="232"/>
      <c r="H890" s="282" t="s">
        <v>848</v>
      </c>
      <c r="I890" s="282"/>
      <c r="J890" s="282"/>
      <c r="K890" s="282"/>
      <c r="L890" s="232"/>
      <c r="M890" s="192"/>
      <c r="N890" s="232"/>
      <c r="O890" s="343">
        <v>0.13354827417359996</v>
      </c>
    </row>
    <row r="891" spans="3:15" outlineLevel="2">
      <c r="C891" s="565" t="s">
        <v>559</v>
      </c>
      <c r="D891" s="249" t="s">
        <v>25</v>
      </c>
      <c r="E891" s="232"/>
      <c r="F891" s="192"/>
      <c r="G891" s="232"/>
      <c r="H891" s="282" t="s">
        <v>849</v>
      </c>
      <c r="I891" s="282"/>
      <c r="J891" s="282"/>
      <c r="K891" s="282"/>
      <c r="L891" s="232"/>
      <c r="M891" s="192"/>
      <c r="N891" s="232"/>
      <c r="O891" s="343">
        <v>0.13354827417359996</v>
      </c>
    </row>
    <row r="892" spans="3:15" outlineLevel="2">
      <c r="C892" s="565" t="s">
        <v>559</v>
      </c>
      <c r="D892" s="249" t="s">
        <v>25</v>
      </c>
      <c r="E892" s="232"/>
      <c r="F892" s="192"/>
      <c r="G892" s="232"/>
      <c r="H892" s="282" t="s">
        <v>122</v>
      </c>
      <c r="I892" s="282"/>
      <c r="J892" s="282"/>
      <c r="K892" s="282"/>
      <c r="L892" s="232"/>
      <c r="M892" s="192"/>
      <c r="N892" s="232"/>
      <c r="O892" s="343">
        <v>3.6135182827925997E-3</v>
      </c>
    </row>
    <row r="893" spans="3:15" outlineLevel="2">
      <c r="C893" s="565" t="s">
        <v>559</v>
      </c>
      <c r="D893" s="249" t="s">
        <v>25</v>
      </c>
      <c r="E893" s="232"/>
      <c r="F893" s="192"/>
      <c r="G893" s="232"/>
      <c r="H893" s="282" t="s">
        <v>129</v>
      </c>
      <c r="I893" s="282"/>
      <c r="J893" s="282"/>
      <c r="K893" s="282"/>
      <c r="L893" s="232"/>
      <c r="M893" s="192"/>
      <c r="N893" s="232"/>
      <c r="O893" s="343">
        <v>3.0112652356605002E-3</v>
      </c>
    </row>
    <row r="894" spans="3:15" outlineLevel="2">
      <c r="C894" s="565" t="s">
        <v>566</v>
      </c>
      <c r="D894" s="249" t="s">
        <v>25</v>
      </c>
      <c r="E894" s="232"/>
      <c r="F894" s="192"/>
      <c r="G894" s="232"/>
      <c r="H894" s="565" t="s">
        <v>31</v>
      </c>
      <c r="I894" s="565"/>
      <c r="J894" s="565"/>
      <c r="K894" s="565"/>
      <c r="L894" s="232"/>
      <c r="M894" s="192"/>
      <c r="N894" s="232"/>
      <c r="O894" s="343">
        <v>0.41</v>
      </c>
    </row>
    <row r="895" spans="3:15" outlineLevel="2">
      <c r="C895" s="565" t="s">
        <v>566</v>
      </c>
      <c r="D895" s="249" t="s">
        <v>25</v>
      </c>
      <c r="E895" s="232"/>
      <c r="F895" s="192"/>
      <c r="G895" s="232"/>
      <c r="H895" s="565" t="s">
        <v>55</v>
      </c>
      <c r="I895" s="565"/>
      <c r="J895" s="565"/>
      <c r="K895" s="565"/>
      <c r="L895" s="232"/>
      <c r="M895" s="192"/>
      <c r="N895" s="232"/>
      <c r="O895" s="343">
        <v>0.82</v>
      </c>
    </row>
    <row r="896" spans="3:15" outlineLevel="2">
      <c r="C896" s="565" t="s">
        <v>566</v>
      </c>
      <c r="D896" s="249" t="s">
        <v>25</v>
      </c>
      <c r="E896" s="232"/>
      <c r="F896" s="192"/>
      <c r="G896" s="232"/>
      <c r="H896" s="565" t="s">
        <v>850</v>
      </c>
      <c r="I896" s="565"/>
      <c r="J896" s="565"/>
      <c r="K896" s="565"/>
      <c r="L896" s="232"/>
      <c r="M896" s="192"/>
      <c r="N896" s="232"/>
      <c r="O896" s="343">
        <v>0.41</v>
      </c>
    </row>
    <row r="897" spans="2:15" outlineLevel="2">
      <c r="B897" s="560"/>
      <c r="C897" s="565" t="s">
        <v>566</v>
      </c>
      <c r="D897" s="249" t="s">
        <v>25</v>
      </c>
      <c r="E897" s="232"/>
      <c r="F897" s="192"/>
      <c r="G897" s="232"/>
      <c r="H897" s="565" t="s">
        <v>851</v>
      </c>
      <c r="I897" s="565"/>
      <c r="J897" s="565"/>
      <c r="K897" s="565"/>
      <c r="L897" s="232"/>
      <c r="M897" s="192"/>
      <c r="N897" s="232"/>
      <c r="O897" s="343">
        <v>0.02</v>
      </c>
    </row>
    <row r="898" spans="2:15" outlineLevel="2">
      <c r="B898" s="560"/>
      <c r="C898" s="565" t="s">
        <v>566</v>
      </c>
      <c r="D898" s="249" t="s">
        <v>25</v>
      </c>
      <c r="E898" s="232"/>
      <c r="F898" s="192"/>
      <c r="G898" s="232"/>
      <c r="H898" s="565" t="s">
        <v>852</v>
      </c>
      <c r="I898" s="565"/>
      <c r="J898" s="565"/>
      <c r="K898" s="565"/>
      <c r="L898" s="232"/>
      <c r="M898" s="192"/>
      <c r="N898" s="232"/>
      <c r="O898" s="343">
        <v>0.09</v>
      </c>
    </row>
    <row r="899" spans="2:15" outlineLevel="2">
      <c r="B899" s="560"/>
      <c r="C899" s="565" t="s">
        <v>566</v>
      </c>
      <c r="D899" s="249" t="s">
        <v>25</v>
      </c>
      <c r="E899" s="232"/>
      <c r="F899" s="192"/>
      <c r="G899" s="232"/>
      <c r="H899" s="565" t="s">
        <v>569</v>
      </c>
      <c r="I899" s="565"/>
      <c r="J899" s="565"/>
      <c r="K899" s="565"/>
      <c r="L899" s="232"/>
      <c r="M899" s="192"/>
      <c r="N899" s="232"/>
      <c r="O899" s="343">
        <v>0.09</v>
      </c>
    </row>
    <row r="900" spans="2:15" ht="3" customHeight="1" outlineLevel="1">
      <c r="B900" s="560"/>
      <c r="C900" s="559"/>
      <c r="D900" s="559"/>
      <c r="E900" s="232"/>
      <c r="F900" s="192"/>
      <c r="G900" s="232"/>
      <c r="H900" s="569"/>
      <c r="I900" s="569"/>
      <c r="J900" s="569"/>
      <c r="K900" s="569"/>
      <c r="L900" s="232"/>
      <c r="M900" s="192"/>
      <c r="N900" s="232"/>
      <c r="O900" s="570"/>
    </row>
    <row r="901" spans="2:15" s="234" customFormat="1" outlineLevel="1">
      <c r="B901" s="235" t="s">
        <v>708</v>
      </c>
      <c r="C901" s="235"/>
      <c r="D901" s="235"/>
      <c r="E901" s="232"/>
      <c r="F901" s="192"/>
      <c r="G901" s="232"/>
      <c r="H901" s="236">
        <f>COUNTA(H902)</f>
        <v>1</v>
      </c>
      <c r="I901" s="236"/>
      <c r="J901" s="236"/>
      <c r="K901" s="236"/>
      <c r="L901" s="232"/>
      <c r="M901" s="192"/>
      <c r="N901" s="232"/>
      <c r="O901" s="260">
        <f>SUM(O902)</f>
        <v>0</v>
      </c>
    </row>
    <row r="902" spans="2:15" s="234" customFormat="1" outlineLevel="2">
      <c r="B902" s="289"/>
      <c r="C902" s="242" t="s">
        <v>709</v>
      </c>
      <c r="D902" s="249" t="s">
        <v>25</v>
      </c>
      <c r="E902" s="276"/>
      <c r="F902" s="192"/>
      <c r="G902" s="276"/>
      <c r="H902" s="589" t="s">
        <v>853</v>
      </c>
      <c r="I902" s="589"/>
      <c r="J902" s="589"/>
      <c r="K902" s="589"/>
      <c r="L902" s="276"/>
      <c r="M902" s="192"/>
      <c r="N902" s="276"/>
      <c r="O902" s="341"/>
    </row>
    <row r="903" spans="2:15" ht="3" customHeight="1" outlineLevel="1">
      <c r="B903" s="242"/>
      <c r="C903" s="242"/>
      <c r="D903" s="242"/>
      <c r="E903" s="232"/>
      <c r="F903" s="192"/>
      <c r="G903" s="232"/>
      <c r="H903" s="569"/>
      <c r="I903" s="569"/>
      <c r="J903" s="569"/>
      <c r="K903" s="569"/>
      <c r="L903" s="232"/>
      <c r="M903" s="192"/>
      <c r="N903" s="232"/>
      <c r="O903" s="570"/>
    </row>
    <row r="904" spans="2:15" s="234" customFormat="1" outlineLevel="1">
      <c r="B904" s="235" t="s">
        <v>711</v>
      </c>
      <c r="C904" s="235"/>
      <c r="D904" s="235"/>
      <c r="E904" s="232"/>
      <c r="F904" s="192"/>
      <c r="G904" s="232"/>
      <c r="H904" s="236">
        <f>COUNTA(H905:H905)</f>
        <v>1</v>
      </c>
      <c r="I904" s="236"/>
      <c r="J904" s="236"/>
      <c r="K904" s="236"/>
      <c r="L904" s="232"/>
      <c r="M904" s="192"/>
      <c r="N904" s="232"/>
      <c r="O904" s="260">
        <f>SUM(O905:O905)</f>
        <v>0.01</v>
      </c>
    </row>
    <row r="905" spans="2:15" outlineLevel="2">
      <c r="B905" s="242"/>
      <c r="C905" s="242" t="s">
        <v>712</v>
      </c>
      <c r="D905" s="249" t="s">
        <v>25</v>
      </c>
      <c r="E905" s="257"/>
      <c r="F905" s="192"/>
      <c r="G905" s="257"/>
      <c r="H905" s="285" t="s">
        <v>854</v>
      </c>
      <c r="I905" s="285"/>
      <c r="J905" s="285"/>
      <c r="K905" s="285"/>
      <c r="L905" s="257"/>
      <c r="M905" s="192"/>
      <c r="N905" s="257"/>
      <c r="O905" s="572">
        <v>0.01</v>
      </c>
    </row>
    <row r="906" spans="2:15" ht="3" customHeight="1" outlineLevel="1">
      <c r="B906" s="242"/>
      <c r="C906" s="242"/>
      <c r="D906" s="242"/>
      <c r="E906" s="232"/>
      <c r="F906" s="192"/>
      <c r="G906" s="232"/>
      <c r="H906" s="569"/>
      <c r="I906" s="569"/>
      <c r="J906" s="569"/>
      <c r="K906" s="569"/>
      <c r="L906" s="232"/>
      <c r="M906" s="192"/>
      <c r="N906" s="232"/>
      <c r="O906" s="570"/>
    </row>
    <row r="907" spans="2:15" s="234" customFormat="1" outlineLevel="1">
      <c r="B907" s="267" t="s">
        <v>855</v>
      </c>
      <c r="C907" s="235"/>
      <c r="D907" s="235"/>
      <c r="E907" s="232"/>
      <c r="F907" s="192"/>
      <c r="G907" s="232"/>
      <c r="H907" s="236"/>
      <c r="I907" s="236"/>
      <c r="J907" s="236"/>
      <c r="K907" s="236"/>
      <c r="L907" s="232"/>
      <c r="M907" s="192"/>
      <c r="N907" s="232"/>
      <c r="O907" s="260"/>
    </row>
    <row r="908" spans="2:15" ht="3" customHeight="1" outlineLevel="1">
      <c r="B908" s="242"/>
      <c r="C908" s="242"/>
      <c r="D908" s="242"/>
      <c r="E908" s="232"/>
      <c r="F908" s="192"/>
      <c r="G908" s="232"/>
      <c r="H908" s="569"/>
      <c r="I908" s="569"/>
      <c r="J908" s="569"/>
      <c r="K908" s="569"/>
      <c r="L908" s="232"/>
      <c r="M908" s="192"/>
      <c r="N908" s="232"/>
      <c r="O908" s="570"/>
    </row>
    <row r="909" spans="2:15" s="234" customFormat="1" outlineLevel="1">
      <c r="B909" s="267" t="s">
        <v>856</v>
      </c>
      <c r="C909" s="235"/>
      <c r="D909" s="235"/>
      <c r="E909" s="232"/>
      <c r="F909" s="192"/>
      <c r="G909" s="232"/>
      <c r="H909" s="236">
        <f>COUNTA(#REF!)</f>
        <v>1</v>
      </c>
      <c r="I909" s="236"/>
      <c r="J909" s="236"/>
      <c r="K909" s="236"/>
      <c r="L909" s="232"/>
      <c r="M909" s="192"/>
      <c r="N909" s="232"/>
      <c r="O909" s="260">
        <f>SUM(O910:O910)</f>
        <v>0</v>
      </c>
    </row>
    <row r="910" spans="2:15" outlineLevel="2">
      <c r="B910" s="242"/>
      <c r="C910" s="565" t="s">
        <v>687</v>
      </c>
      <c r="D910" s="249" t="s">
        <v>25</v>
      </c>
      <c r="E910" s="257"/>
      <c r="F910" s="192"/>
      <c r="G910" s="257"/>
      <c r="H910" s="568" t="s">
        <v>688</v>
      </c>
      <c r="I910" s="568"/>
      <c r="J910" s="568"/>
      <c r="K910" s="568"/>
      <c r="L910" s="257"/>
      <c r="M910" s="192"/>
      <c r="N910" s="257"/>
      <c r="O910" s="572"/>
    </row>
    <row r="911" spans="2:15" ht="3" customHeight="1" outlineLevel="1">
      <c r="B911" s="560"/>
      <c r="C911" s="559"/>
      <c r="D911" s="559"/>
      <c r="H911" s="562"/>
      <c r="I911" s="562"/>
      <c r="J911" s="562"/>
      <c r="K911" s="562"/>
      <c r="O911" s="563"/>
    </row>
    <row r="912" spans="2:15" s="274" customFormat="1" outlineLevel="1"/>
    <row r="913" spans="2:15" s="234" customFormat="1" outlineLevel="1">
      <c r="B913" s="235" t="s">
        <v>182</v>
      </c>
      <c r="C913" s="235"/>
      <c r="D913" s="235"/>
      <c r="E913" s="232"/>
      <c r="F913" s="250"/>
      <c r="G913" s="232"/>
      <c r="H913" s="236">
        <f>COUNTA(H914:H951)</f>
        <v>38</v>
      </c>
      <c r="I913" s="236"/>
      <c r="J913" s="236"/>
      <c r="K913" s="236"/>
      <c r="L913" s="232"/>
      <c r="M913" s="250"/>
      <c r="N913" s="232"/>
      <c r="O913" s="363">
        <f>SUM(O914:O951)</f>
        <v>7.2881067497999945</v>
      </c>
    </row>
    <row r="914" spans="2:15" s="290" customFormat="1" outlineLevel="2">
      <c r="C914" s="290" t="s">
        <v>182</v>
      </c>
      <c r="D914" s="266" t="s">
        <v>25</v>
      </c>
      <c r="E914" s="291"/>
      <c r="F914" s="292"/>
      <c r="G914" s="291"/>
      <c r="H914" s="286" t="s">
        <v>857</v>
      </c>
      <c r="I914" s="286"/>
      <c r="J914" s="286"/>
      <c r="K914" s="286"/>
      <c r="L914" s="291"/>
      <c r="M914" s="292"/>
      <c r="N914" s="291"/>
      <c r="O914" s="350">
        <v>2.25</v>
      </c>
    </row>
    <row r="915" spans="2:15" s="290" customFormat="1" outlineLevel="2">
      <c r="C915" s="290" t="s">
        <v>182</v>
      </c>
      <c r="D915" s="266" t="s">
        <v>25</v>
      </c>
      <c r="E915" s="291"/>
      <c r="F915" s="292"/>
      <c r="G915" s="291"/>
      <c r="H915" s="286" t="s">
        <v>858</v>
      </c>
      <c r="I915" s="286"/>
      <c r="J915" s="286"/>
      <c r="K915" s="286"/>
      <c r="L915" s="291"/>
      <c r="M915" s="292"/>
      <c r="N915" s="291"/>
      <c r="O915" s="350">
        <v>0.26479052496000005</v>
      </c>
    </row>
    <row r="916" spans="2:15" s="290" customFormat="1" outlineLevel="2">
      <c r="C916" s="290" t="s">
        <v>182</v>
      </c>
      <c r="D916" s="266" t="s">
        <v>25</v>
      </c>
      <c r="E916" s="291"/>
      <c r="F916" s="292"/>
      <c r="G916" s="291"/>
      <c r="H916" s="286" t="s">
        <v>859</v>
      </c>
      <c r="I916" s="286"/>
      <c r="J916" s="286"/>
      <c r="K916" s="286"/>
      <c r="L916" s="232"/>
      <c r="M916" s="250"/>
      <c r="N916" s="232"/>
      <c r="O916" s="351">
        <v>0.19859289372000002</v>
      </c>
    </row>
    <row r="917" spans="2:15" s="290" customFormat="1" outlineLevel="2">
      <c r="C917" s="290" t="s">
        <v>182</v>
      </c>
      <c r="D917" s="266" t="s">
        <v>25</v>
      </c>
      <c r="E917" s="291"/>
      <c r="F917" s="292"/>
      <c r="G917" s="291"/>
      <c r="H917" s="286" t="s">
        <v>860</v>
      </c>
      <c r="I917" s="286"/>
      <c r="J917" s="286"/>
      <c r="K917" s="286"/>
      <c r="L917" s="232"/>
      <c r="M917" s="250"/>
      <c r="N917" s="232"/>
      <c r="O917" s="351">
        <v>0.19859289372000002</v>
      </c>
    </row>
    <row r="918" spans="2:15" s="290" customFormat="1" outlineLevel="2">
      <c r="C918" s="290" t="s">
        <v>182</v>
      </c>
      <c r="D918" s="266" t="s">
        <v>25</v>
      </c>
      <c r="E918" s="291"/>
      <c r="F918" s="292"/>
      <c r="G918" s="291"/>
      <c r="H918" s="286" t="s">
        <v>858</v>
      </c>
      <c r="I918" s="286"/>
      <c r="J918" s="286"/>
      <c r="K918" s="286"/>
      <c r="L918" s="291"/>
      <c r="M918" s="292"/>
      <c r="N918" s="291"/>
      <c r="O918" s="350">
        <v>0.26479052496000005</v>
      </c>
    </row>
    <row r="919" spans="2:15" s="274" customFormat="1" outlineLevel="2">
      <c r="C919" s="274" t="s">
        <v>182</v>
      </c>
      <c r="D919" s="249" t="s">
        <v>25</v>
      </c>
      <c r="E919" s="232"/>
      <c r="F919" s="250"/>
      <c r="G919" s="232"/>
      <c r="H919" s="286" t="s">
        <v>859</v>
      </c>
      <c r="I919" s="286"/>
      <c r="J919" s="286"/>
      <c r="K919" s="286"/>
      <c r="L919" s="232"/>
      <c r="M919" s="250"/>
      <c r="N919" s="232"/>
      <c r="O919" s="351">
        <v>0.19859289372000002</v>
      </c>
    </row>
    <row r="920" spans="2:15" s="274" customFormat="1" outlineLevel="2">
      <c r="C920" s="290" t="s">
        <v>182</v>
      </c>
      <c r="D920" s="266" t="s">
        <v>25</v>
      </c>
      <c r="E920" s="232"/>
      <c r="F920" s="250"/>
      <c r="G920" s="232"/>
      <c r="H920" s="286" t="s">
        <v>860</v>
      </c>
      <c r="I920" s="286"/>
      <c r="J920" s="286"/>
      <c r="K920" s="286"/>
      <c r="L920" s="232"/>
      <c r="M920" s="250"/>
      <c r="N920" s="232"/>
      <c r="O920" s="351">
        <v>0.19859289372000002</v>
      </c>
    </row>
    <row r="921" spans="2:15" s="274" customFormat="1" outlineLevel="2">
      <c r="C921" s="290" t="s">
        <v>182</v>
      </c>
      <c r="D921" s="266" t="s">
        <v>25</v>
      </c>
      <c r="E921" s="232"/>
      <c r="F921" s="250"/>
      <c r="G921" s="232"/>
      <c r="H921" s="286" t="s">
        <v>861</v>
      </c>
      <c r="I921" s="286"/>
      <c r="J921" s="286"/>
      <c r="K921" s="286"/>
      <c r="L921" s="232"/>
      <c r="M921" s="250"/>
      <c r="N921" s="232"/>
      <c r="O921" s="351">
        <v>2.5612785000000002E-2</v>
      </c>
    </row>
    <row r="922" spans="2:15" s="274" customFormat="1" outlineLevel="2">
      <c r="C922" s="290" t="s">
        <v>182</v>
      </c>
      <c r="D922" s="266" t="s">
        <v>25</v>
      </c>
      <c r="E922" s="232"/>
      <c r="F922" s="250"/>
      <c r="G922" s="232"/>
      <c r="H922" s="286" t="s">
        <v>862</v>
      </c>
      <c r="I922" s="286"/>
      <c r="J922" s="286"/>
      <c r="K922" s="286"/>
      <c r="L922" s="232"/>
      <c r="M922" s="250"/>
      <c r="N922" s="232"/>
      <c r="O922" s="351">
        <v>2.5612785000000002E-2</v>
      </c>
    </row>
    <row r="923" spans="2:15" s="274" customFormat="1" outlineLevel="2">
      <c r="C923" s="290" t="s">
        <v>182</v>
      </c>
      <c r="D923" s="266" t="s">
        <v>25</v>
      </c>
      <c r="E923" s="232"/>
      <c r="F923" s="250"/>
      <c r="G923" s="232"/>
      <c r="H923" s="286" t="s">
        <v>862</v>
      </c>
      <c r="I923" s="286"/>
      <c r="J923" s="286"/>
      <c r="K923" s="286"/>
      <c r="L923" s="232"/>
      <c r="M923" s="250"/>
      <c r="N923" s="232"/>
      <c r="O923" s="351">
        <v>7.6838354999999997E-2</v>
      </c>
    </row>
    <row r="924" spans="2:15" s="274" customFormat="1" outlineLevel="2">
      <c r="C924" s="290" t="s">
        <v>182</v>
      </c>
      <c r="D924" s="266" t="s">
        <v>25</v>
      </c>
      <c r="E924" s="232"/>
      <c r="F924" s="250"/>
      <c r="G924" s="232"/>
      <c r="H924" s="286" t="s">
        <v>863</v>
      </c>
      <c r="I924" s="286"/>
      <c r="J924" s="286"/>
      <c r="K924" s="286"/>
      <c r="L924" s="232"/>
      <c r="M924" s="250"/>
      <c r="N924" s="232"/>
      <c r="O924" s="279">
        <v>0.10833933000000003</v>
      </c>
    </row>
    <row r="925" spans="2:15" s="274" customFormat="1" outlineLevel="2">
      <c r="C925" s="290" t="s">
        <v>182</v>
      </c>
      <c r="D925" s="266" t="s">
        <v>25</v>
      </c>
      <c r="E925" s="232"/>
      <c r="F925" s="250"/>
      <c r="G925" s="232"/>
      <c r="H925" s="286" t="s">
        <v>864</v>
      </c>
      <c r="I925" s="286"/>
      <c r="J925" s="286"/>
      <c r="K925" s="286"/>
      <c r="L925" s="232"/>
      <c r="M925" s="250"/>
      <c r="N925" s="232"/>
      <c r="O925" s="279">
        <v>5.4169665000000013E-2</v>
      </c>
    </row>
    <row r="926" spans="2:15" s="274" customFormat="1" outlineLevel="2">
      <c r="C926" s="290" t="s">
        <v>182</v>
      </c>
      <c r="D926" s="266" t="s">
        <v>25</v>
      </c>
      <c r="E926" s="232"/>
      <c r="F926" s="250"/>
      <c r="G926" s="232"/>
      <c r="H926" s="256" t="s">
        <v>865</v>
      </c>
      <c r="I926" s="256"/>
      <c r="J926" s="256"/>
      <c r="K926" s="256"/>
      <c r="L926" s="232"/>
      <c r="M926" s="250"/>
      <c r="N926" s="232"/>
      <c r="O926" s="279">
        <v>5.4169665000000013E-2</v>
      </c>
    </row>
    <row r="927" spans="2:15" s="274" customFormat="1" outlineLevel="2">
      <c r="C927" s="290" t="s">
        <v>182</v>
      </c>
      <c r="D927" s="266" t="s">
        <v>25</v>
      </c>
      <c r="E927" s="232"/>
      <c r="F927" s="250"/>
      <c r="G927" s="232"/>
      <c r="H927" s="256" t="s">
        <v>866</v>
      </c>
      <c r="I927" s="256"/>
      <c r="J927" s="256"/>
      <c r="K927" s="256"/>
      <c r="L927" s="232"/>
      <c r="M927" s="250"/>
      <c r="N927" s="232"/>
      <c r="O927" s="279">
        <v>0.16250899500000002</v>
      </c>
    </row>
    <row r="928" spans="2:15" s="274" customFormat="1" outlineLevel="2">
      <c r="C928" s="290" t="s">
        <v>182</v>
      </c>
      <c r="D928" s="266" t="s">
        <v>25</v>
      </c>
      <c r="E928" s="232"/>
      <c r="F928" s="250"/>
      <c r="G928" s="232"/>
      <c r="H928" s="256" t="s">
        <v>867</v>
      </c>
      <c r="I928" s="256"/>
      <c r="J928" s="256"/>
      <c r="K928" s="256"/>
      <c r="L928" s="232"/>
      <c r="M928" s="250"/>
      <c r="N928" s="232"/>
      <c r="O928" s="279">
        <v>0.10833933000000003</v>
      </c>
    </row>
    <row r="929" spans="3:15" s="274" customFormat="1" outlineLevel="2">
      <c r="C929" s="290" t="s">
        <v>182</v>
      </c>
      <c r="D929" s="266" t="s">
        <v>25</v>
      </c>
      <c r="E929" s="232"/>
      <c r="F929" s="250"/>
      <c r="G929" s="232"/>
      <c r="H929" s="256" t="s">
        <v>868</v>
      </c>
      <c r="I929" s="256"/>
      <c r="J929" s="256"/>
      <c r="K929" s="256"/>
      <c r="L929" s="232"/>
      <c r="M929" s="250"/>
      <c r="N929" s="232"/>
      <c r="O929" s="279">
        <v>5.4169665000000013E-2</v>
      </c>
    </row>
    <row r="930" spans="3:15" s="274" customFormat="1" outlineLevel="2">
      <c r="C930" s="290" t="s">
        <v>182</v>
      </c>
      <c r="D930" s="266" t="s">
        <v>25</v>
      </c>
      <c r="E930" s="232"/>
      <c r="F930" s="250"/>
      <c r="G930" s="232"/>
      <c r="H930" s="256" t="s">
        <v>869</v>
      </c>
      <c r="I930" s="256"/>
      <c r="J930" s="256"/>
      <c r="K930" s="256"/>
      <c r="L930" s="232"/>
      <c r="M930" s="250"/>
      <c r="N930" s="232"/>
      <c r="O930" s="279">
        <v>5.4169665000000013E-2</v>
      </c>
    </row>
    <row r="931" spans="3:15" s="274" customFormat="1" outlineLevel="2">
      <c r="C931" s="290" t="s">
        <v>182</v>
      </c>
      <c r="D931" s="266" t="s">
        <v>25</v>
      </c>
      <c r="E931" s="232"/>
      <c r="F931" s="250"/>
      <c r="G931" s="232"/>
      <c r="H931" s="256" t="s">
        <v>870</v>
      </c>
      <c r="I931" s="256"/>
      <c r="J931" s="256"/>
      <c r="K931" s="256"/>
      <c r="L931" s="232"/>
      <c r="M931" s="250"/>
      <c r="N931" s="232"/>
      <c r="O931" s="279">
        <v>0.16250899500000002</v>
      </c>
    </row>
    <row r="932" spans="3:15" s="274" customFormat="1" outlineLevel="2">
      <c r="C932" s="290" t="s">
        <v>182</v>
      </c>
      <c r="D932" s="266" t="s">
        <v>25</v>
      </c>
      <c r="E932" s="232"/>
      <c r="F932" s="250"/>
      <c r="G932" s="232"/>
      <c r="H932" s="256" t="s">
        <v>871</v>
      </c>
      <c r="I932" s="256"/>
      <c r="J932" s="256"/>
      <c r="K932" s="256"/>
      <c r="L932" s="232"/>
      <c r="M932" s="250"/>
      <c r="N932" s="232"/>
      <c r="O932" s="279">
        <v>0.10833933000000003</v>
      </c>
    </row>
    <row r="933" spans="3:15" s="274" customFormat="1" outlineLevel="2">
      <c r="C933" s="290" t="s">
        <v>182</v>
      </c>
      <c r="D933" s="266" t="s">
        <v>25</v>
      </c>
      <c r="E933" s="232"/>
      <c r="F933" s="250"/>
      <c r="G933" s="232"/>
      <c r="H933" s="256" t="s">
        <v>872</v>
      </c>
      <c r="I933" s="256"/>
      <c r="J933" s="256"/>
      <c r="K933" s="256"/>
      <c r="L933" s="232"/>
      <c r="M933" s="250"/>
      <c r="N933" s="232"/>
      <c r="O933" s="279">
        <v>5.4169665000000013E-2</v>
      </c>
    </row>
    <row r="934" spans="3:15" s="274" customFormat="1" outlineLevel="2">
      <c r="C934" s="290" t="s">
        <v>182</v>
      </c>
      <c r="D934" s="266" t="s">
        <v>25</v>
      </c>
      <c r="E934" s="232"/>
      <c r="F934" s="250"/>
      <c r="G934" s="232"/>
      <c r="H934" s="256" t="s">
        <v>873</v>
      </c>
      <c r="I934" s="256"/>
      <c r="J934" s="256"/>
      <c r="K934" s="256"/>
      <c r="L934" s="232"/>
      <c r="M934" s="250"/>
      <c r="N934" s="232"/>
      <c r="O934" s="279">
        <v>5.4169665000000013E-2</v>
      </c>
    </row>
    <row r="935" spans="3:15" s="274" customFormat="1" outlineLevel="2">
      <c r="C935" s="290" t="s">
        <v>182</v>
      </c>
      <c r="D935" s="266" t="s">
        <v>25</v>
      </c>
      <c r="E935" s="232"/>
      <c r="F935" s="250"/>
      <c r="G935" s="232"/>
      <c r="H935" s="256" t="s">
        <v>874</v>
      </c>
      <c r="I935" s="256"/>
      <c r="J935" s="256"/>
      <c r="K935" s="256"/>
      <c r="L935" s="232"/>
      <c r="M935" s="250"/>
      <c r="N935" s="232"/>
      <c r="O935" s="279">
        <v>0.16250899500000002</v>
      </c>
    </row>
    <row r="936" spans="3:15" s="274" customFormat="1" outlineLevel="2">
      <c r="C936" s="290" t="s">
        <v>182</v>
      </c>
      <c r="D936" s="266" t="s">
        <v>25</v>
      </c>
      <c r="E936" s="291"/>
      <c r="F936" s="292"/>
      <c r="G936" s="291"/>
      <c r="H936" s="256" t="s">
        <v>875</v>
      </c>
      <c r="I936" s="256"/>
      <c r="J936" s="256"/>
      <c r="K936" s="256"/>
      <c r="L936" s="232"/>
      <c r="M936" s="250"/>
      <c r="N936" s="232"/>
      <c r="O936" s="279">
        <v>0.10833933000000003</v>
      </c>
    </row>
    <row r="937" spans="3:15" s="290" customFormat="1" outlineLevel="2">
      <c r="C937" s="274" t="s">
        <v>182</v>
      </c>
      <c r="D937" s="249" t="s">
        <v>25</v>
      </c>
      <c r="E937" s="232"/>
      <c r="F937" s="250"/>
      <c r="G937" s="232"/>
      <c r="H937" s="256" t="s">
        <v>876</v>
      </c>
      <c r="I937" s="256"/>
      <c r="J937" s="256"/>
      <c r="K937" s="256"/>
      <c r="L937" s="232"/>
      <c r="M937" s="250"/>
      <c r="N937" s="232"/>
      <c r="O937" s="279">
        <v>5.4169665000000013E-2</v>
      </c>
    </row>
    <row r="938" spans="3:15" s="274" customFormat="1" outlineLevel="2">
      <c r="C938" s="274" t="s">
        <v>182</v>
      </c>
      <c r="D938" s="249" t="s">
        <v>25</v>
      </c>
      <c r="E938" s="232"/>
      <c r="F938" s="250"/>
      <c r="G938" s="232"/>
      <c r="H938" s="256" t="s">
        <v>877</v>
      </c>
      <c r="I938" s="256"/>
      <c r="J938" s="256"/>
      <c r="K938" s="256"/>
      <c r="L938" s="232"/>
      <c r="M938" s="250"/>
      <c r="N938" s="232"/>
      <c r="O938" s="279">
        <v>5.4169665000000013E-2</v>
      </c>
    </row>
    <row r="939" spans="3:15" s="274" customFormat="1" outlineLevel="2">
      <c r="C939" s="274" t="s">
        <v>182</v>
      </c>
      <c r="D939" s="249" t="s">
        <v>25</v>
      </c>
      <c r="E939" s="232"/>
      <c r="F939" s="250"/>
      <c r="G939" s="232"/>
      <c r="H939" s="256" t="s">
        <v>878</v>
      </c>
      <c r="I939" s="256"/>
      <c r="J939" s="256"/>
      <c r="K939" s="256"/>
      <c r="L939" s="232"/>
      <c r="M939" s="250"/>
      <c r="N939" s="232"/>
      <c r="O939" s="279">
        <v>0.16250899500000002</v>
      </c>
    </row>
    <row r="940" spans="3:15" s="274" customFormat="1" outlineLevel="2">
      <c r="C940" s="274" t="s">
        <v>182</v>
      </c>
      <c r="D940" s="249" t="s">
        <v>25</v>
      </c>
      <c r="E940" s="232"/>
      <c r="F940" s="250"/>
      <c r="G940" s="232"/>
      <c r="H940" s="256" t="s">
        <v>879</v>
      </c>
      <c r="I940" s="256"/>
      <c r="J940" s="256"/>
      <c r="K940" s="256"/>
      <c r="L940" s="232"/>
      <c r="M940" s="250"/>
      <c r="N940" s="232"/>
      <c r="O940" s="279">
        <v>5.1225570000000005E-2</v>
      </c>
    </row>
    <row r="941" spans="3:15" s="274" customFormat="1" outlineLevel="2">
      <c r="C941" s="274" t="s">
        <v>182</v>
      </c>
      <c r="D941" s="249" t="s">
        <v>25</v>
      </c>
      <c r="E941" s="232"/>
      <c r="F941" s="250"/>
      <c r="G941" s="232"/>
      <c r="H941" s="256" t="s">
        <v>880</v>
      </c>
      <c r="I941" s="256"/>
      <c r="J941" s="256"/>
      <c r="K941" s="256"/>
      <c r="L941" s="232"/>
      <c r="M941" s="250"/>
      <c r="N941" s="232"/>
      <c r="O941" s="279">
        <v>5.1225570000000005E-2</v>
      </c>
    </row>
    <row r="942" spans="3:15" s="274" customFormat="1" outlineLevel="2">
      <c r="C942" s="274" t="s">
        <v>182</v>
      </c>
      <c r="D942" s="249" t="s">
        <v>25</v>
      </c>
      <c r="E942" s="232"/>
      <c r="F942" s="250"/>
      <c r="G942" s="232"/>
      <c r="H942" s="256" t="s">
        <v>881</v>
      </c>
      <c r="I942" s="256"/>
      <c r="J942" s="256"/>
      <c r="K942" s="256"/>
      <c r="L942" s="232"/>
      <c r="M942" s="250"/>
      <c r="N942" s="232"/>
      <c r="O942" s="279">
        <v>5.1225570000000005E-2</v>
      </c>
    </row>
    <row r="943" spans="3:15" s="274" customFormat="1" outlineLevel="2">
      <c r="C943" s="274" t="s">
        <v>182</v>
      </c>
      <c r="D943" s="249" t="s">
        <v>25</v>
      </c>
      <c r="E943" s="232"/>
      <c r="F943" s="250"/>
      <c r="G943" s="232"/>
      <c r="H943" s="256" t="s">
        <v>882</v>
      </c>
      <c r="I943" s="256"/>
      <c r="J943" s="256"/>
      <c r="K943" s="256"/>
      <c r="L943" s="232"/>
      <c r="M943" s="250"/>
      <c r="N943" s="232"/>
      <c r="O943" s="279">
        <v>2.5612785000000002E-2</v>
      </c>
    </row>
    <row r="944" spans="3:15" s="274" customFormat="1" outlineLevel="2">
      <c r="C944" s="274" t="s">
        <v>182</v>
      </c>
      <c r="D944" s="249" t="s">
        <v>25</v>
      </c>
      <c r="E944" s="232"/>
      <c r="F944" s="250"/>
      <c r="G944" s="232"/>
      <c r="H944" s="256" t="s">
        <v>883</v>
      </c>
      <c r="I944" s="256"/>
      <c r="J944" s="256"/>
      <c r="K944" s="256"/>
      <c r="L944" s="232"/>
      <c r="M944" s="250"/>
      <c r="N944" s="232"/>
      <c r="O944" s="279">
        <v>2.5612785000000002E-2</v>
      </c>
    </row>
    <row r="945" spans="2:15" s="274" customFormat="1" outlineLevel="2">
      <c r="C945" s="274" t="s">
        <v>182</v>
      </c>
      <c r="D945" s="249" t="s">
        <v>25</v>
      </c>
      <c r="E945" s="232"/>
      <c r="F945" s="250"/>
      <c r="G945" s="232"/>
      <c r="H945" s="256" t="s">
        <v>884</v>
      </c>
      <c r="I945" s="256"/>
      <c r="J945" s="256"/>
      <c r="K945" s="256"/>
      <c r="L945" s="232"/>
      <c r="M945" s="250"/>
      <c r="N945" s="232"/>
      <c r="O945" s="279">
        <v>7.6838354999999997E-2</v>
      </c>
    </row>
    <row r="946" spans="2:15" s="290" customFormat="1" outlineLevel="2">
      <c r="C946" s="290" t="s">
        <v>182</v>
      </c>
      <c r="D946" s="266" t="s">
        <v>25</v>
      </c>
      <c r="E946" s="291"/>
      <c r="F946" s="292"/>
      <c r="G946" s="291"/>
      <c r="H946" s="256" t="s">
        <v>86</v>
      </c>
      <c r="I946" s="256"/>
      <c r="J946" s="256"/>
      <c r="K946" s="256"/>
      <c r="L946" s="232"/>
      <c r="M946" s="250"/>
      <c r="N946" s="232"/>
      <c r="O946" s="279">
        <v>0.65003598000000007</v>
      </c>
    </row>
    <row r="947" spans="2:15" s="290" customFormat="1" outlineLevel="2">
      <c r="C947" s="290" t="s">
        <v>182</v>
      </c>
      <c r="D947" s="266" t="s">
        <v>25</v>
      </c>
      <c r="E947" s="291"/>
      <c r="F947" s="292"/>
      <c r="G947" s="291"/>
      <c r="H947" s="256" t="s">
        <v>87</v>
      </c>
      <c r="I947" s="256"/>
      <c r="J947" s="256"/>
      <c r="K947" s="256"/>
      <c r="L947" s="232"/>
      <c r="M947" s="250"/>
      <c r="N947" s="232"/>
      <c r="O947" s="279">
        <v>0.54169665000000011</v>
      </c>
    </row>
    <row r="948" spans="2:15" s="274" customFormat="1" outlineLevel="2">
      <c r="C948" s="274" t="s">
        <v>182</v>
      </c>
      <c r="D948" s="249" t="s">
        <v>25</v>
      </c>
      <c r="E948" s="232"/>
      <c r="F948" s="250"/>
      <c r="G948" s="232"/>
      <c r="H948" s="256" t="s">
        <v>178</v>
      </c>
      <c r="I948" s="256"/>
      <c r="J948" s="256"/>
      <c r="K948" s="256"/>
      <c r="L948" s="232"/>
      <c r="M948" s="250"/>
      <c r="N948" s="232"/>
      <c r="O948" s="279">
        <v>0.37918765499999996</v>
      </c>
    </row>
    <row r="949" spans="2:15" s="290" customFormat="1" outlineLevel="2">
      <c r="C949" s="290" t="s">
        <v>182</v>
      </c>
      <c r="D949" s="266" t="s">
        <v>25</v>
      </c>
      <c r="E949" s="291"/>
      <c r="F949" s="292"/>
      <c r="G949" s="291"/>
      <c r="H949" s="256" t="s">
        <v>107</v>
      </c>
      <c r="I949" s="256"/>
      <c r="J949" s="256"/>
      <c r="K949" s="256"/>
      <c r="L949" s="232"/>
      <c r="M949" s="250"/>
      <c r="N949" s="232"/>
      <c r="O949" s="279">
        <v>5.4169665000000006E-2</v>
      </c>
    </row>
    <row r="950" spans="2:15" s="290" customFormat="1" outlineLevel="2">
      <c r="C950" s="290" t="s">
        <v>182</v>
      </c>
      <c r="D950" s="266" t="s">
        <v>25</v>
      </c>
      <c r="E950" s="291"/>
      <c r="F950" s="292"/>
      <c r="G950" s="291"/>
      <c r="H950" s="256" t="s">
        <v>595</v>
      </c>
      <c r="I950" s="256"/>
      <c r="J950" s="256"/>
      <c r="K950" s="256"/>
      <c r="L950" s="232"/>
      <c r="M950" s="250"/>
      <c r="N950" s="232"/>
      <c r="O950" s="279">
        <v>5.4169665000000006E-2</v>
      </c>
    </row>
    <row r="951" spans="2:15" s="290" customFormat="1" outlineLevel="2">
      <c r="C951" s="290" t="s">
        <v>182</v>
      </c>
      <c r="D951" s="266" t="s">
        <v>25</v>
      </c>
      <c r="E951" s="291"/>
      <c r="F951" s="292"/>
      <c r="G951" s="291"/>
      <c r="H951" s="256" t="s">
        <v>88</v>
      </c>
      <c r="I951" s="256"/>
      <c r="J951" s="256"/>
      <c r="K951" s="256"/>
      <c r="L951" s="232"/>
      <c r="M951" s="250"/>
      <c r="N951" s="232"/>
      <c r="O951" s="279">
        <v>0.10833933000000001</v>
      </c>
    </row>
    <row r="952" spans="2:15" s="274" customFormat="1" ht="3" customHeight="1" outlineLevel="1">
      <c r="E952" s="232"/>
      <c r="F952" s="250"/>
      <c r="G952" s="232"/>
      <c r="H952" s="258"/>
      <c r="I952" s="258"/>
      <c r="J952" s="258"/>
      <c r="K952" s="258"/>
      <c r="L952" s="232"/>
      <c r="M952" s="250"/>
      <c r="N952" s="232"/>
      <c r="O952" s="351"/>
    </row>
    <row r="953" spans="2:15" s="234" customFormat="1" outlineLevel="1">
      <c r="B953" s="235" t="s">
        <v>620</v>
      </c>
      <c r="C953" s="235"/>
      <c r="D953" s="235"/>
      <c r="E953" s="232"/>
      <c r="F953" s="250"/>
      <c r="G953" s="232"/>
      <c r="H953" s="236">
        <f>COUNTA(H954:H959)</f>
        <v>6</v>
      </c>
      <c r="I953" s="236"/>
      <c r="J953" s="236"/>
      <c r="K953" s="236"/>
      <c r="L953" s="232"/>
      <c r="M953" s="250"/>
      <c r="N953" s="232"/>
      <c r="O953" s="260">
        <f>SUM(O954:O959)</f>
        <v>1.08</v>
      </c>
    </row>
    <row r="954" spans="2:15" outlineLevel="3">
      <c r="B954" s="242"/>
      <c r="C954" s="242" t="s">
        <v>620</v>
      </c>
      <c r="D954" s="249" t="s">
        <v>25</v>
      </c>
      <c r="E954" s="232"/>
      <c r="F954" s="250"/>
      <c r="G954" s="232"/>
      <c r="H954" s="588" t="s">
        <v>87</v>
      </c>
      <c r="I954" s="588"/>
      <c r="J954" s="588"/>
      <c r="K954" s="588"/>
      <c r="L954" s="232"/>
      <c r="M954" s="250"/>
      <c r="N954" s="232"/>
      <c r="O954" s="563">
        <v>0.34</v>
      </c>
    </row>
    <row r="955" spans="2:15" outlineLevel="3">
      <c r="B955" s="242"/>
      <c r="C955" s="242" t="s">
        <v>620</v>
      </c>
      <c r="D955" s="249" t="s">
        <v>25</v>
      </c>
      <c r="E955" s="232"/>
      <c r="F955" s="250"/>
      <c r="G955" s="232"/>
      <c r="H955" s="286" t="s">
        <v>86</v>
      </c>
      <c r="I955" s="286"/>
      <c r="J955" s="286"/>
      <c r="K955" s="286"/>
      <c r="L955" s="232"/>
      <c r="M955" s="250"/>
      <c r="N955" s="232"/>
      <c r="O955" s="563">
        <v>0.4</v>
      </c>
    </row>
    <row r="956" spans="2:15" outlineLevel="3">
      <c r="B956" s="242"/>
      <c r="C956" s="242" t="s">
        <v>620</v>
      </c>
      <c r="D956" s="249" t="s">
        <v>25</v>
      </c>
      <c r="E956" s="232"/>
      <c r="F956" s="250"/>
      <c r="G956" s="232"/>
      <c r="H956" s="286" t="s">
        <v>178</v>
      </c>
      <c r="I956" s="286"/>
      <c r="J956" s="286"/>
      <c r="K956" s="286"/>
      <c r="L956" s="232"/>
      <c r="M956" s="250"/>
      <c r="N956" s="232"/>
      <c r="O956" s="563">
        <v>0.22</v>
      </c>
    </row>
    <row r="957" spans="2:15" outlineLevel="2">
      <c r="B957" s="242"/>
      <c r="C957" s="242" t="s">
        <v>620</v>
      </c>
      <c r="D957" s="249" t="s">
        <v>25</v>
      </c>
      <c r="E957" s="232"/>
      <c r="F957" s="250"/>
      <c r="G957" s="232"/>
      <c r="H957" s="286" t="s">
        <v>107</v>
      </c>
      <c r="I957" s="286"/>
      <c r="J957" s="286"/>
      <c r="K957" s="286"/>
      <c r="L957" s="232"/>
      <c r="M957" s="250"/>
      <c r="N957" s="232"/>
      <c r="O957" s="563">
        <v>0.03</v>
      </c>
    </row>
    <row r="958" spans="2:15" outlineLevel="2">
      <c r="B958" s="242"/>
      <c r="C958" s="242" t="s">
        <v>620</v>
      </c>
      <c r="D958" s="249" t="s">
        <v>25</v>
      </c>
      <c r="E958" s="232"/>
      <c r="F958" s="250"/>
      <c r="G958" s="232"/>
      <c r="H958" s="286" t="s">
        <v>108</v>
      </c>
      <c r="I958" s="286"/>
      <c r="J958" s="286"/>
      <c r="K958" s="286"/>
      <c r="L958" s="232"/>
      <c r="M958" s="250"/>
      <c r="N958" s="232"/>
      <c r="O958" s="563">
        <v>0.03</v>
      </c>
    </row>
    <row r="959" spans="2:15" outlineLevel="2">
      <c r="B959" s="242"/>
      <c r="C959" s="242" t="s">
        <v>620</v>
      </c>
      <c r="D959" s="249" t="s">
        <v>25</v>
      </c>
      <c r="E959" s="232"/>
      <c r="F959" s="250"/>
      <c r="G959" s="232"/>
      <c r="H959" s="286" t="s">
        <v>88</v>
      </c>
      <c r="I959" s="286"/>
      <c r="J959" s="286"/>
      <c r="K959" s="286"/>
      <c r="L959" s="232"/>
      <c r="M959" s="250"/>
      <c r="N959" s="232"/>
      <c r="O959" s="563">
        <v>0.06</v>
      </c>
    </row>
    <row r="960" spans="2:15" ht="3" customHeight="1" outlineLevel="1">
      <c r="B960" s="560"/>
      <c r="C960" s="559"/>
      <c r="D960" s="559"/>
      <c r="H960" s="562"/>
      <c r="I960" s="562"/>
      <c r="J960" s="562"/>
      <c r="K960" s="562"/>
      <c r="O960" s="563"/>
    </row>
    <row r="961" spans="2:15" s="234" customFormat="1" outlineLevel="1">
      <c r="B961" s="235" t="s">
        <v>570</v>
      </c>
      <c r="C961" s="235"/>
      <c r="D961" s="235"/>
      <c r="E961" s="232"/>
      <c r="F961" s="250"/>
      <c r="G961" s="232"/>
      <c r="H961" s="236">
        <f>COUNTA(H962:H967)</f>
        <v>6</v>
      </c>
      <c r="I961" s="236"/>
      <c r="J961" s="236"/>
      <c r="K961" s="236"/>
      <c r="L961" s="232"/>
      <c r="M961" s="250"/>
      <c r="N961" s="232"/>
      <c r="O961" s="260">
        <f>SUM(O962:O967)</f>
        <v>8.9665408479999993</v>
      </c>
    </row>
    <row r="962" spans="2:15" outlineLevel="2">
      <c r="B962" s="242"/>
      <c r="C962" s="242" t="s">
        <v>885</v>
      </c>
      <c r="D962" s="249" t="s">
        <v>25</v>
      </c>
      <c r="E962" s="232"/>
      <c r="F962" s="250"/>
      <c r="G962" s="232"/>
      <c r="H962" s="568" t="s">
        <v>31</v>
      </c>
      <c r="I962" s="568"/>
      <c r="J962" s="568"/>
      <c r="K962" s="568"/>
      <c r="L962" s="232"/>
      <c r="M962" s="250"/>
      <c r="N962" s="232"/>
      <c r="O962" s="572">
        <v>2.5269604999999999</v>
      </c>
    </row>
    <row r="963" spans="2:15" outlineLevel="2">
      <c r="B963" s="242"/>
      <c r="C963" s="242" t="s">
        <v>885</v>
      </c>
      <c r="D963" s="249" t="s">
        <v>25</v>
      </c>
      <c r="E963" s="232"/>
      <c r="F963" s="250"/>
      <c r="G963" s="232"/>
      <c r="H963" s="568" t="s">
        <v>59</v>
      </c>
      <c r="I963" s="568"/>
      <c r="J963" s="568"/>
      <c r="K963" s="568"/>
      <c r="L963" s="232"/>
      <c r="M963" s="250"/>
      <c r="N963" s="232"/>
      <c r="O963" s="572">
        <v>3.3982964</v>
      </c>
    </row>
    <row r="964" spans="2:15" outlineLevel="2">
      <c r="B964" s="242"/>
      <c r="C964" s="242" t="s">
        <v>885</v>
      </c>
      <c r="D964" s="249" t="s">
        <v>25</v>
      </c>
      <c r="E964" s="232"/>
      <c r="F964" s="250"/>
      <c r="G964" s="232"/>
      <c r="H964" s="568" t="s">
        <v>170</v>
      </c>
      <c r="I964" s="568"/>
      <c r="J964" s="568"/>
      <c r="K964" s="568"/>
      <c r="L964" s="232"/>
      <c r="M964" s="250"/>
      <c r="N964" s="232"/>
      <c r="O964" s="572">
        <v>0.87133590000000005</v>
      </c>
    </row>
    <row r="965" spans="2:15" outlineLevel="2">
      <c r="B965" s="242"/>
      <c r="C965" s="242" t="s">
        <v>885</v>
      </c>
      <c r="D965" s="249" t="s">
        <v>25</v>
      </c>
      <c r="E965" s="232"/>
      <c r="F965" s="250"/>
      <c r="G965" s="232"/>
      <c r="H965" s="568" t="s">
        <v>886</v>
      </c>
      <c r="I965" s="568"/>
      <c r="J965" s="568"/>
      <c r="K965" s="568"/>
      <c r="L965" s="232"/>
      <c r="M965" s="250"/>
      <c r="N965" s="232"/>
      <c r="O965" s="563">
        <v>8.7047200000000005E-2</v>
      </c>
    </row>
    <row r="966" spans="2:15" outlineLevel="2">
      <c r="B966" s="242"/>
      <c r="C966" s="242" t="s">
        <v>887</v>
      </c>
      <c r="D966" s="249" t="s">
        <v>25</v>
      </c>
      <c r="E966" s="232"/>
      <c r="F966" s="250"/>
      <c r="G966" s="232"/>
      <c r="H966" s="568" t="s">
        <v>31</v>
      </c>
      <c r="I966" s="568"/>
      <c r="J966" s="568"/>
      <c r="K966" s="568"/>
      <c r="L966" s="232"/>
      <c r="M966" s="250"/>
      <c r="N966" s="232"/>
      <c r="O966" s="563">
        <v>0.49044647078351994</v>
      </c>
    </row>
    <row r="967" spans="2:15" outlineLevel="2">
      <c r="B967" s="242"/>
      <c r="C967" s="242" t="s">
        <v>888</v>
      </c>
      <c r="D967" s="249" t="s">
        <v>25</v>
      </c>
      <c r="E967" s="232"/>
      <c r="F967" s="250"/>
      <c r="G967" s="232"/>
      <c r="H967" s="568" t="s">
        <v>31</v>
      </c>
      <c r="I967" s="568"/>
      <c r="J967" s="568"/>
      <c r="K967" s="568"/>
      <c r="L967" s="232"/>
      <c r="M967" s="250"/>
      <c r="N967" s="232"/>
      <c r="O967" s="563">
        <v>1.5924543772164801</v>
      </c>
    </row>
    <row r="968" spans="2:15" ht="3" customHeight="1" outlineLevel="1">
      <c r="B968" s="242"/>
      <c r="C968" s="242"/>
      <c r="D968" s="249"/>
      <c r="E968" s="232"/>
      <c r="F968" s="250"/>
      <c r="G968" s="232"/>
      <c r="H968" s="582"/>
      <c r="I968" s="582"/>
      <c r="J968" s="582"/>
      <c r="K968" s="582"/>
      <c r="L968" s="232"/>
      <c r="M968" s="250"/>
      <c r="N968" s="232"/>
      <c r="O968" s="581"/>
    </row>
    <row r="969" spans="2:15" s="234" customFormat="1" outlineLevel="1" collapsed="1">
      <c r="B969" s="267" t="s">
        <v>797</v>
      </c>
      <c r="C969" s="235"/>
      <c r="D969" s="235"/>
      <c r="E969" s="232"/>
      <c r="F969" s="250"/>
      <c r="G969" s="232"/>
      <c r="H969" s="236"/>
      <c r="I969" s="236"/>
      <c r="J969" s="236"/>
      <c r="K969" s="236"/>
      <c r="L969" s="232"/>
      <c r="M969" s="250"/>
      <c r="N969" s="232"/>
      <c r="O969" s="260"/>
    </row>
    <row r="970" spans="2:15" ht="3" customHeight="1" outlineLevel="1">
      <c r="B970" s="242"/>
      <c r="C970" s="242"/>
      <c r="D970" s="249"/>
      <c r="E970" s="232"/>
      <c r="F970" s="250"/>
      <c r="G970" s="232"/>
      <c r="H970" s="569"/>
      <c r="I970" s="569"/>
      <c r="J970" s="569"/>
      <c r="K970" s="569"/>
      <c r="L970" s="232"/>
      <c r="M970" s="250"/>
      <c r="N970" s="232"/>
      <c r="O970" s="570"/>
    </row>
    <row r="971" spans="2:15" s="234" customFormat="1" outlineLevel="1">
      <c r="B971" s="267" t="s">
        <v>629</v>
      </c>
      <c r="C971" s="235"/>
      <c r="D971" s="235"/>
      <c r="E971" s="232"/>
      <c r="F971" s="250"/>
      <c r="G971" s="232"/>
      <c r="H971" s="236"/>
      <c r="I971" s="236"/>
      <c r="J971" s="236"/>
      <c r="K971" s="236"/>
      <c r="L971" s="232"/>
      <c r="M971" s="250"/>
      <c r="N971" s="232"/>
      <c r="O971" s="260"/>
    </row>
    <row r="972" spans="2:15" ht="3" customHeight="1" outlineLevel="1">
      <c r="B972" s="242"/>
      <c r="C972" s="242"/>
      <c r="D972" s="249"/>
      <c r="E972" s="232"/>
      <c r="F972" s="250"/>
      <c r="G972" s="232"/>
      <c r="H972" s="569"/>
      <c r="I972" s="569"/>
      <c r="J972" s="569"/>
      <c r="K972" s="569"/>
      <c r="L972" s="232"/>
      <c r="M972" s="250"/>
      <c r="N972" s="232"/>
      <c r="O972" s="570"/>
    </row>
    <row r="973" spans="2:15" s="234" customFormat="1" outlineLevel="1">
      <c r="B973" s="267" t="s">
        <v>273</v>
      </c>
      <c r="C973" s="235"/>
      <c r="D973" s="235"/>
      <c r="E973" s="232"/>
      <c r="F973" s="250"/>
      <c r="G973" s="232"/>
      <c r="H973" s="236"/>
      <c r="I973" s="236"/>
      <c r="J973" s="236"/>
      <c r="K973" s="236"/>
      <c r="L973" s="232"/>
      <c r="M973" s="250"/>
      <c r="N973" s="232"/>
      <c r="O973" s="260"/>
    </row>
    <row r="974" spans="2:15" ht="3" customHeight="1" outlineLevel="1">
      <c r="B974" s="242"/>
      <c r="C974" s="242"/>
      <c r="D974" s="249"/>
      <c r="E974" s="232"/>
      <c r="F974" s="250"/>
      <c r="G974" s="232"/>
      <c r="H974" s="582"/>
      <c r="I974" s="582"/>
      <c r="J974" s="582"/>
      <c r="K974" s="582"/>
      <c r="L974" s="232"/>
      <c r="M974" s="250"/>
      <c r="N974" s="232"/>
      <c r="O974" s="581"/>
    </row>
    <row r="975" spans="2:15" s="234" customFormat="1" outlineLevel="1">
      <c r="B975" s="235" t="s">
        <v>340</v>
      </c>
      <c r="C975" s="235"/>
      <c r="D975" s="235"/>
      <c r="E975" s="232"/>
      <c r="F975" s="250"/>
      <c r="G975" s="232"/>
      <c r="H975" s="236">
        <f>COUNTA(H976:H976)</f>
        <v>1</v>
      </c>
      <c r="I975" s="236"/>
      <c r="J975" s="236"/>
      <c r="K975" s="236"/>
      <c r="L975" s="232"/>
      <c r="M975" s="250"/>
      <c r="N975" s="232"/>
      <c r="O975" s="260">
        <f>SUM(O976:O976)</f>
        <v>0.43354000000000004</v>
      </c>
    </row>
    <row r="976" spans="2:15" outlineLevel="2">
      <c r="B976" s="242"/>
      <c r="C976" s="242" t="s">
        <v>340</v>
      </c>
      <c r="D976" s="249" t="s">
        <v>25</v>
      </c>
      <c r="E976" s="232"/>
      <c r="F976" s="250"/>
      <c r="G976" s="232"/>
      <c r="H976" s="252" t="s">
        <v>31</v>
      </c>
      <c r="I976" s="252"/>
      <c r="J976" s="252"/>
      <c r="K976" s="252"/>
      <c r="L976" s="232"/>
      <c r="M976" s="250"/>
      <c r="N976" s="232"/>
      <c r="O976" s="328">
        <v>0.43354000000000004</v>
      </c>
    </row>
    <row r="977" spans="2:15" ht="3" customHeight="1" outlineLevel="1">
      <c r="B977" s="560"/>
      <c r="C977" s="559"/>
      <c r="D977" s="559"/>
      <c r="H977" s="562"/>
      <c r="I977" s="562"/>
      <c r="J977" s="562"/>
      <c r="K977" s="562"/>
      <c r="O977" s="563"/>
    </row>
    <row r="978" spans="2:15" s="234" customFormat="1" outlineLevel="1" collapsed="1">
      <c r="B978" s="267" t="s">
        <v>622</v>
      </c>
      <c r="C978" s="235"/>
      <c r="D978" s="235"/>
      <c r="E978" s="232"/>
      <c r="F978" s="250"/>
      <c r="G978" s="232"/>
      <c r="H978" s="236"/>
      <c r="I978" s="236"/>
      <c r="J978" s="236"/>
      <c r="K978" s="236"/>
      <c r="L978" s="232"/>
      <c r="M978" s="250"/>
      <c r="N978" s="232"/>
      <c r="O978" s="260"/>
    </row>
    <row r="979" spans="2:15" ht="3" customHeight="1" outlineLevel="1">
      <c r="B979" s="242"/>
      <c r="C979" s="242"/>
      <c r="D979" s="249"/>
      <c r="E979" s="232"/>
      <c r="F979" s="250"/>
      <c r="G979" s="232"/>
      <c r="H979" s="582"/>
      <c r="I979" s="582"/>
      <c r="J979" s="582"/>
      <c r="K979" s="582"/>
      <c r="L979" s="232"/>
      <c r="M979" s="250"/>
      <c r="N979" s="232"/>
      <c r="O979" s="581"/>
    </row>
    <row r="980" spans="2:15" s="234" customFormat="1" outlineLevel="1">
      <c r="B980" s="235" t="s">
        <v>265</v>
      </c>
      <c r="C980" s="235"/>
      <c r="D980" s="235"/>
      <c r="E980" s="232"/>
      <c r="F980" s="250"/>
      <c r="G980" s="232"/>
      <c r="H980" s="236">
        <f>COUNTA(H981:H982)</f>
        <v>2</v>
      </c>
      <c r="I980" s="236"/>
      <c r="J980" s="236"/>
      <c r="K980" s="236"/>
      <c r="L980" s="232"/>
      <c r="M980" s="250"/>
      <c r="N980" s="232"/>
      <c r="O980" s="260">
        <f>SUM(O981:O982)</f>
        <v>0.2077388</v>
      </c>
    </row>
    <row r="981" spans="2:15" outlineLevel="2">
      <c r="B981" s="242"/>
      <c r="C981" s="242" t="s">
        <v>265</v>
      </c>
      <c r="D981" s="249" t="s">
        <v>25</v>
      </c>
      <c r="E981" s="232"/>
      <c r="F981" s="250"/>
      <c r="G981" s="232"/>
      <c r="H981" s="252" t="s">
        <v>31</v>
      </c>
      <c r="I981" s="252"/>
      <c r="J981" s="252"/>
      <c r="K981" s="252"/>
      <c r="L981" s="232"/>
      <c r="M981" s="250"/>
      <c r="N981" s="232"/>
      <c r="O981" s="328">
        <v>0.1038694</v>
      </c>
    </row>
    <row r="982" spans="2:15" outlineLevel="2">
      <c r="B982" s="242"/>
      <c r="C982" s="242" t="s">
        <v>265</v>
      </c>
      <c r="D982" s="249" t="s">
        <v>25</v>
      </c>
      <c r="E982" s="232"/>
      <c r="F982" s="250"/>
      <c r="G982" s="232"/>
      <c r="H982" s="568" t="s">
        <v>170</v>
      </c>
      <c r="I982" s="568"/>
      <c r="J982" s="568"/>
      <c r="K982" s="568"/>
      <c r="L982" s="232"/>
      <c r="M982" s="250"/>
      <c r="N982" s="232"/>
      <c r="O982" s="572">
        <v>0.1038694</v>
      </c>
    </row>
    <row r="983" spans="2:15" ht="3" customHeight="1" outlineLevel="1">
      <c r="B983" s="242"/>
      <c r="C983" s="242"/>
      <c r="D983" s="249"/>
      <c r="E983" s="232"/>
      <c r="F983" s="250"/>
      <c r="G983" s="232"/>
      <c r="H983" s="569"/>
      <c r="I983" s="569"/>
      <c r="J983" s="569"/>
      <c r="K983" s="569"/>
      <c r="L983" s="232"/>
      <c r="M983" s="250"/>
      <c r="N983" s="232"/>
      <c r="O983" s="570"/>
    </row>
    <row r="984" spans="2:15" s="234" customFormat="1" outlineLevel="1">
      <c r="B984" s="267" t="s">
        <v>889</v>
      </c>
      <c r="C984" s="235"/>
      <c r="D984" s="235"/>
      <c r="E984" s="232"/>
      <c r="F984" s="250"/>
      <c r="G984" s="232"/>
      <c r="H984" s="236">
        <f>COUNTA(H985:H985)</f>
        <v>1</v>
      </c>
      <c r="I984" s="236"/>
      <c r="J984" s="236"/>
      <c r="K984" s="236"/>
      <c r="L984" s="232"/>
      <c r="M984" s="250"/>
      <c r="N984" s="232"/>
      <c r="O984" s="260">
        <f>SUM(O985:O985)</f>
        <v>0.64365320000000015</v>
      </c>
    </row>
    <row r="985" spans="2:15" outlineLevel="3">
      <c r="B985" s="242"/>
      <c r="C985" s="242" t="s">
        <v>575</v>
      </c>
      <c r="D985" s="249" t="s">
        <v>25</v>
      </c>
      <c r="E985" s="232"/>
      <c r="F985" s="250"/>
      <c r="G985" s="232"/>
      <c r="H985" s="252" t="s">
        <v>31</v>
      </c>
      <c r="I985" s="252"/>
      <c r="J985" s="252"/>
      <c r="K985" s="252"/>
      <c r="L985" s="232"/>
      <c r="M985" s="250"/>
      <c r="N985" s="232"/>
      <c r="O985" s="328">
        <v>0.64365320000000015</v>
      </c>
    </row>
    <row r="986" spans="2:15" ht="3" customHeight="1" outlineLevel="1">
      <c r="B986" s="242"/>
      <c r="C986" s="242"/>
      <c r="D986" s="249"/>
      <c r="E986" s="232"/>
      <c r="F986" s="250"/>
      <c r="G986" s="232"/>
      <c r="H986" s="568"/>
      <c r="I986" s="568"/>
      <c r="J986" s="568"/>
      <c r="K986" s="568"/>
      <c r="L986" s="232"/>
      <c r="M986" s="250"/>
      <c r="N986" s="232"/>
      <c r="O986" s="572"/>
    </row>
    <row r="987" spans="2:15" s="234" customFormat="1" outlineLevel="1">
      <c r="B987" s="235" t="s">
        <v>807</v>
      </c>
      <c r="C987" s="235"/>
      <c r="D987" s="235"/>
      <c r="E987" s="232"/>
      <c r="F987" s="250"/>
      <c r="G987" s="232"/>
      <c r="H987" s="236">
        <f>COUNTA(H988:H993)</f>
        <v>6</v>
      </c>
      <c r="I987" s="236"/>
      <c r="J987" s="236"/>
      <c r="K987" s="236"/>
      <c r="L987" s="232"/>
      <c r="M987" s="250"/>
      <c r="N987" s="232"/>
      <c r="O987" s="260">
        <f>SUM(O988:O993)</f>
        <v>0.31</v>
      </c>
    </row>
    <row r="988" spans="2:15" outlineLevel="2">
      <c r="B988" s="238"/>
      <c r="C988" s="565" t="s">
        <v>577</v>
      </c>
      <c r="D988" s="249" t="s">
        <v>25</v>
      </c>
      <c r="E988" s="232"/>
      <c r="F988" s="250"/>
      <c r="G988" s="232"/>
      <c r="H988" s="566" t="s">
        <v>170</v>
      </c>
      <c r="I988" s="566"/>
      <c r="J988" s="566"/>
      <c r="K988" s="566"/>
      <c r="L988" s="232"/>
      <c r="M988" s="250"/>
      <c r="N988" s="232"/>
      <c r="O988" s="343">
        <v>0.08</v>
      </c>
    </row>
    <row r="989" spans="2:15" outlineLevel="2">
      <c r="B989" s="238"/>
      <c r="C989" s="565" t="s">
        <v>577</v>
      </c>
      <c r="D989" s="249" t="s">
        <v>25</v>
      </c>
      <c r="E989" s="232"/>
      <c r="F989" s="250"/>
      <c r="G989" s="232"/>
      <c r="H989" s="566" t="s">
        <v>171</v>
      </c>
      <c r="I989" s="566"/>
      <c r="J989" s="566"/>
      <c r="K989" s="566"/>
      <c r="L989" s="232"/>
      <c r="M989" s="250"/>
      <c r="N989" s="232"/>
      <c r="O989" s="343">
        <v>0.11</v>
      </c>
    </row>
    <row r="990" spans="2:15" outlineLevel="2">
      <c r="B990" s="238"/>
      <c r="C990" s="565" t="s">
        <v>577</v>
      </c>
      <c r="D990" s="249" t="s">
        <v>25</v>
      </c>
      <c r="E990" s="232"/>
      <c r="F990" s="250"/>
      <c r="G990" s="232"/>
      <c r="H990" s="566" t="s">
        <v>579</v>
      </c>
      <c r="I990" s="566"/>
      <c r="J990" s="566"/>
      <c r="K990" s="566"/>
      <c r="L990" s="232"/>
      <c r="M990" s="250"/>
      <c r="N990" s="232"/>
      <c r="O990" s="343">
        <v>0.03</v>
      </c>
    </row>
    <row r="991" spans="2:15" outlineLevel="2">
      <c r="B991" s="238"/>
      <c r="C991" s="565" t="s">
        <v>577</v>
      </c>
      <c r="D991" s="249" t="s">
        <v>25</v>
      </c>
      <c r="E991" s="232"/>
      <c r="F991" s="250"/>
      <c r="G991" s="232"/>
      <c r="H991" s="566" t="s">
        <v>87</v>
      </c>
      <c r="I991" s="566"/>
      <c r="J991" s="566"/>
      <c r="K991" s="566"/>
      <c r="L991" s="232"/>
      <c r="M991" s="250"/>
      <c r="N991" s="232"/>
      <c r="O991" s="343">
        <v>0.03</v>
      </c>
    </row>
    <row r="992" spans="2:15" outlineLevel="2">
      <c r="B992" s="238"/>
      <c r="C992" s="565" t="s">
        <v>577</v>
      </c>
      <c r="D992" s="249" t="s">
        <v>25</v>
      </c>
      <c r="E992" s="232"/>
      <c r="F992" s="250"/>
      <c r="G992" s="232"/>
      <c r="H992" s="566" t="s">
        <v>108</v>
      </c>
      <c r="I992" s="566"/>
      <c r="J992" s="566"/>
      <c r="K992" s="566"/>
      <c r="L992" s="232"/>
      <c r="M992" s="250"/>
      <c r="N992" s="232"/>
      <c r="O992" s="343">
        <v>0.02</v>
      </c>
    </row>
    <row r="993" spans="2:15" outlineLevel="2">
      <c r="B993" s="238"/>
      <c r="C993" s="565" t="s">
        <v>581</v>
      </c>
      <c r="D993" s="249" t="s">
        <v>25</v>
      </c>
      <c r="E993" s="232"/>
      <c r="F993" s="250"/>
      <c r="G993" s="232"/>
      <c r="H993" s="566" t="s">
        <v>31</v>
      </c>
      <c r="I993" s="566"/>
      <c r="J993" s="566"/>
      <c r="K993" s="566"/>
      <c r="L993" s="232"/>
      <c r="M993" s="250"/>
      <c r="N993" s="232"/>
      <c r="O993" s="343">
        <v>0.04</v>
      </c>
    </row>
    <row r="994" spans="2:15" ht="3" customHeight="1" outlineLevel="1">
      <c r="B994" s="242"/>
      <c r="C994" s="242"/>
      <c r="D994" s="249"/>
      <c r="E994" s="232"/>
      <c r="F994" s="250"/>
      <c r="G994" s="232"/>
      <c r="H994" s="569" t="s">
        <v>890</v>
      </c>
      <c r="I994" s="569"/>
      <c r="J994" s="569"/>
      <c r="K994" s="569"/>
      <c r="L994" s="232"/>
      <c r="M994" s="250"/>
      <c r="N994" s="232"/>
      <c r="O994" s="570"/>
    </row>
    <row r="995" spans="2:15" s="234" customFormat="1" outlineLevel="1">
      <c r="B995" s="235" t="s">
        <v>364</v>
      </c>
      <c r="C995" s="235"/>
      <c r="D995" s="235"/>
      <c r="E995" s="232"/>
      <c r="F995" s="250"/>
      <c r="G995" s="232"/>
      <c r="H995" s="236">
        <f>COUNTA(H996:H996)</f>
        <v>1</v>
      </c>
      <c r="I995" s="236"/>
      <c r="J995" s="236"/>
      <c r="K995" s="236"/>
      <c r="L995" s="232"/>
      <c r="M995" s="250"/>
      <c r="N995" s="232"/>
      <c r="O995" s="363">
        <f>SUM(O996:O996)</f>
        <v>0.26984501099999997</v>
      </c>
    </row>
    <row r="996" spans="2:15" outlineLevel="2">
      <c r="B996" s="229"/>
      <c r="C996" s="230" t="s">
        <v>364</v>
      </c>
      <c r="D996" s="249" t="s">
        <v>25</v>
      </c>
      <c r="E996" s="232"/>
      <c r="F996" s="250"/>
      <c r="G996" s="232"/>
      <c r="H996" s="278" t="s">
        <v>31</v>
      </c>
      <c r="I996" s="278"/>
      <c r="J996" s="278"/>
      <c r="K996" s="278"/>
      <c r="L996" s="232"/>
      <c r="M996" s="250"/>
      <c r="N996" s="232"/>
      <c r="O996" s="279">
        <v>0.26984501099999997</v>
      </c>
    </row>
    <row r="997" spans="2:15" ht="3" customHeight="1" outlineLevel="1">
      <c r="B997" s="242"/>
      <c r="C997" s="242"/>
      <c r="D997" s="249"/>
      <c r="E997" s="232"/>
      <c r="F997" s="250"/>
      <c r="G997" s="232"/>
      <c r="H997" s="569"/>
      <c r="I997" s="569"/>
      <c r="J997" s="569"/>
      <c r="K997" s="569"/>
      <c r="L997" s="232"/>
      <c r="M997" s="250"/>
      <c r="N997" s="232"/>
      <c r="O997" s="570"/>
    </row>
    <row r="998" spans="2:15" s="234" customFormat="1" outlineLevel="1">
      <c r="B998" s="235" t="s">
        <v>627</v>
      </c>
      <c r="C998" s="235"/>
      <c r="D998" s="235"/>
      <c r="E998" s="232"/>
      <c r="F998" s="250"/>
      <c r="G998" s="232"/>
      <c r="H998" s="236">
        <f>COUNTA(H999:H1000)</f>
        <v>2</v>
      </c>
      <c r="I998" s="236"/>
      <c r="J998" s="236"/>
      <c r="K998" s="236"/>
      <c r="L998" s="232"/>
      <c r="M998" s="250"/>
      <c r="N998" s="232"/>
      <c r="O998" s="363">
        <f>SUM(O999:O1000)</f>
        <v>2.9577740161851116</v>
      </c>
    </row>
    <row r="999" spans="2:15" outlineLevel="2">
      <c r="B999" s="229"/>
      <c r="C999" s="230" t="s">
        <v>627</v>
      </c>
      <c r="D999" s="249" t="s">
        <v>25</v>
      </c>
      <c r="E999" s="232"/>
      <c r="F999" s="250"/>
      <c r="G999" s="232"/>
      <c r="H999" s="278" t="s">
        <v>31</v>
      </c>
      <c r="I999" s="278"/>
      <c r="J999" s="278"/>
      <c r="K999" s="278"/>
      <c r="L999" s="232"/>
      <c r="M999" s="250"/>
      <c r="N999" s="232"/>
      <c r="O999" s="279">
        <v>2.0524548242266238</v>
      </c>
    </row>
    <row r="1000" spans="2:15" outlineLevel="2">
      <c r="B1000" s="229"/>
      <c r="C1000" s="230" t="s">
        <v>627</v>
      </c>
      <c r="D1000" s="249" t="s">
        <v>25</v>
      </c>
      <c r="E1000" s="232"/>
      <c r="F1000" s="250"/>
      <c r="G1000" s="232"/>
      <c r="H1000" s="278" t="s">
        <v>33</v>
      </c>
      <c r="I1000" s="278"/>
      <c r="J1000" s="278"/>
      <c r="K1000" s="278"/>
      <c r="L1000" s="232"/>
      <c r="M1000" s="250"/>
      <c r="N1000" s="232"/>
      <c r="O1000" s="279">
        <v>0.90531919195848798</v>
      </c>
    </row>
    <row r="1001" spans="2:15" ht="3" customHeight="1" outlineLevel="1">
      <c r="B1001" s="242"/>
      <c r="C1001" s="242"/>
      <c r="D1001" s="249"/>
      <c r="E1001" s="232"/>
      <c r="F1001" s="250"/>
      <c r="G1001" s="232"/>
      <c r="H1001" s="569"/>
      <c r="I1001" s="569"/>
      <c r="J1001" s="569"/>
      <c r="K1001" s="569"/>
      <c r="L1001" s="232"/>
      <c r="M1001" s="250"/>
      <c r="N1001" s="232"/>
      <c r="O1001" s="570"/>
    </row>
    <row r="1002" spans="2:15" s="234" customFormat="1" outlineLevel="1">
      <c r="B1002" s="235" t="s">
        <v>701</v>
      </c>
      <c r="C1002" s="235"/>
      <c r="D1002" s="235"/>
      <c r="E1002" s="232"/>
      <c r="F1002" s="250"/>
      <c r="G1002" s="232"/>
      <c r="H1002" s="236"/>
      <c r="I1002" s="236"/>
      <c r="J1002" s="236"/>
      <c r="K1002" s="236"/>
      <c r="L1002" s="232"/>
      <c r="M1002" s="250"/>
      <c r="N1002" s="232"/>
      <c r="O1002" s="260"/>
    </row>
    <row r="1003" spans="2:15" ht="3" customHeight="1" outlineLevel="1">
      <c r="B1003" s="242"/>
      <c r="C1003" s="242"/>
      <c r="D1003" s="249"/>
      <c r="E1003" s="239"/>
      <c r="F1003" s="192"/>
      <c r="G1003" s="239"/>
      <c r="H1003" s="569"/>
      <c r="I1003" s="569"/>
      <c r="J1003" s="569"/>
      <c r="K1003" s="569"/>
      <c r="L1003" s="239"/>
      <c r="M1003" s="192"/>
      <c r="N1003" s="239"/>
      <c r="O1003" s="570"/>
    </row>
    <row r="1004" spans="2:15" s="234" customFormat="1" outlineLevel="1">
      <c r="B1004" s="235" t="s">
        <v>582</v>
      </c>
      <c r="C1004" s="235"/>
      <c r="D1004" s="235"/>
      <c r="E1004" s="232"/>
      <c r="F1004" s="250"/>
      <c r="G1004" s="232"/>
      <c r="H1004" s="236">
        <f>COUNTA(H1005:H1006)</f>
        <v>2</v>
      </c>
      <c r="I1004" s="236"/>
      <c r="J1004" s="236"/>
      <c r="K1004" s="236"/>
      <c r="L1004" s="232"/>
      <c r="M1004" s="250"/>
      <c r="N1004" s="232"/>
      <c r="O1004" s="260">
        <f>SUM(O1005:O1006)</f>
        <v>5.7599999999999998E-2</v>
      </c>
    </row>
    <row r="1005" spans="2:15" outlineLevel="3">
      <c r="B1005" s="238"/>
      <c r="C1005" s="565" t="s">
        <v>245</v>
      </c>
      <c r="D1005" s="249" t="s">
        <v>25</v>
      </c>
      <c r="E1005" s="232"/>
      <c r="F1005" s="250"/>
      <c r="G1005" s="232"/>
      <c r="H1005" s="577" t="s">
        <v>31</v>
      </c>
      <c r="I1005" s="577"/>
      <c r="J1005" s="577"/>
      <c r="K1005" s="577"/>
      <c r="L1005" s="232"/>
      <c r="M1005" s="250"/>
      <c r="N1005" s="232"/>
      <c r="O1005" s="563">
        <v>2.4E-2</v>
      </c>
    </row>
    <row r="1006" spans="2:15" outlineLevel="3">
      <c r="B1006" s="238"/>
      <c r="C1006" s="565" t="s">
        <v>245</v>
      </c>
      <c r="D1006" s="249" t="s">
        <v>25</v>
      </c>
      <c r="E1006" s="232"/>
      <c r="F1006" s="250"/>
      <c r="G1006" s="232"/>
      <c r="H1006" s="576" t="s">
        <v>632</v>
      </c>
      <c r="I1006" s="576"/>
      <c r="J1006" s="576"/>
      <c r="K1006" s="576"/>
      <c r="L1006" s="232"/>
      <c r="M1006" s="250"/>
      <c r="N1006" s="232"/>
      <c r="O1006" s="563">
        <v>3.3599999999999998E-2</v>
      </c>
    </row>
    <row r="1007" spans="2:15" ht="3" customHeight="1" outlineLevel="1">
      <c r="B1007" s="605"/>
      <c r="C1007" s="605"/>
      <c r="D1007" s="606"/>
      <c r="E1007" s="232"/>
      <c r="F1007" s="250"/>
      <c r="G1007" s="232"/>
      <c r="H1007" s="259"/>
      <c r="I1007" s="259"/>
      <c r="J1007" s="259"/>
      <c r="K1007" s="259"/>
      <c r="L1007" s="232"/>
      <c r="M1007" s="250"/>
      <c r="N1007" s="232"/>
      <c r="O1007" s="342"/>
    </row>
    <row r="1008" spans="2:15" s="234" customFormat="1" outlineLevel="1">
      <c r="B1008" s="235" t="s">
        <v>269</v>
      </c>
      <c r="C1008" s="235"/>
      <c r="D1008" s="235"/>
      <c r="E1008" s="232"/>
      <c r="F1008" s="250"/>
      <c r="G1008" s="232"/>
      <c r="H1008" s="236">
        <f>COUNTA(H1009:H1010)</f>
        <v>2</v>
      </c>
      <c r="I1008" s="236"/>
      <c r="J1008" s="236"/>
      <c r="K1008" s="236"/>
      <c r="L1008" s="232"/>
      <c r="M1008" s="250"/>
      <c r="N1008" s="232"/>
      <c r="O1008" s="260">
        <f>SUM(O1009:O1010)</f>
        <v>0.39928000000000002</v>
      </c>
    </row>
    <row r="1009" spans="2:15" outlineLevel="3">
      <c r="B1009" s="242"/>
      <c r="C1009" s="242" t="s">
        <v>269</v>
      </c>
      <c r="D1009" s="249" t="s">
        <v>25</v>
      </c>
      <c r="E1009" s="232"/>
      <c r="F1009" s="250"/>
      <c r="G1009" s="232"/>
      <c r="H1009" s="256" t="s">
        <v>31</v>
      </c>
      <c r="I1009" s="256"/>
      <c r="J1009" s="256"/>
      <c r="K1009" s="256"/>
      <c r="L1009" s="232"/>
      <c r="M1009" s="250"/>
      <c r="N1009" s="232"/>
      <c r="O1009" s="312">
        <v>0.2</v>
      </c>
    </row>
    <row r="1010" spans="2:15" outlineLevel="2">
      <c r="B1010" s="256"/>
      <c r="C1010" s="242" t="s">
        <v>269</v>
      </c>
      <c r="D1010" s="249" t="s">
        <v>25</v>
      </c>
      <c r="E1010" s="232"/>
      <c r="F1010" s="250"/>
      <c r="G1010" s="232"/>
      <c r="H1010" s="559" t="s">
        <v>326</v>
      </c>
      <c r="I1010" s="559"/>
      <c r="J1010" s="559"/>
      <c r="K1010" s="559"/>
      <c r="L1010" s="232"/>
      <c r="M1010" s="250"/>
      <c r="N1010" s="232"/>
      <c r="O1010" s="563">
        <v>0.19928000000000001</v>
      </c>
    </row>
    <row r="1011" spans="2:15" ht="3" customHeight="1" outlineLevel="1">
      <c r="B1011" s="242"/>
      <c r="C1011" s="242"/>
      <c r="D1011" s="249"/>
      <c r="E1011" s="232"/>
      <c r="F1011" s="250"/>
      <c r="G1011" s="232"/>
      <c r="H1011" s="569"/>
      <c r="I1011" s="569"/>
      <c r="J1011" s="569"/>
      <c r="K1011" s="569"/>
      <c r="L1011" s="232"/>
      <c r="M1011" s="250"/>
      <c r="N1011" s="232"/>
      <c r="O1011" s="570"/>
    </row>
    <row r="1012" spans="2:15" s="234" customFormat="1" outlineLevel="1">
      <c r="B1012" s="235" t="s">
        <v>335</v>
      </c>
      <c r="C1012" s="235"/>
      <c r="D1012" s="235"/>
      <c r="E1012" s="232"/>
      <c r="F1012" s="250"/>
      <c r="G1012" s="232"/>
      <c r="H1012" s="236">
        <f>COUNTA(H1013:H1016)</f>
        <v>3</v>
      </c>
      <c r="I1012" s="236"/>
      <c r="J1012" s="236"/>
      <c r="K1012" s="236"/>
      <c r="L1012" s="232"/>
      <c r="M1012" s="250"/>
      <c r="N1012" s="232"/>
      <c r="O1012" s="363">
        <f>SUM(O1013:P1015)</f>
        <v>0.13427152144591636</v>
      </c>
    </row>
    <row r="1013" spans="2:15" outlineLevel="2">
      <c r="B1013" s="242"/>
      <c r="C1013" s="242" t="s">
        <v>891</v>
      </c>
      <c r="D1013" s="249" t="s">
        <v>25</v>
      </c>
      <c r="E1013" s="232"/>
      <c r="F1013" s="250"/>
      <c r="G1013" s="232"/>
      <c r="H1013" s="256" t="s">
        <v>31</v>
      </c>
      <c r="I1013" s="256"/>
      <c r="J1013" s="256"/>
      <c r="K1013" s="256"/>
      <c r="L1013" s="232"/>
      <c r="M1013" s="250"/>
      <c r="N1013" s="232"/>
      <c r="O1013" s="585">
        <v>5.6932255546948363E-2</v>
      </c>
    </row>
    <row r="1014" spans="2:15" outlineLevel="2">
      <c r="B1014" s="242"/>
      <c r="C1014" s="242" t="s">
        <v>891</v>
      </c>
      <c r="D1014" s="249" t="s">
        <v>25</v>
      </c>
      <c r="E1014" s="232"/>
      <c r="F1014" s="250"/>
      <c r="G1014" s="232"/>
      <c r="H1014" s="256" t="s">
        <v>320</v>
      </c>
      <c r="I1014" s="256"/>
      <c r="J1014" s="256"/>
      <c r="K1014" s="256"/>
      <c r="L1014" s="232"/>
      <c r="M1014" s="250"/>
      <c r="N1014" s="232"/>
      <c r="O1014" s="585">
        <v>2.5779755299655999E-2</v>
      </c>
    </row>
    <row r="1015" spans="2:15" outlineLevel="2">
      <c r="B1015" s="242"/>
      <c r="C1015" s="242" t="s">
        <v>891</v>
      </c>
      <c r="D1015" s="249" t="s">
        <v>25</v>
      </c>
      <c r="E1015" s="232"/>
      <c r="F1015" s="250"/>
      <c r="G1015" s="232"/>
      <c r="H1015" s="559" t="s">
        <v>321</v>
      </c>
      <c r="I1015" s="559"/>
      <c r="J1015" s="559"/>
      <c r="K1015" s="559"/>
      <c r="L1015" s="232"/>
      <c r="M1015" s="250"/>
      <c r="N1015" s="232"/>
      <c r="O1015" s="585">
        <v>5.1559510599311999E-2</v>
      </c>
    </row>
    <row r="1016" spans="2:15" ht="3" customHeight="1" outlineLevel="1">
      <c r="B1016" s="242"/>
      <c r="C1016" s="242"/>
      <c r="D1016" s="249"/>
      <c r="E1016" s="232"/>
      <c r="F1016" s="250"/>
      <c r="G1016" s="232"/>
      <c r="H1016" s="569"/>
      <c r="I1016" s="569"/>
      <c r="J1016" s="569"/>
      <c r="K1016" s="569"/>
      <c r="L1016" s="232"/>
      <c r="M1016" s="250"/>
      <c r="N1016" s="232"/>
      <c r="O1016" s="570"/>
    </row>
    <row r="1017" spans="2:15" s="234" customFormat="1" outlineLevel="1">
      <c r="B1017" s="267" t="s">
        <v>379</v>
      </c>
      <c r="C1017" s="235"/>
      <c r="D1017" s="235"/>
      <c r="E1017" s="232"/>
      <c r="F1017" s="250"/>
      <c r="G1017" s="232"/>
      <c r="H1017" s="236">
        <f>COUNTA(H1018:H1020)</f>
        <v>0</v>
      </c>
      <c r="I1017" s="236"/>
      <c r="J1017" s="236"/>
      <c r="K1017" s="236"/>
      <c r="L1017" s="232"/>
      <c r="M1017" s="250"/>
      <c r="N1017" s="232"/>
      <c r="O1017" s="260">
        <f>SUM(O1018:O1020)</f>
        <v>0</v>
      </c>
    </row>
    <row r="1018" spans="2:15" outlineLevel="2">
      <c r="B1018" s="242"/>
      <c r="C1018" s="242" t="s">
        <v>379</v>
      </c>
      <c r="D1018" s="249" t="s">
        <v>25</v>
      </c>
      <c r="E1018" s="232"/>
      <c r="F1018" s="250"/>
      <c r="G1018" s="232"/>
      <c r="H1018" s="256"/>
      <c r="I1018" s="256"/>
      <c r="J1018" s="256"/>
      <c r="K1018" s="256"/>
      <c r="L1018" s="232"/>
      <c r="M1018" s="250"/>
      <c r="N1018" s="232"/>
      <c r="O1018" s="279"/>
    </row>
    <row r="1019" spans="2:15" outlineLevel="2">
      <c r="B1019" s="256"/>
      <c r="C1019" s="242" t="s">
        <v>379</v>
      </c>
      <c r="D1019" s="249" t="s">
        <v>25</v>
      </c>
      <c r="E1019" s="232"/>
      <c r="F1019" s="250"/>
      <c r="G1019" s="232"/>
      <c r="H1019" s="256"/>
      <c r="I1019" s="256"/>
      <c r="J1019" s="256"/>
      <c r="K1019" s="256"/>
      <c r="L1019" s="232"/>
      <c r="M1019" s="250"/>
      <c r="N1019" s="232"/>
      <c r="O1019" s="585"/>
    </row>
    <row r="1020" spans="2:15" outlineLevel="2">
      <c r="B1020" s="256"/>
      <c r="C1020" s="242" t="s">
        <v>379</v>
      </c>
      <c r="D1020" s="249" t="s">
        <v>25</v>
      </c>
      <c r="E1020" s="232"/>
      <c r="F1020" s="250"/>
      <c r="G1020" s="232"/>
      <c r="H1020" s="559"/>
      <c r="I1020" s="559"/>
      <c r="J1020" s="559"/>
      <c r="K1020" s="559"/>
      <c r="L1020" s="232"/>
      <c r="M1020" s="250"/>
      <c r="N1020" s="232"/>
      <c r="O1020" s="279"/>
    </row>
    <row r="1021" spans="2:15" outlineLevel="1">
      <c r="B1021" s="242"/>
      <c r="C1021" s="242"/>
      <c r="D1021" s="249"/>
      <c r="E1021" s="232"/>
      <c r="F1021" s="250"/>
      <c r="G1021" s="232"/>
      <c r="H1021" s="569"/>
      <c r="I1021" s="569"/>
      <c r="J1021" s="569"/>
      <c r="K1021" s="569"/>
      <c r="L1021" s="232"/>
      <c r="M1021" s="250"/>
      <c r="N1021" s="232"/>
      <c r="O1021" s="570"/>
    </row>
    <row r="1022" spans="2:15" s="234" customFormat="1" outlineLevel="1">
      <c r="B1022" s="235" t="s">
        <v>892</v>
      </c>
      <c r="C1022" s="235"/>
      <c r="D1022" s="235"/>
      <c r="E1022" s="232"/>
      <c r="F1022" s="250"/>
      <c r="G1022" s="232"/>
      <c r="H1022" s="236">
        <f>COUNTA(H1023:H1023)</f>
        <v>1</v>
      </c>
      <c r="I1022" s="236"/>
      <c r="J1022" s="236"/>
      <c r="K1022" s="236"/>
      <c r="L1022" s="232"/>
      <c r="M1022" s="250"/>
      <c r="N1022" s="232"/>
      <c r="O1022" s="260">
        <f>SUM(O1023:O1023)</f>
        <v>0</v>
      </c>
    </row>
    <row r="1023" spans="2:15" outlineLevel="2">
      <c r="B1023" s="242"/>
      <c r="C1023" s="242" t="s">
        <v>892</v>
      </c>
      <c r="D1023" s="249" t="s">
        <v>25</v>
      </c>
      <c r="E1023" s="232"/>
      <c r="F1023" s="250"/>
      <c r="G1023" s="232"/>
      <c r="H1023" s="256" t="s">
        <v>31</v>
      </c>
      <c r="I1023" s="256"/>
      <c r="J1023" s="256"/>
      <c r="K1023" s="256"/>
      <c r="L1023" s="232"/>
      <c r="M1023" s="250"/>
      <c r="N1023" s="232"/>
      <c r="O1023" s="572"/>
    </row>
    <row r="1024" spans="2:15" s="234" customFormat="1" outlineLevel="1">
      <c r="B1024" s="235" t="s">
        <v>731</v>
      </c>
      <c r="C1024" s="235"/>
      <c r="D1024" s="235"/>
      <c r="E1024" s="232"/>
      <c r="F1024" s="250"/>
      <c r="G1024" s="232"/>
      <c r="H1024" s="236">
        <f>COUNTA(H1025:H1025)</f>
        <v>1</v>
      </c>
      <c r="I1024" s="236"/>
      <c r="J1024" s="236"/>
      <c r="K1024" s="236"/>
      <c r="L1024" s="232"/>
      <c r="M1024" s="250"/>
      <c r="N1024" s="232"/>
      <c r="O1024" s="260">
        <f>SUM(O1025:O1025)</f>
        <v>0</v>
      </c>
    </row>
    <row r="1025" spans="2:15" outlineLevel="2">
      <c r="B1025" s="242"/>
      <c r="C1025" s="242" t="s">
        <v>731</v>
      </c>
      <c r="D1025" s="249" t="s">
        <v>25</v>
      </c>
      <c r="E1025" s="232"/>
      <c r="F1025" s="250"/>
      <c r="G1025" s="232"/>
      <c r="H1025" s="256" t="s">
        <v>31</v>
      </c>
      <c r="I1025" s="256"/>
      <c r="J1025" s="256"/>
      <c r="K1025" s="256"/>
      <c r="L1025" s="232"/>
      <c r="M1025" s="250"/>
      <c r="N1025" s="232"/>
      <c r="O1025" s="572"/>
    </row>
    <row r="1026" spans="2:15" s="318" customFormat="1" outlineLevel="1">
      <c r="B1026" s="242"/>
      <c r="C1026" s="242"/>
      <c r="D1026" s="249"/>
      <c r="E1026" s="232"/>
      <c r="F1026" s="250"/>
      <c r="G1026" s="232"/>
      <c r="H1026" s="569"/>
      <c r="I1026" s="569"/>
      <c r="J1026" s="569"/>
      <c r="K1026" s="569"/>
      <c r="L1026" s="232"/>
      <c r="M1026" s="250"/>
      <c r="N1026" s="232"/>
      <c r="O1026" s="570"/>
    </row>
    <row r="1027" spans="2:15" s="234" customFormat="1" outlineLevel="1">
      <c r="B1027" s="235" t="s">
        <v>243</v>
      </c>
      <c r="C1027" s="235"/>
      <c r="D1027" s="235"/>
      <c r="E1027" s="232"/>
      <c r="F1027" s="250"/>
      <c r="G1027" s="232"/>
      <c r="H1027" s="236">
        <f>COUNTA(H1028:H1029)</f>
        <v>2</v>
      </c>
      <c r="I1027" s="236"/>
      <c r="J1027" s="236"/>
      <c r="K1027" s="236"/>
      <c r="L1027" s="232"/>
      <c r="M1027" s="250"/>
      <c r="N1027" s="232"/>
      <c r="O1027" s="260">
        <f>SUM(O1028:O1029)</f>
        <v>0</v>
      </c>
    </row>
    <row r="1028" spans="2:15" outlineLevel="2">
      <c r="B1028" s="242"/>
      <c r="C1028" s="242" t="s">
        <v>243</v>
      </c>
      <c r="D1028" s="249" t="s">
        <v>25</v>
      </c>
      <c r="E1028" s="232"/>
      <c r="F1028" s="250"/>
      <c r="G1028" s="232"/>
      <c r="H1028" s="256" t="s">
        <v>31</v>
      </c>
      <c r="I1028" s="256"/>
      <c r="J1028" s="256"/>
      <c r="K1028" s="256"/>
      <c r="L1028" s="232"/>
      <c r="M1028" s="250"/>
      <c r="N1028" s="232"/>
      <c r="O1028" s="572"/>
    </row>
    <row r="1029" spans="2:15" outlineLevel="2">
      <c r="B1029" s="242"/>
      <c r="C1029" s="242" t="s">
        <v>243</v>
      </c>
      <c r="D1029" s="249" t="s">
        <v>25</v>
      </c>
      <c r="E1029" s="232"/>
      <c r="F1029" s="250"/>
      <c r="G1029" s="232"/>
      <c r="H1029" s="256" t="s">
        <v>292</v>
      </c>
      <c r="I1029" s="256"/>
      <c r="J1029" s="256"/>
      <c r="K1029" s="256"/>
      <c r="L1029" s="232"/>
      <c r="M1029" s="250"/>
      <c r="N1029" s="232"/>
      <c r="O1029" s="572"/>
    </row>
    <row r="1030" spans="2:15" s="318" customFormat="1" outlineLevel="1">
      <c r="B1030" s="242"/>
      <c r="C1030" s="242"/>
      <c r="D1030" s="249"/>
      <c r="E1030" s="232"/>
      <c r="F1030" s="250"/>
      <c r="G1030" s="232"/>
      <c r="H1030" s="569"/>
      <c r="I1030" s="569"/>
      <c r="J1030" s="569"/>
      <c r="K1030" s="569"/>
      <c r="L1030" s="232"/>
      <c r="M1030" s="250"/>
      <c r="N1030" s="232"/>
      <c r="O1030" s="570"/>
    </row>
    <row r="1031" spans="2:15" s="234" customFormat="1" outlineLevel="1">
      <c r="B1031" s="235" t="s">
        <v>233</v>
      </c>
      <c r="C1031" s="235"/>
      <c r="D1031" s="235"/>
      <c r="E1031" s="232"/>
      <c r="F1031" s="250"/>
      <c r="G1031" s="232"/>
      <c r="H1031" s="236">
        <f>COUNTA(H1032:H1033)</f>
        <v>2</v>
      </c>
      <c r="I1031" s="236"/>
      <c r="J1031" s="236"/>
      <c r="K1031" s="236"/>
      <c r="L1031" s="232"/>
      <c r="M1031" s="250"/>
      <c r="N1031" s="232"/>
      <c r="O1031" s="260">
        <f>SUM(O1032:O1033)</f>
        <v>0</v>
      </c>
    </row>
    <row r="1032" spans="2:15" outlineLevel="2">
      <c r="B1032" s="242"/>
      <c r="C1032" s="242" t="s">
        <v>233</v>
      </c>
      <c r="D1032" s="249" t="s">
        <v>25</v>
      </c>
      <c r="E1032" s="232"/>
      <c r="F1032" s="250"/>
      <c r="G1032" s="232"/>
      <c r="H1032" s="256" t="s">
        <v>31</v>
      </c>
      <c r="I1032" s="256"/>
      <c r="J1032" s="256"/>
      <c r="K1032" s="256"/>
      <c r="L1032" s="232"/>
      <c r="M1032" s="250"/>
      <c r="N1032" s="232"/>
      <c r="O1032" s="572"/>
    </row>
    <row r="1033" spans="2:15" outlineLevel="2">
      <c r="B1033" s="242"/>
      <c r="C1033" s="242" t="s">
        <v>233</v>
      </c>
      <c r="D1033" s="249" t="s">
        <v>25</v>
      </c>
      <c r="E1033" s="232"/>
      <c r="F1033" s="250"/>
      <c r="G1033" s="232"/>
      <c r="H1033" s="256" t="s">
        <v>632</v>
      </c>
      <c r="I1033" s="256"/>
      <c r="J1033" s="256"/>
      <c r="K1033" s="256"/>
      <c r="L1033" s="232"/>
      <c r="M1033" s="250"/>
      <c r="N1033" s="232"/>
      <c r="O1033" s="572"/>
    </row>
    <row r="1034" spans="2:15" ht="3" customHeight="1" outlineLevel="1">
      <c r="B1034" s="242"/>
      <c r="C1034" s="242"/>
      <c r="D1034" s="249"/>
      <c r="E1034" s="232"/>
      <c r="F1034" s="250"/>
      <c r="G1034" s="232"/>
      <c r="H1034" s="569"/>
      <c r="I1034" s="569"/>
      <c r="J1034" s="569"/>
      <c r="K1034" s="569"/>
      <c r="L1034" s="232"/>
      <c r="M1034" s="250"/>
      <c r="N1034" s="232"/>
      <c r="O1034" s="570"/>
    </row>
    <row r="1035" spans="2:15" s="234" customFormat="1" outlineLevel="1">
      <c r="B1035" s="235" t="s">
        <v>893</v>
      </c>
      <c r="C1035" s="235"/>
      <c r="D1035" s="235"/>
      <c r="E1035" s="232"/>
      <c r="F1035" s="250"/>
      <c r="G1035" s="232"/>
      <c r="H1035" s="236">
        <f>COUNTA(H1036:H1038)</f>
        <v>3</v>
      </c>
      <c r="I1035" s="236"/>
      <c r="J1035" s="236"/>
      <c r="K1035" s="236"/>
      <c r="L1035" s="232"/>
      <c r="M1035" s="250"/>
      <c r="N1035" s="232"/>
      <c r="O1035" s="260">
        <v>0.28226400000000001</v>
      </c>
    </row>
    <row r="1036" spans="2:15" outlineLevel="2">
      <c r="B1036" s="242"/>
      <c r="C1036" s="242" t="s">
        <v>893</v>
      </c>
      <c r="D1036" s="249" t="s">
        <v>25</v>
      </c>
      <c r="E1036" s="232"/>
      <c r="F1036" s="250"/>
      <c r="G1036" s="232"/>
      <c r="H1036" s="256" t="s">
        <v>31</v>
      </c>
      <c r="I1036" s="256"/>
      <c r="J1036" s="256"/>
      <c r="K1036" s="256"/>
      <c r="L1036" s="232"/>
      <c r="M1036" s="250"/>
      <c r="N1036" s="232"/>
      <c r="O1036" s="572"/>
    </row>
    <row r="1037" spans="2:15" outlineLevel="2">
      <c r="B1037" s="242"/>
      <c r="C1037" s="242" t="s">
        <v>893</v>
      </c>
      <c r="D1037" s="249" t="s">
        <v>25</v>
      </c>
      <c r="E1037" s="232"/>
      <c r="F1037" s="250"/>
      <c r="G1037" s="232"/>
      <c r="H1037" s="256" t="s">
        <v>632</v>
      </c>
      <c r="I1037" s="256"/>
      <c r="J1037" s="256"/>
      <c r="K1037" s="256"/>
      <c r="L1037" s="232"/>
      <c r="M1037" s="250"/>
      <c r="N1037" s="232"/>
      <c r="O1037" s="572"/>
    </row>
    <row r="1038" spans="2:15" outlineLevel="2">
      <c r="B1038" s="242"/>
      <c r="C1038" s="242" t="s">
        <v>893</v>
      </c>
      <c r="D1038" s="249" t="s">
        <v>25</v>
      </c>
      <c r="E1038" s="232"/>
      <c r="F1038" s="250"/>
      <c r="G1038" s="232"/>
      <c r="H1038" s="256" t="s">
        <v>894</v>
      </c>
      <c r="I1038" s="256"/>
      <c r="J1038" s="256"/>
      <c r="K1038" s="256"/>
      <c r="L1038" s="232"/>
      <c r="M1038" s="250"/>
      <c r="N1038" s="232"/>
      <c r="O1038" s="572"/>
    </row>
    <row r="1039" spans="2:15" ht="3" customHeight="1" outlineLevel="1">
      <c r="B1039" s="242"/>
      <c r="C1039" s="242"/>
      <c r="D1039" s="249"/>
      <c r="E1039" s="232"/>
      <c r="F1039" s="250"/>
      <c r="G1039" s="232"/>
      <c r="H1039" s="569"/>
      <c r="I1039" s="569"/>
      <c r="J1039" s="569"/>
      <c r="K1039" s="569"/>
      <c r="L1039" s="232"/>
      <c r="M1039" s="250"/>
      <c r="N1039" s="232"/>
      <c r="O1039" s="570"/>
    </row>
    <row r="1040" spans="2:15" s="234" customFormat="1" outlineLevel="1">
      <c r="B1040" s="235" t="s">
        <v>895</v>
      </c>
      <c r="C1040" s="235"/>
      <c r="D1040" s="235"/>
      <c r="E1040" s="232"/>
      <c r="F1040" s="250"/>
      <c r="G1040" s="232"/>
      <c r="H1040" s="236">
        <f>COUNTA(H1041:H1042)</f>
        <v>1</v>
      </c>
      <c r="I1040" s="236"/>
      <c r="J1040" s="236"/>
      <c r="K1040" s="236"/>
      <c r="L1040" s="232"/>
      <c r="M1040" s="250"/>
      <c r="N1040" s="232"/>
      <c r="O1040" s="260">
        <f>SUM(O1041:O1042)</f>
        <v>0</v>
      </c>
    </row>
    <row r="1041" spans="2:15" outlineLevel="2">
      <c r="B1041" s="242"/>
      <c r="C1041" s="242" t="s">
        <v>895</v>
      </c>
      <c r="D1041" s="249" t="s">
        <v>25</v>
      </c>
      <c r="E1041" s="232"/>
      <c r="F1041" s="250"/>
      <c r="G1041" s="232"/>
      <c r="H1041" s="256" t="s">
        <v>631</v>
      </c>
      <c r="I1041" s="256"/>
      <c r="J1041" s="256"/>
      <c r="K1041" s="256"/>
      <c r="L1041" s="232"/>
      <c r="M1041" s="250"/>
      <c r="N1041" s="232"/>
      <c r="O1041" s="572"/>
    </row>
    <row r="1042" spans="2:15" outlineLevel="2">
      <c r="B1042" s="242"/>
      <c r="C1042" s="242" t="s">
        <v>895</v>
      </c>
      <c r="D1042" s="249" t="s">
        <v>25</v>
      </c>
      <c r="E1042" s="232"/>
      <c r="F1042" s="250"/>
      <c r="G1042" s="232"/>
      <c r="H1042" s="256"/>
      <c r="I1042" s="256"/>
      <c r="J1042" s="256"/>
      <c r="K1042" s="256"/>
      <c r="L1042" s="232"/>
      <c r="M1042" s="250"/>
      <c r="N1042" s="232"/>
      <c r="O1042" s="572"/>
    </row>
    <row r="1043" spans="2:15" ht="3" customHeight="1" outlineLevel="1">
      <c r="B1043" s="242"/>
      <c r="C1043" s="242"/>
      <c r="D1043" s="249"/>
      <c r="E1043" s="232"/>
      <c r="F1043" s="250"/>
      <c r="G1043" s="232"/>
      <c r="H1043" s="569"/>
      <c r="I1043" s="569"/>
      <c r="J1043" s="569"/>
      <c r="K1043" s="569"/>
      <c r="L1043" s="232"/>
      <c r="M1043" s="250"/>
      <c r="N1043" s="232"/>
      <c r="O1043" s="570"/>
    </row>
    <row r="1044" spans="2:15" s="234" customFormat="1" outlineLevel="1">
      <c r="B1044" s="235" t="s">
        <v>360</v>
      </c>
      <c r="C1044" s="235"/>
      <c r="D1044" s="235"/>
      <c r="E1044" s="232"/>
      <c r="F1044" s="250"/>
      <c r="G1044" s="232"/>
      <c r="H1044" s="236"/>
      <c r="I1044" s="236"/>
      <c r="J1044" s="236"/>
      <c r="K1044" s="236"/>
      <c r="L1044" s="232"/>
      <c r="M1044" s="250"/>
      <c r="N1044" s="232"/>
      <c r="O1044" s="260"/>
    </row>
    <row r="1045" spans="2:15" ht="3" customHeight="1" outlineLevel="1">
      <c r="B1045" s="242"/>
      <c r="C1045" s="242"/>
      <c r="D1045" s="249"/>
      <c r="E1045" s="232"/>
      <c r="F1045" s="250"/>
      <c r="G1045" s="232"/>
      <c r="H1045" s="569"/>
      <c r="I1045" s="569"/>
      <c r="J1045" s="569"/>
      <c r="K1045" s="569"/>
      <c r="L1045" s="232"/>
      <c r="M1045" s="250"/>
      <c r="N1045" s="232"/>
      <c r="O1045" s="570"/>
    </row>
    <row r="1046" spans="2:15" s="234" customFormat="1" outlineLevel="1">
      <c r="B1046" s="235" t="s">
        <v>261</v>
      </c>
      <c r="C1046" s="235"/>
      <c r="D1046" s="235"/>
      <c r="E1046" s="232"/>
      <c r="F1046" s="250"/>
      <c r="G1046" s="232"/>
      <c r="H1046" s="236">
        <f>COUNTA(H1047:H1047)</f>
        <v>1</v>
      </c>
      <c r="I1046" s="236"/>
      <c r="J1046" s="236"/>
      <c r="K1046" s="236"/>
      <c r="L1046" s="232"/>
      <c r="M1046" s="250"/>
      <c r="N1046" s="232"/>
      <c r="O1046" s="260">
        <f>SUM(O1047:O1047)</f>
        <v>0</v>
      </c>
    </row>
    <row r="1047" spans="2:15" outlineLevel="2">
      <c r="B1047" s="242"/>
      <c r="C1047" s="242" t="s">
        <v>261</v>
      </c>
      <c r="D1047" s="249" t="s">
        <v>25</v>
      </c>
      <c r="E1047" s="232"/>
      <c r="F1047" s="250"/>
      <c r="G1047" s="232"/>
      <c r="H1047" s="256" t="s">
        <v>896</v>
      </c>
      <c r="I1047" s="256"/>
      <c r="J1047" s="256"/>
      <c r="K1047" s="256"/>
      <c r="L1047" s="232"/>
      <c r="M1047" s="250"/>
      <c r="N1047" s="232"/>
      <c r="O1047" s="572"/>
    </row>
    <row r="1048" spans="2:15" ht="3" customHeight="1">
      <c r="B1048" s="565"/>
      <c r="C1048" s="565"/>
      <c r="D1048" s="566"/>
      <c r="E1048" s="248"/>
      <c r="F1048" s="192"/>
      <c r="G1048" s="248"/>
      <c r="H1048" s="259"/>
      <c r="I1048" s="259"/>
      <c r="J1048" s="259"/>
      <c r="K1048" s="259"/>
      <c r="L1048" s="248"/>
      <c r="M1048" s="192"/>
      <c r="N1048" s="248"/>
      <c r="O1048" s="342"/>
    </row>
    <row r="1049" spans="2:15" ht="3" customHeight="1">
      <c r="B1049" s="242"/>
      <c r="C1049" s="242"/>
      <c r="D1049" s="242"/>
      <c r="E1049" s="232"/>
      <c r="F1049" s="192"/>
      <c r="G1049" s="232"/>
      <c r="H1049" s="569"/>
      <c r="I1049" s="569"/>
      <c r="J1049" s="569"/>
      <c r="K1049" s="569"/>
      <c r="L1049" s="287"/>
      <c r="M1049" s="288"/>
      <c r="N1049" s="287"/>
      <c r="O1049" s="570"/>
    </row>
    <row r="1050" spans="2:15" s="298" customFormat="1" ht="17.399999999999999">
      <c r="B1050" s="293" t="s">
        <v>897</v>
      </c>
      <c r="C1050" s="294"/>
      <c r="D1050" s="294"/>
      <c r="E1050" s="295"/>
      <c r="F1050" s="197"/>
      <c r="G1050" s="295"/>
      <c r="H1050" s="297" t="s">
        <v>2</v>
      </c>
      <c r="I1050" s="297"/>
      <c r="J1050" s="297"/>
      <c r="K1050" s="297"/>
      <c r="L1050" s="296"/>
      <c r="M1050" s="197"/>
      <c r="N1050" s="296"/>
      <c r="O1050" s="352" t="s">
        <v>5</v>
      </c>
    </row>
    <row r="1051" spans="2:15" s="212" customFormat="1" ht="3" customHeight="1">
      <c r="B1051" s="208"/>
      <c r="C1051" s="209"/>
      <c r="D1051" s="209"/>
      <c r="E1051" s="210"/>
      <c r="F1051" s="192"/>
      <c r="G1051" s="210"/>
      <c r="H1051" s="300"/>
      <c r="I1051" s="300"/>
      <c r="J1051" s="300"/>
      <c r="K1051" s="300"/>
      <c r="L1051" s="299"/>
      <c r="M1051" s="192"/>
      <c r="N1051" s="299"/>
      <c r="O1051" s="353"/>
    </row>
    <row r="1052" spans="2:15" s="194" customFormat="1" ht="17.399999999999999">
      <c r="B1052" s="301"/>
      <c r="E1052" s="196"/>
      <c r="F1052" s="197"/>
      <c r="G1052" s="196"/>
      <c r="H1052" s="303">
        <f>SUM(H1054+H1083)</f>
        <v>13</v>
      </c>
      <c r="I1052" s="303"/>
      <c r="J1052" s="303"/>
      <c r="K1052" s="303"/>
      <c r="L1052" s="302"/>
      <c r="M1052" s="197"/>
      <c r="N1052" s="302"/>
      <c r="O1052" s="354">
        <f>SUM(O1054+O1083)</f>
        <v>1.0380099999999999</v>
      </c>
    </row>
    <row r="1053" spans="2:15" s="194" customFormat="1" ht="3" customHeight="1">
      <c r="B1053" s="198"/>
      <c r="C1053" s="199"/>
      <c r="D1053" s="199"/>
      <c r="E1053" s="200"/>
      <c r="F1053" s="197"/>
      <c r="G1053" s="200"/>
      <c r="H1053" s="201"/>
      <c r="I1053" s="201"/>
      <c r="J1053" s="201"/>
      <c r="K1053" s="201"/>
      <c r="L1053" s="221"/>
      <c r="M1053" s="197"/>
      <c r="N1053" s="221"/>
      <c r="O1053" s="337"/>
    </row>
    <row r="1054" spans="2:15" s="228" customFormat="1" ht="31.2">
      <c r="B1054" s="222" t="s">
        <v>898</v>
      </c>
      <c r="C1054" s="223" t="s">
        <v>899</v>
      </c>
      <c r="D1054" s="224" t="s">
        <v>805</v>
      </c>
      <c r="E1054" s="225"/>
      <c r="F1054" s="226"/>
      <c r="G1054" s="225"/>
      <c r="H1054" s="227">
        <f>SUM(H1056,H1067,H1078)</f>
        <v>3</v>
      </c>
      <c r="I1054" s="227"/>
      <c r="J1054" s="227"/>
      <c r="K1054" s="227"/>
      <c r="L1054" s="225"/>
      <c r="M1054" s="226"/>
      <c r="N1054" s="225"/>
      <c r="O1054" s="340">
        <v>0.94</v>
      </c>
    </row>
    <row r="1055" spans="2:15" outlineLevel="1">
      <c r="B1055" s="229"/>
      <c r="C1055" s="230"/>
      <c r="D1055" s="231"/>
      <c r="E1055" s="232"/>
      <c r="F1055" s="192"/>
      <c r="G1055" s="232"/>
      <c r="H1055" s="233"/>
      <c r="I1055" s="233"/>
      <c r="J1055" s="233"/>
      <c r="K1055" s="233"/>
      <c r="L1055" s="232"/>
      <c r="M1055" s="192"/>
      <c r="N1055" s="232"/>
      <c r="O1055" s="341"/>
    </row>
    <row r="1056" spans="2:15" s="234" customFormat="1" outlineLevel="1">
      <c r="B1056" s="235" t="s">
        <v>900</v>
      </c>
      <c r="C1056" s="235"/>
      <c r="D1056" s="235"/>
      <c r="E1056" s="232"/>
      <c r="F1056" s="192"/>
      <c r="G1056" s="232"/>
      <c r="H1056" s="304">
        <f>SUM(H1058:H1065)</f>
        <v>0</v>
      </c>
      <c r="I1056" s="304"/>
      <c r="J1056" s="304"/>
      <c r="K1056" s="304"/>
      <c r="L1056" s="232"/>
      <c r="M1056" s="192"/>
      <c r="N1056" s="232"/>
      <c r="O1056" s="355">
        <f>SUM(O1058:O1065)</f>
        <v>0</v>
      </c>
    </row>
    <row r="1057" spans="2:15" outlineLevel="2">
      <c r="B1057" s="560"/>
      <c r="C1057" s="559"/>
      <c r="D1057" s="559"/>
      <c r="H1057" s="562"/>
      <c r="I1057" s="562"/>
      <c r="J1057" s="562"/>
      <c r="K1057" s="562"/>
      <c r="O1057" s="563"/>
    </row>
    <row r="1058" spans="2:15" ht="15.6" outlineLevel="2">
      <c r="B1058" s="242" t="s">
        <v>637</v>
      </c>
      <c r="C1058" s="242"/>
      <c r="D1058" s="249" t="s">
        <v>805</v>
      </c>
      <c r="E1058" s="257"/>
      <c r="F1058" s="192"/>
      <c r="G1058" s="257"/>
      <c r="H1058" s="307"/>
      <c r="I1058" s="307"/>
      <c r="J1058" s="307"/>
      <c r="K1058" s="307"/>
      <c r="L1058" s="287"/>
      <c r="M1058" s="288"/>
      <c r="N1058" s="287"/>
      <c r="O1058" s="572"/>
    </row>
    <row r="1059" spans="2:15" ht="15.6" outlineLevel="2">
      <c r="B1059" s="242" t="s">
        <v>901</v>
      </c>
      <c r="C1059" s="242"/>
      <c r="D1059" s="249" t="s">
        <v>805</v>
      </c>
      <c r="E1059" s="257"/>
      <c r="F1059" s="192"/>
      <c r="G1059" s="257"/>
      <c r="H1059" s="307"/>
      <c r="I1059" s="307"/>
      <c r="J1059" s="307"/>
      <c r="K1059" s="307"/>
      <c r="L1059" s="287"/>
      <c r="M1059" s="288"/>
      <c r="N1059" s="287"/>
      <c r="O1059" s="572"/>
    </row>
    <row r="1060" spans="2:15" ht="15.6" outlineLevel="2">
      <c r="B1060" s="242" t="s">
        <v>555</v>
      </c>
      <c r="C1060" s="242"/>
      <c r="D1060" s="249" t="s">
        <v>805</v>
      </c>
      <c r="E1060" s="257"/>
      <c r="F1060" s="192"/>
      <c r="G1060" s="257"/>
      <c r="H1060" s="307"/>
      <c r="I1060" s="307"/>
      <c r="J1060" s="307"/>
      <c r="K1060" s="307"/>
      <c r="L1060" s="287"/>
      <c r="M1060" s="288"/>
      <c r="N1060" s="287"/>
      <c r="O1060" s="572"/>
    </row>
    <row r="1061" spans="2:15" ht="15.6" outlineLevel="2">
      <c r="B1061" s="242" t="s">
        <v>663</v>
      </c>
      <c r="C1061" s="242"/>
      <c r="D1061" s="249" t="s">
        <v>805</v>
      </c>
      <c r="E1061" s="257"/>
      <c r="F1061" s="192"/>
      <c r="G1061" s="257"/>
      <c r="H1061" s="307"/>
      <c r="I1061" s="307"/>
      <c r="J1061" s="307"/>
      <c r="K1061" s="307"/>
      <c r="L1061" s="287"/>
      <c r="M1061" s="288"/>
      <c r="N1061" s="287"/>
      <c r="O1061" s="572"/>
    </row>
    <row r="1062" spans="2:15" ht="15.6" outlineLevel="2">
      <c r="B1062" s="242" t="s">
        <v>902</v>
      </c>
      <c r="C1062" s="242"/>
      <c r="D1062" s="249" t="s">
        <v>805</v>
      </c>
      <c r="E1062" s="257"/>
      <c r="F1062" s="192"/>
      <c r="G1062" s="257"/>
      <c r="H1062" s="307"/>
      <c r="I1062" s="307"/>
      <c r="J1062" s="307"/>
      <c r="K1062" s="307"/>
      <c r="L1062" s="287"/>
      <c r="M1062" s="288"/>
      <c r="N1062" s="287"/>
      <c r="O1062" s="572"/>
    </row>
    <row r="1063" spans="2:15" ht="15.6" outlineLevel="2">
      <c r="B1063" s="242" t="s">
        <v>835</v>
      </c>
      <c r="C1063" s="242"/>
      <c r="D1063" s="249" t="s">
        <v>805</v>
      </c>
      <c r="E1063" s="257"/>
      <c r="F1063" s="192"/>
      <c r="G1063" s="257"/>
      <c r="H1063" s="307"/>
      <c r="I1063" s="307"/>
      <c r="J1063" s="307"/>
      <c r="K1063" s="307"/>
      <c r="L1063" s="287"/>
      <c r="M1063" s="288"/>
      <c r="N1063" s="287"/>
      <c r="O1063" s="572"/>
    </row>
    <row r="1064" spans="2:15" ht="15.6" outlineLevel="2">
      <c r="B1064" s="242" t="s">
        <v>594</v>
      </c>
      <c r="C1064" s="242"/>
      <c r="D1064" s="249" t="s">
        <v>805</v>
      </c>
      <c r="E1064" s="257"/>
      <c r="F1064" s="192"/>
      <c r="G1064" s="257"/>
      <c r="H1064" s="307"/>
      <c r="I1064" s="307"/>
      <c r="J1064" s="307"/>
      <c r="K1064" s="307"/>
      <c r="L1064" s="287"/>
      <c r="M1064" s="288"/>
      <c r="N1064" s="287"/>
      <c r="O1064" s="572"/>
    </row>
    <row r="1065" spans="2:15" ht="15.6" outlineLevel="2">
      <c r="B1065" s="242" t="s">
        <v>903</v>
      </c>
      <c r="C1065" s="242"/>
      <c r="D1065" s="249" t="s">
        <v>805</v>
      </c>
      <c r="E1065" s="257"/>
      <c r="F1065" s="192"/>
      <c r="G1065" s="257"/>
      <c r="H1065" s="308"/>
      <c r="I1065" s="308"/>
      <c r="J1065" s="308"/>
      <c r="K1065" s="308"/>
      <c r="L1065" s="287"/>
      <c r="M1065" s="288"/>
      <c r="N1065" s="287"/>
      <c r="O1065" s="572"/>
    </row>
    <row r="1066" spans="2:15" outlineLevel="1">
      <c r="B1066" s="565"/>
      <c r="C1066" s="565"/>
      <c r="D1066" s="566"/>
      <c r="E1066" s="248"/>
      <c r="F1066" s="192"/>
      <c r="G1066" s="248"/>
      <c r="H1066" s="259"/>
      <c r="I1066" s="259"/>
      <c r="J1066" s="259"/>
      <c r="K1066" s="259"/>
      <c r="L1066" s="248"/>
      <c r="M1066" s="192"/>
      <c r="N1066" s="248"/>
      <c r="O1066" s="342"/>
    </row>
    <row r="1067" spans="2:15" s="234" customFormat="1" outlineLevel="1">
      <c r="B1067" s="235" t="s">
        <v>904</v>
      </c>
      <c r="C1067" s="235"/>
      <c r="D1067" s="235"/>
      <c r="E1067" s="232"/>
      <c r="F1067" s="192"/>
      <c r="G1067" s="232"/>
      <c r="H1067" s="304">
        <f>SUM(H1069:H1076)</f>
        <v>0</v>
      </c>
      <c r="I1067" s="304"/>
      <c r="J1067" s="304"/>
      <c r="K1067" s="304"/>
      <c r="L1067" s="232"/>
      <c r="M1067" s="192"/>
      <c r="N1067" s="232"/>
      <c r="O1067" s="355">
        <f>SUM(O1069:O1076)</f>
        <v>0</v>
      </c>
    </row>
    <row r="1068" spans="2:15" outlineLevel="2">
      <c r="B1068" s="565"/>
      <c r="C1068" s="565"/>
      <c r="D1068" s="566"/>
      <c r="E1068" s="248"/>
      <c r="F1068" s="192"/>
      <c r="G1068" s="248"/>
      <c r="H1068" s="306"/>
      <c r="I1068" s="306"/>
      <c r="J1068" s="306"/>
      <c r="K1068" s="306"/>
      <c r="L1068" s="248"/>
      <c r="M1068" s="192"/>
      <c r="N1068" s="248"/>
      <c r="O1068" s="356"/>
    </row>
    <row r="1069" spans="2:15" ht="15.6" outlineLevel="2">
      <c r="B1069" s="242" t="s">
        <v>637</v>
      </c>
      <c r="C1069" s="242"/>
      <c r="D1069" s="249" t="s">
        <v>805</v>
      </c>
      <c r="E1069" s="257"/>
      <c r="F1069" s="192"/>
      <c r="G1069" s="257"/>
      <c r="H1069" s="307"/>
      <c r="I1069" s="307"/>
      <c r="J1069" s="307"/>
      <c r="K1069" s="307"/>
      <c r="L1069" s="287"/>
      <c r="M1069" s="288"/>
      <c r="N1069" s="287"/>
      <c r="O1069" s="572"/>
    </row>
    <row r="1070" spans="2:15" ht="15.6" outlineLevel="2">
      <c r="B1070" s="242" t="s">
        <v>901</v>
      </c>
      <c r="C1070" s="242"/>
      <c r="D1070" s="249" t="s">
        <v>805</v>
      </c>
      <c r="E1070" s="257"/>
      <c r="F1070" s="192"/>
      <c r="G1070" s="257"/>
      <c r="H1070" s="307"/>
      <c r="I1070" s="307"/>
      <c r="J1070" s="307"/>
      <c r="K1070" s="307"/>
      <c r="L1070" s="287"/>
      <c r="M1070" s="288"/>
      <c r="N1070" s="287"/>
      <c r="O1070" s="572"/>
    </row>
    <row r="1071" spans="2:15" ht="15.6" outlineLevel="2">
      <c r="B1071" s="242" t="s">
        <v>555</v>
      </c>
      <c r="C1071" s="242"/>
      <c r="D1071" s="249" t="s">
        <v>805</v>
      </c>
      <c r="E1071" s="257"/>
      <c r="F1071" s="192"/>
      <c r="G1071" s="257"/>
      <c r="H1071" s="307"/>
      <c r="I1071" s="307"/>
      <c r="J1071" s="307"/>
      <c r="K1071" s="307"/>
      <c r="L1071" s="287"/>
      <c r="M1071" s="288"/>
      <c r="N1071" s="287"/>
      <c r="O1071" s="572"/>
    </row>
    <row r="1072" spans="2:15" ht="15.6" outlineLevel="2">
      <c r="B1072" s="242" t="s">
        <v>663</v>
      </c>
      <c r="C1072" s="242"/>
      <c r="D1072" s="249" t="s">
        <v>805</v>
      </c>
      <c r="E1072" s="257"/>
      <c r="F1072" s="192"/>
      <c r="G1072" s="257"/>
      <c r="H1072" s="307"/>
      <c r="I1072" s="307"/>
      <c r="J1072" s="307"/>
      <c r="K1072" s="307"/>
      <c r="L1072" s="287"/>
      <c r="M1072" s="288"/>
      <c r="N1072" s="287"/>
      <c r="O1072" s="572"/>
    </row>
    <row r="1073" spans="2:15" ht="15.6" outlineLevel="2">
      <c r="B1073" s="242" t="s">
        <v>902</v>
      </c>
      <c r="C1073" s="242"/>
      <c r="D1073" s="249" t="s">
        <v>805</v>
      </c>
      <c r="E1073" s="257"/>
      <c r="F1073" s="192"/>
      <c r="G1073" s="257"/>
      <c r="H1073" s="307"/>
      <c r="I1073" s="307"/>
      <c r="J1073" s="307"/>
      <c r="K1073" s="307"/>
      <c r="L1073" s="287"/>
      <c r="M1073" s="288"/>
      <c r="N1073" s="287"/>
      <c r="O1073" s="572"/>
    </row>
    <row r="1074" spans="2:15" ht="15.6" outlineLevel="2">
      <c r="B1074" s="242" t="s">
        <v>835</v>
      </c>
      <c r="C1074" s="242"/>
      <c r="D1074" s="249" t="s">
        <v>805</v>
      </c>
      <c r="E1074" s="257"/>
      <c r="F1074" s="192"/>
      <c r="G1074" s="257"/>
      <c r="H1074" s="307"/>
      <c r="I1074" s="307"/>
      <c r="J1074" s="307"/>
      <c r="K1074" s="307"/>
      <c r="L1074" s="287"/>
      <c r="M1074" s="288"/>
      <c r="N1074" s="287"/>
      <c r="O1074" s="572"/>
    </row>
    <row r="1075" spans="2:15" ht="15.6" outlineLevel="2">
      <c r="B1075" s="242" t="s">
        <v>594</v>
      </c>
      <c r="C1075" s="242"/>
      <c r="D1075" s="249" t="s">
        <v>805</v>
      </c>
      <c r="E1075" s="257"/>
      <c r="F1075" s="192"/>
      <c r="G1075" s="257"/>
      <c r="H1075" s="307"/>
      <c r="I1075" s="307"/>
      <c r="J1075" s="307"/>
      <c r="K1075" s="307"/>
      <c r="L1075" s="287"/>
      <c r="M1075" s="288"/>
      <c r="N1075" s="287"/>
      <c r="O1075" s="572"/>
    </row>
    <row r="1076" spans="2:15" ht="15.6" outlineLevel="2">
      <c r="B1076" s="242" t="s">
        <v>903</v>
      </c>
      <c r="C1076" s="242"/>
      <c r="D1076" s="249" t="s">
        <v>805</v>
      </c>
      <c r="E1076" s="257"/>
      <c r="F1076" s="192"/>
      <c r="G1076" s="257"/>
      <c r="H1076" s="307"/>
      <c r="I1076" s="307"/>
      <c r="J1076" s="307"/>
      <c r="K1076" s="307"/>
      <c r="L1076" s="287"/>
      <c r="M1076" s="288"/>
      <c r="N1076" s="287"/>
      <c r="O1076" s="572"/>
    </row>
    <row r="1077" spans="2:15" outlineLevel="1">
      <c r="B1077" s="565"/>
      <c r="C1077" s="565"/>
      <c r="D1077" s="566"/>
      <c r="E1077" s="248"/>
      <c r="F1077" s="192"/>
      <c r="G1077" s="248"/>
      <c r="H1077" s="259"/>
      <c r="I1077" s="259"/>
      <c r="J1077" s="259"/>
      <c r="K1077" s="259"/>
      <c r="L1077" s="248"/>
      <c r="M1077" s="192"/>
      <c r="N1077" s="248"/>
      <c r="O1077" s="342"/>
    </row>
    <row r="1078" spans="2:15" s="234" customFormat="1" outlineLevel="1">
      <c r="B1078" s="235" t="s">
        <v>803</v>
      </c>
      <c r="C1078" s="235"/>
      <c r="D1078" s="235"/>
      <c r="E1078" s="232"/>
      <c r="F1078" s="192"/>
      <c r="G1078" s="232"/>
      <c r="H1078" s="236">
        <f>COUNTA(H1079:H1081)</f>
        <v>3</v>
      </c>
      <c r="I1078" s="236"/>
      <c r="J1078" s="236"/>
      <c r="K1078" s="236"/>
      <c r="L1078" s="232"/>
      <c r="M1078" s="192"/>
      <c r="N1078" s="232"/>
      <c r="O1078" s="355">
        <f>SUM(O1079:O1081)</f>
        <v>0.48</v>
      </c>
    </row>
    <row r="1079" spans="2:15" ht="15.6" outlineLevel="2">
      <c r="B1079" s="242" t="s">
        <v>555</v>
      </c>
      <c r="C1079" s="242" t="s">
        <v>804</v>
      </c>
      <c r="D1079" s="249" t="s">
        <v>805</v>
      </c>
      <c r="E1079" s="257"/>
      <c r="F1079" s="192"/>
      <c r="G1079" s="257"/>
      <c r="H1079" s="249" t="s">
        <v>804</v>
      </c>
      <c r="I1079" s="249"/>
      <c r="J1079" s="249"/>
      <c r="K1079" s="249"/>
      <c r="L1079" s="287"/>
      <c r="M1079" s="288"/>
      <c r="N1079" s="287"/>
      <c r="O1079" s="357">
        <v>0.16</v>
      </c>
    </row>
    <row r="1080" spans="2:15" ht="15.6" outlineLevel="2">
      <c r="B1080" s="242" t="s">
        <v>807</v>
      </c>
      <c r="C1080" s="242" t="s">
        <v>808</v>
      </c>
      <c r="D1080" s="249" t="s">
        <v>805</v>
      </c>
      <c r="E1080" s="257"/>
      <c r="F1080" s="192"/>
      <c r="G1080" s="257"/>
      <c r="H1080" s="568" t="s">
        <v>808</v>
      </c>
      <c r="I1080" s="568"/>
      <c r="J1080" s="568"/>
      <c r="K1080" s="568"/>
      <c r="L1080" s="287"/>
      <c r="M1080" s="288"/>
      <c r="N1080" s="287"/>
      <c r="O1080" s="357">
        <v>0.16</v>
      </c>
    </row>
    <row r="1081" spans="2:15" ht="15.6" outlineLevel="2">
      <c r="B1081" s="242" t="s">
        <v>663</v>
      </c>
      <c r="C1081" s="242" t="s">
        <v>806</v>
      </c>
      <c r="D1081" s="249" t="s">
        <v>805</v>
      </c>
      <c r="E1081" s="257"/>
      <c r="F1081" s="192"/>
      <c r="G1081" s="257"/>
      <c r="H1081" s="249" t="s">
        <v>806</v>
      </c>
      <c r="I1081" s="249"/>
      <c r="J1081" s="249"/>
      <c r="K1081" s="249"/>
      <c r="L1081" s="287"/>
      <c r="M1081" s="288"/>
      <c r="N1081" s="287"/>
      <c r="O1081" s="357">
        <v>0.16</v>
      </c>
    </row>
    <row r="1082" spans="2:15" ht="3" customHeight="1">
      <c r="B1082" s="565"/>
      <c r="C1082" s="565"/>
      <c r="D1082" s="566"/>
      <c r="E1082" s="248"/>
      <c r="F1082" s="192"/>
      <c r="G1082" s="248"/>
      <c r="H1082" s="259"/>
      <c r="I1082" s="259"/>
      <c r="J1082" s="259"/>
      <c r="K1082" s="259"/>
      <c r="L1082" s="248"/>
      <c r="M1082" s="192"/>
      <c r="N1082" s="248"/>
      <c r="O1082" s="342"/>
    </row>
    <row r="1083" spans="2:15" s="228" customFormat="1" ht="31.2">
      <c r="B1083" s="222" t="s">
        <v>905</v>
      </c>
      <c r="C1083" s="223" t="s">
        <v>906</v>
      </c>
      <c r="D1083" s="224" t="s">
        <v>805</v>
      </c>
      <c r="E1083" s="225"/>
      <c r="F1083" s="226"/>
      <c r="G1083" s="225"/>
      <c r="H1083" s="227">
        <f>SUM(H1085)</f>
        <v>10</v>
      </c>
      <c r="I1083" s="227"/>
      <c r="J1083" s="227"/>
      <c r="K1083" s="227"/>
      <c r="L1083" s="225"/>
      <c r="M1083" s="226"/>
      <c r="N1083" s="225"/>
      <c r="O1083" s="340">
        <f>SUM(O1085)</f>
        <v>9.8010000000000014E-2</v>
      </c>
    </row>
    <row r="1084" spans="2:15" outlineLevel="1">
      <c r="B1084" s="229"/>
      <c r="C1084" s="230"/>
      <c r="D1084" s="231"/>
      <c r="E1084" s="232"/>
      <c r="F1084" s="192"/>
      <c r="G1084" s="232"/>
      <c r="H1084" s="233"/>
      <c r="I1084" s="233"/>
      <c r="J1084" s="233"/>
      <c r="K1084" s="233"/>
      <c r="L1084" s="232"/>
      <c r="M1084" s="192"/>
      <c r="N1084" s="232"/>
      <c r="O1084" s="341"/>
    </row>
    <row r="1085" spans="2:15" s="234" customFormat="1" outlineLevel="1">
      <c r="B1085" s="235" t="s">
        <v>907</v>
      </c>
      <c r="C1085" s="235"/>
      <c r="D1085" s="235"/>
      <c r="E1085" s="232"/>
      <c r="F1085" s="192"/>
      <c r="G1085" s="232"/>
      <c r="H1085" s="236">
        <f>COUNTA(H1087:H1097)</f>
        <v>10</v>
      </c>
      <c r="I1085" s="236"/>
      <c r="J1085" s="236"/>
      <c r="K1085" s="236"/>
      <c r="L1085" s="232"/>
      <c r="M1085" s="192"/>
      <c r="N1085" s="232"/>
      <c r="O1085" s="355">
        <f>SUM(O1087:O1096)</f>
        <v>9.8010000000000014E-2</v>
      </c>
    </row>
    <row r="1086" spans="2:15" outlineLevel="2">
      <c r="B1086" s="565"/>
      <c r="C1086" s="565"/>
      <c r="D1086" s="566"/>
      <c r="E1086" s="248"/>
      <c r="F1086" s="192"/>
      <c r="G1086" s="248"/>
      <c r="H1086" s="305"/>
      <c r="I1086" s="305"/>
      <c r="J1086" s="305"/>
      <c r="K1086" s="305"/>
      <c r="L1086" s="248"/>
      <c r="M1086" s="192"/>
      <c r="N1086" s="248"/>
      <c r="O1086" s="356"/>
    </row>
    <row r="1087" spans="2:15" outlineLevel="2">
      <c r="B1087" s="242" t="s">
        <v>908</v>
      </c>
      <c r="C1087" s="161"/>
      <c r="D1087" s="249"/>
      <c r="F1087" s="192"/>
      <c r="H1087" s="589" t="s">
        <v>909</v>
      </c>
      <c r="I1087" s="589"/>
      <c r="J1087" s="589"/>
      <c r="K1087" s="589"/>
      <c r="M1087" s="192"/>
      <c r="O1087" s="563">
        <v>7.4700000000000001E-3</v>
      </c>
    </row>
    <row r="1088" spans="2:15" outlineLevel="2">
      <c r="B1088" s="242" t="s">
        <v>908</v>
      </c>
      <c r="C1088" s="160"/>
      <c r="D1088" s="249"/>
      <c r="F1088" s="192"/>
      <c r="H1088" s="589" t="s">
        <v>910</v>
      </c>
      <c r="I1088" s="589"/>
      <c r="J1088" s="589"/>
      <c r="K1088" s="589"/>
      <c r="M1088" s="192"/>
      <c r="O1088" s="563">
        <v>9.7199999999999995E-3</v>
      </c>
    </row>
    <row r="1089" spans="2:15" outlineLevel="2">
      <c r="B1089" s="242" t="s">
        <v>911</v>
      </c>
      <c r="C1089" s="160"/>
      <c r="D1089" s="249"/>
      <c r="F1089" s="192"/>
      <c r="H1089" s="589" t="s">
        <v>912</v>
      </c>
      <c r="I1089" s="589"/>
      <c r="J1089" s="589"/>
      <c r="K1089" s="589"/>
      <c r="M1089" s="192"/>
      <c r="O1089" s="563">
        <v>8.9999999999999993E-3</v>
      </c>
    </row>
    <row r="1090" spans="2:15" outlineLevel="2">
      <c r="B1090" s="242" t="s">
        <v>913</v>
      </c>
      <c r="C1090" s="160"/>
      <c r="D1090" s="249"/>
      <c r="E1090" s="309"/>
      <c r="F1090" s="192"/>
      <c r="G1090" s="309"/>
      <c r="H1090" s="589" t="s">
        <v>914</v>
      </c>
      <c r="I1090" s="589"/>
      <c r="J1090" s="589"/>
      <c r="K1090" s="589"/>
      <c r="M1090" s="192"/>
      <c r="O1090" s="563">
        <v>1.026E-2</v>
      </c>
    </row>
    <row r="1091" spans="2:15" outlineLevel="2">
      <c r="B1091" s="242" t="s">
        <v>915</v>
      </c>
      <c r="C1091" s="160"/>
      <c r="D1091" s="249"/>
      <c r="E1091" s="309"/>
      <c r="F1091" s="192"/>
      <c r="G1091" s="309"/>
      <c r="H1091" s="589" t="s">
        <v>916</v>
      </c>
      <c r="I1091" s="589"/>
      <c r="J1091" s="589"/>
      <c r="K1091" s="589"/>
      <c r="M1091" s="192"/>
      <c r="O1091" s="563">
        <v>1.026E-2</v>
      </c>
    </row>
    <row r="1092" spans="2:15" outlineLevel="2">
      <c r="B1092" s="242" t="s">
        <v>915</v>
      </c>
      <c r="C1092" s="160"/>
      <c r="D1092" s="249"/>
      <c r="E1092" s="309"/>
      <c r="F1092" s="192"/>
      <c r="G1092" s="309"/>
      <c r="H1092" s="589" t="s">
        <v>916</v>
      </c>
      <c r="I1092" s="589"/>
      <c r="J1092" s="589"/>
      <c r="K1092" s="589"/>
      <c r="M1092" s="192"/>
      <c r="O1092" s="563">
        <v>1.026E-2</v>
      </c>
    </row>
    <row r="1093" spans="2:15" outlineLevel="2">
      <c r="B1093" s="242" t="s">
        <v>917</v>
      </c>
      <c r="C1093" s="160"/>
      <c r="D1093" s="249"/>
      <c r="E1093" s="310"/>
      <c r="F1093" s="192"/>
      <c r="G1093" s="309"/>
      <c r="H1093" s="607" t="s">
        <v>918</v>
      </c>
      <c r="I1093" s="607"/>
      <c r="J1093" s="607"/>
      <c r="K1093" s="607"/>
      <c r="M1093" s="192"/>
      <c r="O1093" s="563">
        <v>1.026E-2</v>
      </c>
    </row>
    <row r="1094" spans="2:15" outlineLevel="2">
      <c r="B1094" s="242" t="s">
        <v>917</v>
      </c>
      <c r="C1094" s="160"/>
      <c r="D1094" s="249"/>
      <c r="E1094" s="310"/>
      <c r="F1094" s="192"/>
      <c r="G1094" s="309"/>
      <c r="H1094" s="607" t="s">
        <v>919</v>
      </c>
      <c r="I1094" s="607"/>
      <c r="J1094" s="607"/>
      <c r="K1094" s="607"/>
      <c r="M1094" s="192"/>
      <c r="O1094" s="563">
        <v>1.026E-2</v>
      </c>
    </row>
    <row r="1095" spans="2:15" outlineLevel="2">
      <c r="B1095" s="242" t="s">
        <v>917</v>
      </c>
      <c r="C1095" s="160"/>
      <c r="D1095" s="249"/>
      <c r="E1095" s="310"/>
      <c r="F1095" s="192"/>
      <c r="G1095" s="309"/>
      <c r="H1095" s="607" t="s">
        <v>920</v>
      </c>
      <c r="I1095" s="607"/>
      <c r="J1095" s="607"/>
      <c r="K1095" s="607"/>
      <c r="M1095" s="192"/>
      <c r="O1095" s="563">
        <v>1.026E-2</v>
      </c>
    </row>
    <row r="1096" spans="2:15" outlineLevel="2">
      <c r="B1096" s="242" t="s">
        <v>917</v>
      </c>
      <c r="C1096" s="160"/>
      <c r="D1096" s="249"/>
      <c r="E1096" s="310"/>
      <c r="F1096" s="192"/>
      <c r="G1096" s="309"/>
      <c r="H1096" s="607" t="s">
        <v>921</v>
      </c>
      <c r="I1096" s="607"/>
      <c r="J1096" s="607"/>
      <c r="K1096" s="607"/>
      <c r="M1096" s="192"/>
      <c r="O1096" s="563">
        <v>1.026E-2</v>
      </c>
    </row>
    <row r="1097" spans="2:15">
      <c r="B1097" s="560"/>
      <c r="C1097" s="559"/>
      <c r="D1097" s="559"/>
      <c r="H1097" s="562"/>
      <c r="I1097" s="562"/>
      <c r="J1097" s="562"/>
      <c r="K1097" s="562"/>
      <c r="O1097" s="563"/>
    </row>
  </sheetData>
  <autoFilter ref="A4:T1103" xr:uid="{D1CE0B79-F901-4D2C-AE9C-849EAF7662BB}"/>
  <dataConsolidate/>
  <phoneticPr fontId="7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546875" defaultRowHeight="13.2"/>
  <cols>
    <col min="1" max="4" width="8.5546875" style="369"/>
    <col min="5" max="5" width="10.44140625" style="369" bestFit="1" customWidth="1"/>
    <col min="6" max="6" width="8.5546875" style="369"/>
    <col min="7" max="7" width="12.44140625" style="369" bestFit="1" customWidth="1"/>
    <col min="8" max="16384" width="8.5546875" style="369"/>
  </cols>
  <sheetData>
    <row r="2" spans="2:10">
      <c r="B2" s="370" t="s">
        <v>7</v>
      </c>
      <c r="C2" s="370" t="s">
        <v>8</v>
      </c>
      <c r="D2" s="370" t="s">
        <v>922</v>
      </c>
      <c r="E2" s="370" t="s">
        <v>9</v>
      </c>
      <c r="F2" s="370" t="s">
        <v>923</v>
      </c>
      <c r="G2" s="370" t="s">
        <v>924</v>
      </c>
      <c r="H2" s="370" t="s">
        <v>925</v>
      </c>
      <c r="I2" s="370" t="s">
        <v>926</v>
      </c>
      <c r="J2" s="370" t="s">
        <v>927</v>
      </c>
    </row>
    <row r="3" spans="2:10">
      <c r="B3" s="369" t="s">
        <v>637</v>
      </c>
      <c r="C3" s="369">
        <v>1</v>
      </c>
      <c r="D3" s="369" t="s">
        <v>407</v>
      </c>
      <c r="E3" s="369" t="s">
        <v>17</v>
      </c>
      <c r="F3" s="369" t="s">
        <v>87</v>
      </c>
      <c r="G3" s="369">
        <v>1</v>
      </c>
      <c r="H3" s="371">
        <v>45717</v>
      </c>
      <c r="I3" s="371">
        <v>45809</v>
      </c>
      <c r="J3" s="369" t="s">
        <v>926</v>
      </c>
    </row>
    <row r="4" spans="2:10">
      <c r="B4" s="369" t="s">
        <v>248</v>
      </c>
      <c r="C4" s="369">
        <v>1</v>
      </c>
      <c r="D4" s="369" t="s">
        <v>411</v>
      </c>
      <c r="E4" s="369" t="s">
        <v>17</v>
      </c>
      <c r="F4" s="369" t="s">
        <v>928</v>
      </c>
      <c r="G4" s="369">
        <v>1</v>
      </c>
      <c r="H4" s="371">
        <v>45809</v>
      </c>
      <c r="I4" s="371">
        <v>45809</v>
      </c>
      <c r="J4" s="369" t="s">
        <v>925</v>
      </c>
    </row>
    <row r="5" spans="2:10">
      <c r="B5" s="369" t="s">
        <v>248</v>
      </c>
      <c r="C5" s="369">
        <v>1</v>
      </c>
      <c r="D5" s="369" t="s">
        <v>411</v>
      </c>
      <c r="E5" s="369" t="s">
        <v>17</v>
      </c>
      <c r="F5" s="369" t="s">
        <v>176</v>
      </c>
      <c r="G5" s="369">
        <v>2</v>
      </c>
      <c r="H5" s="371">
        <v>45901</v>
      </c>
      <c r="I5" s="371">
        <v>45992</v>
      </c>
      <c r="J5" s="369" t="s">
        <v>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3.2"/>
  <cols>
    <col min="2" max="3" width="35.5546875" bestFit="1" customWidth="1"/>
    <col min="4" max="4" width="25" bestFit="1" customWidth="1"/>
    <col min="7" max="7" width="26.44140625" bestFit="1" customWidth="1"/>
  </cols>
  <sheetData>
    <row r="2" spans="1:12">
      <c r="B2" t="s">
        <v>929</v>
      </c>
    </row>
    <row r="3" spans="1:12">
      <c r="B3" s="164" t="s">
        <v>930</v>
      </c>
      <c r="C3" s="164" t="s">
        <v>931</v>
      </c>
      <c r="F3" t="s">
        <v>932</v>
      </c>
      <c r="G3" s="165" t="s">
        <v>353</v>
      </c>
      <c r="H3" s="166">
        <v>5.6</v>
      </c>
      <c r="I3" s="166">
        <v>0.2</v>
      </c>
      <c r="J3" s="167" t="s">
        <v>933</v>
      </c>
      <c r="K3" s="168"/>
      <c r="L3" s="169"/>
    </row>
    <row r="4" spans="1:12">
      <c r="A4">
        <v>1</v>
      </c>
      <c r="B4" s="188" t="s">
        <v>934</v>
      </c>
      <c r="C4" s="162" t="s">
        <v>411</v>
      </c>
      <c r="D4" s="169" t="s">
        <v>935</v>
      </c>
      <c r="G4" s="170" t="s">
        <v>936</v>
      </c>
      <c r="H4" s="171">
        <v>11</v>
      </c>
      <c r="I4" s="166">
        <v>1.22</v>
      </c>
      <c r="J4" s="167" t="s">
        <v>937</v>
      </c>
      <c r="K4" s="168">
        <v>841</v>
      </c>
      <c r="L4" s="169" t="s">
        <v>938</v>
      </c>
    </row>
    <row r="5" spans="1:12">
      <c r="B5" s="188" t="s">
        <v>939</v>
      </c>
      <c r="C5" s="163" t="s">
        <v>64</v>
      </c>
      <c r="D5" s="169" t="s">
        <v>940</v>
      </c>
      <c r="G5" s="170" t="s">
        <v>941</v>
      </c>
      <c r="H5" s="166">
        <v>20</v>
      </c>
      <c r="I5" s="171">
        <v>0.49</v>
      </c>
      <c r="J5" s="167" t="s">
        <v>937</v>
      </c>
      <c r="K5" s="168">
        <v>326</v>
      </c>
      <c r="L5" s="169" t="s">
        <v>942</v>
      </c>
    </row>
    <row r="6" spans="1:12">
      <c r="B6" s="188" t="s">
        <v>943</v>
      </c>
      <c r="C6" s="163" t="s">
        <v>407</v>
      </c>
      <c r="D6" s="169" t="s">
        <v>942</v>
      </c>
      <c r="G6" s="170" t="s">
        <v>944</v>
      </c>
      <c r="H6" s="166">
        <v>5.14</v>
      </c>
      <c r="I6" s="171">
        <v>0.81</v>
      </c>
      <c r="J6" s="167" t="s">
        <v>937</v>
      </c>
      <c r="K6" s="168">
        <v>618</v>
      </c>
      <c r="L6" s="169" t="s">
        <v>938</v>
      </c>
    </row>
    <row r="7" spans="1:12">
      <c r="B7" s="188" t="s">
        <v>945</v>
      </c>
      <c r="C7" s="162" t="s">
        <v>28</v>
      </c>
      <c r="D7" s="182" t="s">
        <v>946</v>
      </c>
      <c r="G7" s="170" t="s">
        <v>947</v>
      </c>
      <c r="H7" s="166">
        <v>37</v>
      </c>
      <c r="I7" s="171">
        <v>4.88</v>
      </c>
      <c r="J7" s="167" t="s">
        <v>933</v>
      </c>
      <c r="K7" s="172">
        <v>5083</v>
      </c>
      <c r="L7" s="169" t="s">
        <v>948</v>
      </c>
    </row>
    <row r="8" spans="1:12">
      <c r="B8" s="188" t="s">
        <v>949</v>
      </c>
      <c r="C8" s="162" t="s">
        <v>411</v>
      </c>
      <c r="D8" s="169" t="s">
        <v>935</v>
      </c>
      <c r="E8" s="162" t="s">
        <v>950</v>
      </c>
      <c r="G8" s="165" t="s">
        <v>951</v>
      </c>
      <c r="H8" s="171">
        <v>20</v>
      </c>
      <c r="I8" s="171">
        <v>0.25</v>
      </c>
      <c r="J8" s="167" t="s">
        <v>933</v>
      </c>
      <c r="K8" s="168">
        <v>300</v>
      </c>
      <c r="L8" s="169"/>
    </row>
    <row r="9" spans="1:12">
      <c r="B9" s="188" t="s">
        <v>952</v>
      </c>
      <c r="C9" s="162" t="s">
        <v>28</v>
      </c>
      <c r="D9" s="182" t="s">
        <v>946</v>
      </c>
      <c r="G9" s="170" t="s">
        <v>953</v>
      </c>
      <c r="H9" s="166">
        <v>75.5</v>
      </c>
      <c r="I9" s="173">
        <v>7.29</v>
      </c>
      <c r="J9" s="167" t="s">
        <v>933</v>
      </c>
      <c r="K9" s="172">
        <v>7939</v>
      </c>
      <c r="L9" s="169" t="s">
        <v>948</v>
      </c>
    </row>
    <row r="10" spans="1:12">
      <c r="A10">
        <v>1</v>
      </c>
      <c r="B10" s="162" t="s">
        <v>954</v>
      </c>
      <c r="C10" s="187" t="s">
        <v>407</v>
      </c>
      <c r="D10" s="185"/>
      <c r="G10" s="170" t="s">
        <v>955</v>
      </c>
      <c r="H10" s="166">
        <v>3.77</v>
      </c>
      <c r="I10" s="166">
        <v>0.73</v>
      </c>
      <c r="J10" s="167" t="s">
        <v>933</v>
      </c>
      <c r="K10" s="168">
        <v>870</v>
      </c>
      <c r="L10" s="169" t="s">
        <v>938</v>
      </c>
    </row>
    <row r="11" spans="1:12">
      <c r="B11" s="188" t="s">
        <v>956</v>
      </c>
      <c r="C11" s="163" t="s">
        <v>28</v>
      </c>
      <c r="D11" s="182" t="s">
        <v>946</v>
      </c>
      <c r="G11" s="170" t="s">
        <v>957</v>
      </c>
      <c r="H11" s="171">
        <v>49.4</v>
      </c>
      <c r="I11" s="171">
        <v>1.1200000000000001</v>
      </c>
      <c r="J11" s="167" t="s">
        <v>933</v>
      </c>
      <c r="K11" s="172">
        <v>1372</v>
      </c>
      <c r="L11" s="169" t="s">
        <v>942</v>
      </c>
    </row>
    <row r="12" spans="1:12">
      <c r="B12" s="188" t="s">
        <v>958</v>
      </c>
      <c r="C12" s="163" t="s">
        <v>28</v>
      </c>
      <c r="D12" s="182" t="s">
        <v>946</v>
      </c>
      <c r="G12" s="165" t="s">
        <v>959</v>
      </c>
      <c r="H12" s="174">
        <v>176</v>
      </c>
      <c r="I12" s="174">
        <v>1.5</v>
      </c>
      <c r="J12" s="175" t="s">
        <v>933</v>
      </c>
      <c r="K12" s="176" t="s">
        <v>960</v>
      </c>
      <c r="L12" s="169"/>
    </row>
    <row r="13" spans="1:12">
      <c r="B13" s="188" t="s">
        <v>961</v>
      </c>
      <c r="C13" s="163" t="s">
        <v>28</v>
      </c>
      <c r="D13" s="182" t="s">
        <v>946</v>
      </c>
      <c r="G13" s="170" t="s">
        <v>962</v>
      </c>
      <c r="H13" s="174">
        <v>24</v>
      </c>
      <c r="I13" s="174">
        <v>0.3</v>
      </c>
      <c r="J13" s="177" t="s">
        <v>963</v>
      </c>
      <c r="K13" s="168">
        <v>232</v>
      </c>
      <c r="L13" s="169" t="s">
        <v>942</v>
      </c>
    </row>
    <row r="14" spans="1:12">
      <c r="A14">
        <v>1</v>
      </c>
      <c r="B14" s="188" t="s">
        <v>964</v>
      </c>
      <c r="C14" s="162" t="s">
        <v>411</v>
      </c>
      <c r="D14" s="182" t="s">
        <v>942</v>
      </c>
      <c r="G14" s="170" t="s">
        <v>965</v>
      </c>
      <c r="H14" s="173">
        <v>18</v>
      </c>
      <c r="I14" s="174">
        <v>1.94</v>
      </c>
      <c r="J14" s="175" t="s">
        <v>937</v>
      </c>
      <c r="K14" s="172">
        <v>2181</v>
      </c>
      <c r="L14" s="169" t="s">
        <v>938</v>
      </c>
    </row>
    <row r="15" spans="1:12">
      <c r="A15">
        <v>1</v>
      </c>
      <c r="B15" s="188" t="s">
        <v>966</v>
      </c>
      <c r="C15" s="162" t="s">
        <v>411</v>
      </c>
      <c r="D15" s="169" t="s">
        <v>948</v>
      </c>
      <c r="G15" s="170" t="s">
        <v>967</v>
      </c>
      <c r="H15" s="174">
        <v>72.7</v>
      </c>
      <c r="I15" s="173">
        <v>0.54</v>
      </c>
      <c r="J15" s="175" t="s">
        <v>937</v>
      </c>
      <c r="K15" s="168">
        <v>819</v>
      </c>
      <c r="L15" s="169" t="s">
        <v>942</v>
      </c>
    </row>
    <row r="16" spans="1:12">
      <c r="B16" s="188" t="s">
        <v>968</v>
      </c>
      <c r="C16" s="163" t="s">
        <v>64</v>
      </c>
      <c r="D16" s="169" t="s">
        <v>942</v>
      </c>
      <c r="G16" s="170" t="s">
        <v>969</v>
      </c>
      <c r="H16" s="173">
        <v>24</v>
      </c>
      <c r="I16" s="173">
        <v>3.62</v>
      </c>
      <c r="J16" s="177" t="s">
        <v>963</v>
      </c>
      <c r="K16" s="172">
        <v>1088</v>
      </c>
      <c r="L16" s="169" t="s">
        <v>935</v>
      </c>
    </row>
    <row r="17" spans="1:12">
      <c r="B17" s="188" t="s">
        <v>970</v>
      </c>
      <c r="C17" s="163" t="s">
        <v>64</v>
      </c>
      <c r="D17" s="169" t="s">
        <v>942</v>
      </c>
      <c r="G17" s="170" t="s">
        <v>971</v>
      </c>
      <c r="H17" s="174">
        <v>37</v>
      </c>
      <c r="I17" s="173">
        <v>0.89</v>
      </c>
      <c r="J17" s="175" t="s">
        <v>937</v>
      </c>
      <c r="K17" s="168">
        <v>961</v>
      </c>
      <c r="L17" s="169" t="s">
        <v>942</v>
      </c>
    </row>
    <row r="18" spans="1:12">
      <c r="B18" s="188" t="s">
        <v>972</v>
      </c>
      <c r="C18" s="163" t="s">
        <v>28</v>
      </c>
      <c r="D18" s="186" t="s">
        <v>946</v>
      </c>
      <c r="G18" s="170" t="s">
        <v>265</v>
      </c>
      <c r="H18" s="174">
        <v>40</v>
      </c>
      <c r="I18" s="173">
        <v>4.21</v>
      </c>
      <c r="J18" s="175" t="s">
        <v>933</v>
      </c>
      <c r="K18" s="172">
        <v>6819</v>
      </c>
      <c r="L18" s="169" t="s">
        <v>938</v>
      </c>
    </row>
    <row r="19" spans="1:12">
      <c r="B19" s="188" t="s">
        <v>973</v>
      </c>
      <c r="C19" s="163" t="s">
        <v>28</v>
      </c>
      <c r="D19" s="186" t="s">
        <v>946</v>
      </c>
      <c r="G19" s="170" t="s">
        <v>360</v>
      </c>
      <c r="H19" s="173">
        <v>63.5</v>
      </c>
      <c r="I19" s="173">
        <v>4.67</v>
      </c>
      <c r="J19" s="175" t="s">
        <v>937</v>
      </c>
      <c r="K19" s="172">
        <v>6923</v>
      </c>
      <c r="L19" s="169" t="s">
        <v>935</v>
      </c>
    </row>
    <row r="20" spans="1:12">
      <c r="A20">
        <v>1</v>
      </c>
      <c r="B20" s="188" t="s">
        <v>974</v>
      </c>
      <c r="C20" s="163" t="s">
        <v>64</v>
      </c>
      <c r="D20" s="169"/>
      <c r="G20" s="178" t="s">
        <v>975</v>
      </c>
      <c r="H20" s="173">
        <v>10</v>
      </c>
      <c r="I20" s="173">
        <v>0.23</v>
      </c>
      <c r="J20" s="177" t="s">
        <v>963</v>
      </c>
      <c r="K20" s="168">
        <v>27</v>
      </c>
      <c r="L20" s="169" t="s">
        <v>938</v>
      </c>
    </row>
    <row r="21" spans="1:12">
      <c r="A21">
        <v>1</v>
      </c>
      <c r="B21" s="188" t="s">
        <v>976</v>
      </c>
      <c r="C21" s="162" t="s">
        <v>411</v>
      </c>
      <c r="D21" s="186" t="s">
        <v>942</v>
      </c>
      <c r="G21" s="178" t="s">
        <v>977</v>
      </c>
      <c r="H21" s="173">
        <v>11.64</v>
      </c>
      <c r="I21" s="173">
        <v>2.14</v>
      </c>
      <c r="J21" s="175" t="s">
        <v>937</v>
      </c>
      <c r="K21" s="172">
        <v>2038</v>
      </c>
      <c r="L21" s="169" t="s">
        <v>940</v>
      </c>
    </row>
    <row r="22" spans="1:12">
      <c r="A22">
        <v>1</v>
      </c>
      <c r="B22" s="188" t="s">
        <v>978</v>
      </c>
      <c r="C22" s="162" t="s">
        <v>411</v>
      </c>
      <c r="D22" s="169" t="s">
        <v>938</v>
      </c>
      <c r="G22" s="178" t="s">
        <v>979</v>
      </c>
      <c r="H22" s="173">
        <v>35</v>
      </c>
      <c r="I22" s="173">
        <v>0.42</v>
      </c>
      <c r="J22" s="175" t="s">
        <v>937</v>
      </c>
      <c r="K22" s="168">
        <v>819</v>
      </c>
      <c r="L22" s="169" t="s">
        <v>942</v>
      </c>
    </row>
    <row r="23" spans="1:12">
      <c r="G23" s="178" t="s">
        <v>980</v>
      </c>
      <c r="H23" s="174">
        <v>36.799999999999997</v>
      </c>
      <c r="I23" s="174">
        <v>0.69</v>
      </c>
      <c r="J23" s="175" t="s">
        <v>937</v>
      </c>
      <c r="K23" s="180">
        <v>1313</v>
      </c>
      <c r="L23" s="181" t="s">
        <v>981</v>
      </c>
    </row>
    <row r="24" spans="1:12">
      <c r="G24" s="178" t="s">
        <v>982</v>
      </c>
      <c r="H24" s="174">
        <v>40</v>
      </c>
      <c r="I24" s="173">
        <v>4.7</v>
      </c>
      <c r="J24" s="175" t="s">
        <v>937</v>
      </c>
      <c r="K24" s="172">
        <v>5544</v>
      </c>
      <c r="L24" s="181" t="s">
        <v>981</v>
      </c>
    </row>
    <row r="25" spans="1:12">
      <c r="G25" s="178" t="s">
        <v>983</v>
      </c>
      <c r="H25" s="174">
        <v>45</v>
      </c>
      <c r="I25" s="173">
        <v>6.13</v>
      </c>
      <c r="J25" s="175" t="s">
        <v>937</v>
      </c>
      <c r="K25" s="172">
        <v>9170</v>
      </c>
      <c r="L25" s="181" t="s">
        <v>981</v>
      </c>
    </row>
    <row r="26" spans="1:12">
      <c r="G26" s="178" t="s">
        <v>984</v>
      </c>
      <c r="H26" s="174">
        <v>400</v>
      </c>
      <c r="I26" s="173">
        <v>8.98</v>
      </c>
      <c r="J26" s="175" t="s">
        <v>937</v>
      </c>
      <c r="K26" s="172">
        <v>4332</v>
      </c>
      <c r="L26" s="169" t="s">
        <v>940</v>
      </c>
    </row>
    <row r="27" spans="1:12">
      <c r="G27" s="178" t="s">
        <v>985</v>
      </c>
      <c r="H27" s="174">
        <v>80</v>
      </c>
      <c r="I27" s="173">
        <v>12.15</v>
      </c>
      <c r="J27" s="177" t="s">
        <v>963</v>
      </c>
      <c r="K27" s="172">
        <v>3007</v>
      </c>
      <c r="L27" s="169" t="s">
        <v>986</v>
      </c>
    </row>
    <row r="28" spans="1:12">
      <c r="G28" s="178" t="s">
        <v>987</v>
      </c>
      <c r="H28" s="173">
        <v>46</v>
      </c>
      <c r="I28" s="173">
        <v>0.32</v>
      </c>
      <c r="J28" s="175" t="s">
        <v>937</v>
      </c>
      <c r="K28" s="168">
        <v>587</v>
      </c>
      <c r="L28" s="169" t="s">
        <v>942</v>
      </c>
    </row>
    <row r="29" spans="1:12">
      <c r="G29" s="178" t="s">
        <v>386</v>
      </c>
      <c r="H29" s="174">
        <v>60</v>
      </c>
      <c r="I29" s="174">
        <v>1.57</v>
      </c>
      <c r="J29" s="175" t="s">
        <v>937</v>
      </c>
      <c r="K29" s="172">
        <v>2007</v>
      </c>
      <c r="L29" s="169" t="s">
        <v>942</v>
      </c>
    </row>
    <row r="30" spans="1:12">
      <c r="G30" s="178" t="s">
        <v>988</v>
      </c>
      <c r="H30" s="173">
        <v>15</v>
      </c>
      <c r="I30" s="173">
        <v>4.5</v>
      </c>
      <c r="J30" s="175" t="s">
        <v>933</v>
      </c>
      <c r="K30" s="172">
        <v>6084</v>
      </c>
      <c r="L30" s="169"/>
    </row>
    <row r="31" spans="1:12">
      <c r="G31" s="178" t="s">
        <v>989</v>
      </c>
      <c r="H31" s="173">
        <v>12.5</v>
      </c>
      <c r="I31" s="173">
        <v>0.26</v>
      </c>
      <c r="J31" s="175" t="s">
        <v>937</v>
      </c>
      <c r="K31" s="168">
        <v>479</v>
      </c>
      <c r="L31" s="169" t="s">
        <v>942</v>
      </c>
    </row>
    <row r="32" spans="1:12">
      <c r="G32" s="178" t="s">
        <v>990</v>
      </c>
      <c r="H32" s="174">
        <v>192</v>
      </c>
      <c r="I32" s="173">
        <v>7.96</v>
      </c>
      <c r="J32" s="175" t="s">
        <v>937</v>
      </c>
      <c r="K32" s="172">
        <v>9140</v>
      </c>
      <c r="L32" s="169" t="s">
        <v>935</v>
      </c>
    </row>
    <row r="33" spans="7:12">
      <c r="G33" s="178" t="s">
        <v>991</v>
      </c>
      <c r="H33" s="173">
        <v>1.42</v>
      </c>
      <c r="I33" s="173">
        <v>0.33</v>
      </c>
      <c r="J33" s="175" t="s">
        <v>963</v>
      </c>
      <c r="K33" s="168">
        <v>539</v>
      </c>
      <c r="L33" s="169" t="s">
        <v>938</v>
      </c>
    </row>
    <row r="34" spans="7:12">
      <c r="G34" s="178" t="s">
        <v>992</v>
      </c>
      <c r="H34" s="173">
        <v>20</v>
      </c>
      <c r="I34" s="173">
        <v>0.74</v>
      </c>
      <c r="J34" s="177" t="s">
        <v>963</v>
      </c>
      <c r="K34" s="168">
        <v>144</v>
      </c>
      <c r="L34" s="169" t="s">
        <v>942</v>
      </c>
    </row>
    <row r="35" spans="7:12">
      <c r="G35" s="178" t="s">
        <v>993</v>
      </c>
      <c r="H35" s="174">
        <v>200</v>
      </c>
      <c r="I35" s="171">
        <v>2.74</v>
      </c>
      <c r="J35" s="177" t="s">
        <v>963</v>
      </c>
      <c r="K35" s="179">
        <v>659</v>
      </c>
      <c r="L35" s="181" t="s">
        <v>942</v>
      </c>
    </row>
    <row r="39" spans="7:12">
      <c r="G39" s="170" t="s">
        <v>273</v>
      </c>
      <c r="H39" s="171">
        <v>93</v>
      </c>
      <c r="I39" s="171">
        <v>2.2200000000000002</v>
      </c>
      <c r="J39" s="167" t="s">
        <v>933</v>
      </c>
      <c r="K39" s="166">
        <v>665</v>
      </c>
      <c r="L39" s="182" t="s">
        <v>946</v>
      </c>
    </row>
    <row r="40" spans="7:12">
      <c r="G40" s="170" t="s">
        <v>994</v>
      </c>
      <c r="H40" s="173">
        <v>120</v>
      </c>
      <c r="I40" s="173">
        <v>2.64</v>
      </c>
      <c r="J40" s="175" t="s">
        <v>963</v>
      </c>
      <c r="K40" s="168">
        <v>209</v>
      </c>
      <c r="L40" s="182" t="s">
        <v>946</v>
      </c>
    </row>
    <row r="41" spans="7:12">
      <c r="G41" s="178" t="s">
        <v>995</v>
      </c>
      <c r="H41" s="174">
        <v>60</v>
      </c>
      <c r="I41" s="173">
        <v>6.53</v>
      </c>
      <c r="J41" s="177" t="s">
        <v>963</v>
      </c>
      <c r="K41" s="172">
        <v>1529</v>
      </c>
      <c r="L41" s="169"/>
    </row>
    <row r="42" spans="7:12">
      <c r="G42" s="170" t="s">
        <v>996</v>
      </c>
      <c r="H42" s="173">
        <v>70</v>
      </c>
      <c r="I42" s="173">
        <v>1.68</v>
      </c>
      <c r="J42" s="175" t="s">
        <v>937</v>
      </c>
      <c r="K42" s="168">
        <v>688</v>
      </c>
      <c r="L42" s="182" t="s">
        <v>946</v>
      </c>
    </row>
    <row r="43" spans="7:12">
      <c r="G43" s="170" t="s">
        <v>997</v>
      </c>
      <c r="H43" s="173">
        <v>30</v>
      </c>
      <c r="I43" s="173">
        <v>0.72</v>
      </c>
      <c r="J43" s="175" t="s">
        <v>937</v>
      </c>
      <c r="K43" s="168">
        <v>295</v>
      </c>
      <c r="L43" s="182" t="s">
        <v>946</v>
      </c>
    </row>
    <row r="44" spans="7:12">
      <c r="G44" s="178" t="s">
        <v>340</v>
      </c>
      <c r="H44" s="173">
        <v>150</v>
      </c>
      <c r="I44" s="171">
        <v>3.59</v>
      </c>
      <c r="J44" s="175" t="s">
        <v>937</v>
      </c>
      <c r="K44" s="172">
        <v>1405</v>
      </c>
      <c r="L44" s="182" t="s">
        <v>946</v>
      </c>
    </row>
    <row r="45" spans="7:12">
      <c r="G45" s="178" t="s">
        <v>381</v>
      </c>
      <c r="H45" s="174">
        <v>120</v>
      </c>
      <c r="I45" s="171">
        <v>2.87</v>
      </c>
      <c r="J45" s="175" t="s">
        <v>937</v>
      </c>
      <c r="K45" s="172">
        <v>1869</v>
      </c>
      <c r="L45" s="182" t="s">
        <v>946</v>
      </c>
    </row>
    <row r="46" spans="7:12">
      <c r="G46" s="178" t="s">
        <v>379</v>
      </c>
      <c r="H46" s="174">
        <v>100</v>
      </c>
      <c r="I46" s="171">
        <v>2.4</v>
      </c>
      <c r="J46" s="175" t="s">
        <v>937</v>
      </c>
      <c r="K46" s="172">
        <v>1497</v>
      </c>
      <c r="L46" s="182" t="s">
        <v>946</v>
      </c>
    </row>
    <row r="47" spans="7:12">
      <c r="G47" s="178" t="s">
        <v>998</v>
      </c>
      <c r="H47" s="174">
        <v>300</v>
      </c>
      <c r="I47" s="171">
        <v>7.19</v>
      </c>
      <c r="J47" s="175" t="s">
        <v>933</v>
      </c>
      <c r="K47" s="172">
        <v>5750</v>
      </c>
      <c r="L47" s="182" t="s">
        <v>946</v>
      </c>
    </row>
    <row r="48" spans="7:12">
      <c r="G48" s="178" t="s">
        <v>386</v>
      </c>
      <c r="H48" s="174">
        <v>185</v>
      </c>
      <c r="I48" s="174">
        <v>4.43</v>
      </c>
      <c r="J48" s="175" t="s">
        <v>937</v>
      </c>
      <c r="K48" s="183">
        <v>1551</v>
      </c>
      <c r="L48" s="182" t="s">
        <v>946</v>
      </c>
    </row>
    <row r="49" spans="7:12">
      <c r="G49" s="170" t="s">
        <v>265</v>
      </c>
      <c r="H49" s="174">
        <v>40</v>
      </c>
      <c r="I49" s="171">
        <v>0.96</v>
      </c>
      <c r="J49" s="175" t="s">
        <v>933</v>
      </c>
      <c r="K49" s="168">
        <v>575</v>
      </c>
      <c r="L49" s="182" t="s">
        <v>946</v>
      </c>
    </row>
    <row r="50" spans="7:12">
      <c r="G50" s="178" t="s">
        <v>999</v>
      </c>
      <c r="H50" s="173">
        <v>40</v>
      </c>
      <c r="I50" s="173">
        <v>0.96</v>
      </c>
      <c r="J50" s="175" t="s">
        <v>963</v>
      </c>
      <c r="K50" s="168">
        <v>77</v>
      </c>
      <c r="L50" s="182" t="s">
        <v>946</v>
      </c>
    </row>
    <row r="51" spans="7:12">
      <c r="G51" s="178" t="s">
        <v>993</v>
      </c>
      <c r="H51" s="174">
        <v>200</v>
      </c>
      <c r="I51" s="171">
        <v>4.79</v>
      </c>
      <c r="J51" s="175" t="s">
        <v>963</v>
      </c>
      <c r="K51" s="179">
        <v>383</v>
      </c>
      <c r="L51" s="184" t="s">
        <v>946</v>
      </c>
    </row>
  </sheetData>
  <autoFilter ref="B3:D35" xr:uid="{E135CEF8-82ED-499F-9AAE-1AF4C66C1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2:AF512"/>
  <sheetViews>
    <sheetView zoomScale="80" zoomScaleNormal="80" zoomScaleSheetLayoutView="50" workbookViewId="0">
      <pane ySplit="1" topLeftCell="A2" activePane="bottomLeft" state="frozen"/>
      <selection activeCell="H1" sqref="H1"/>
      <selection pane="bottomLeft" activeCell="B523" sqref="B523"/>
    </sheetView>
  </sheetViews>
  <sheetFormatPr defaultColWidth="11.5546875" defaultRowHeight="13.8" outlineLevelRow="4" outlineLevelCol="1"/>
  <cols>
    <col min="1" max="1" width="6.5546875" style="3" customWidth="1"/>
    <col min="2" max="2" width="24.5546875" style="4" customWidth="1"/>
    <col min="3" max="3" width="16.44140625" style="3" bestFit="1" customWidth="1"/>
    <col min="4" max="4" width="0.44140625" style="5" customWidth="1"/>
    <col min="5" max="5" width="0.44140625" style="27" customWidth="1"/>
    <col min="6" max="6" width="0.44140625" style="5" customWidth="1"/>
    <col min="7" max="7" width="12.5546875" style="7" bestFit="1" customWidth="1"/>
    <col min="8" max="8" width="0.44140625" style="5" customWidth="1" outlineLevel="1"/>
    <col min="9" max="9" width="0.44140625" style="27" customWidth="1" outlineLevel="1"/>
    <col min="10" max="10" width="0.44140625" style="5" customWidth="1" outlineLevel="1"/>
    <col min="11" max="14" width="25.5546875" style="65" customWidth="1" outlineLevel="1"/>
    <col min="15" max="15" width="0.44140625" style="5" customWidth="1"/>
    <col min="16" max="16" width="0.44140625" style="27" customWidth="1"/>
    <col min="17" max="17" width="0.44140625" style="5" customWidth="1"/>
    <col min="18" max="18" width="12.5546875" style="7" bestFit="1" customWidth="1"/>
    <col min="19" max="19" width="0.44140625" style="134" customWidth="1" outlineLevel="1"/>
    <col min="20" max="20" width="0.44140625" style="133" customWidth="1" outlineLevel="1"/>
    <col min="21" max="21" width="0.44140625" style="134" customWidth="1" outlineLevel="1"/>
    <col min="22" max="25" width="10.5546875" style="65" bestFit="1" customWidth="1" outlineLevel="1"/>
    <col min="26" max="26" width="1.44140625" style="5" customWidth="1"/>
    <col min="27" max="27" width="0.44140625" style="27" customWidth="1"/>
    <col min="28" max="28" width="1.44140625" style="5" customWidth="1"/>
    <col min="29" max="32" width="11.5546875" style="3" hidden="1" customWidth="1"/>
    <col min="33" max="33" width="0" style="3" hidden="1" customWidth="1"/>
    <col min="34" max="16384" width="11.5546875" style="3"/>
  </cols>
  <sheetData>
    <row r="2" spans="1:25" s="49" customFormat="1" ht="17.399999999999999">
      <c r="B2" s="59"/>
      <c r="C2" s="59"/>
      <c r="D2" s="51"/>
      <c r="E2" s="52"/>
      <c r="F2" s="51"/>
      <c r="G2" s="79" t="s">
        <v>6</v>
      </c>
      <c r="H2" s="51"/>
      <c r="I2" s="52"/>
      <c r="J2" s="51"/>
      <c r="K2" s="863" t="s">
        <v>402</v>
      </c>
      <c r="L2" s="863"/>
      <c r="M2" s="863"/>
      <c r="N2" s="863"/>
      <c r="O2" s="51"/>
      <c r="P2" s="52"/>
      <c r="Q2" s="51"/>
      <c r="R2" s="79" t="s">
        <v>1000</v>
      </c>
      <c r="S2" s="51"/>
      <c r="T2" s="52"/>
      <c r="U2" s="51"/>
      <c r="V2" s="863" t="s">
        <v>546</v>
      </c>
      <c r="W2" s="863"/>
      <c r="X2" s="863"/>
      <c r="Y2" s="863"/>
    </row>
    <row r="3" spans="1:25" s="49" customFormat="1" ht="17.399999999999999">
      <c r="B3" s="50"/>
      <c r="D3" s="51"/>
      <c r="E3" s="52"/>
      <c r="F3" s="51"/>
      <c r="G3" s="53">
        <f>SUM(K3:N3)</f>
        <v>539</v>
      </c>
      <c r="H3" s="51"/>
      <c r="I3" s="52"/>
      <c r="J3" s="51"/>
      <c r="K3" s="151">
        <f>K10</f>
        <v>146</v>
      </c>
      <c r="L3" s="151">
        <f t="shared" ref="L3:N3" si="0">L10</f>
        <v>158</v>
      </c>
      <c r="M3" s="151">
        <f t="shared" si="0"/>
        <v>123</v>
      </c>
      <c r="N3" s="151">
        <f t="shared" si="0"/>
        <v>112</v>
      </c>
      <c r="O3" s="51"/>
      <c r="P3" s="52"/>
      <c r="Q3" s="51"/>
      <c r="R3" s="53">
        <f>SUM(V3:Y3)</f>
        <v>136.94637524398325</v>
      </c>
      <c r="S3" s="51"/>
      <c r="T3" s="52"/>
      <c r="U3" s="51"/>
      <c r="V3" s="151">
        <f t="shared" ref="V3:Y3" si="1">V10</f>
        <v>26.639195607518133</v>
      </c>
      <c r="W3" s="151">
        <f t="shared" si="1"/>
        <v>45.068300820106472</v>
      </c>
      <c r="X3" s="151">
        <f t="shared" si="1"/>
        <v>31.884182170139173</v>
      </c>
      <c r="Y3" s="151">
        <f t="shared" si="1"/>
        <v>33.35469664621948</v>
      </c>
    </row>
    <row r="4" spans="1:25" s="49" customFormat="1" ht="2.1" customHeight="1">
      <c r="A4" s="54"/>
      <c r="B4" s="55"/>
      <c r="C4" s="56"/>
      <c r="D4" s="57"/>
      <c r="E4" s="52"/>
      <c r="F4" s="57"/>
      <c r="G4" s="53"/>
      <c r="H4" s="57"/>
      <c r="I4" s="52"/>
      <c r="J4" s="57"/>
      <c r="K4" s="66"/>
      <c r="L4" s="66"/>
      <c r="M4" s="66"/>
      <c r="N4" s="66"/>
      <c r="O4" s="57"/>
      <c r="P4" s="52"/>
      <c r="Q4" s="57"/>
      <c r="R4" s="53"/>
      <c r="S4" s="57"/>
      <c r="T4" s="52"/>
      <c r="U4" s="57"/>
      <c r="V4" s="66"/>
      <c r="W4" s="66"/>
      <c r="X4" s="66"/>
      <c r="Y4" s="66"/>
    </row>
    <row r="5" spans="1:25" s="63" customFormat="1" ht="17.399999999999999">
      <c r="A5" s="58"/>
      <c r="B5" s="59" t="s">
        <v>1001</v>
      </c>
      <c r="C5" s="60"/>
      <c r="D5" s="61"/>
      <c r="E5" s="52"/>
      <c r="F5" s="61"/>
      <c r="G5" s="62">
        <v>2025</v>
      </c>
      <c r="H5" s="61"/>
      <c r="I5" s="52"/>
      <c r="J5" s="61"/>
      <c r="K5" s="64" t="s">
        <v>2</v>
      </c>
      <c r="L5" s="64" t="s">
        <v>3</v>
      </c>
      <c r="M5" s="64" t="s">
        <v>4</v>
      </c>
      <c r="N5" s="64" t="s">
        <v>5</v>
      </c>
      <c r="O5" s="61"/>
      <c r="P5" s="52"/>
      <c r="Q5" s="61"/>
      <c r="R5" s="62">
        <v>2025</v>
      </c>
      <c r="S5" s="61"/>
      <c r="T5" s="52"/>
      <c r="U5" s="61"/>
      <c r="V5" s="64" t="s">
        <v>2</v>
      </c>
      <c r="W5" s="64" t="s">
        <v>3</v>
      </c>
      <c r="X5" s="64" t="s">
        <v>4</v>
      </c>
      <c r="Y5" s="64" t="s">
        <v>5</v>
      </c>
    </row>
    <row r="6" spans="1:25" s="14" customFormat="1" ht="2.1" customHeight="1">
      <c r="A6" s="9"/>
      <c r="B6" s="15"/>
      <c r="C6" s="16"/>
      <c r="D6" s="12"/>
      <c r="E6" s="6"/>
      <c r="F6" s="12"/>
      <c r="G6" s="17"/>
      <c r="H6" s="12"/>
      <c r="I6" s="6"/>
      <c r="J6" s="12"/>
      <c r="K6" s="67"/>
      <c r="L6" s="67"/>
      <c r="M6" s="67"/>
      <c r="N6" s="67"/>
      <c r="O6" s="12"/>
      <c r="P6" s="6"/>
      <c r="Q6" s="12"/>
      <c r="R6" s="17"/>
      <c r="S6" s="12"/>
      <c r="T6" s="6"/>
      <c r="U6" s="12"/>
      <c r="V6" s="67"/>
      <c r="W6" s="67"/>
      <c r="X6" s="67"/>
      <c r="Y6" s="67"/>
    </row>
    <row r="7" spans="1:25" s="14" customFormat="1" ht="2.1" customHeight="1">
      <c r="A7" s="9"/>
      <c r="B7" s="10"/>
      <c r="C7" s="11"/>
      <c r="D7" s="12"/>
      <c r="E7" s="6"/>
      <c r="F7" s="12"/>
      <c r="G7" s="13"/>
      <c r="H7" s="12"/>
      <c r="I7" s="6"/>
      <c r="J7" s="12"/>
      <c r="K7" s="68"/>
      <c r="L7" s="68"/>
      <c r="M7" s="68"/>
      <c r="N7" s="68"/>
      <c r="O7" s="12"/>
      <c r="P7" s="6"/>
      <c r="Q7" s="12"/>
      <c r="R7" s="13"/>
      <c r="S7" s="12"/>
      <c r="T7" s="6"/>
      <c r="U7" s="12"/>
      <c r="V7" s="68"/>
      <c r="W7" s="68"/>
      <c r="X7" s="68"/>
      <c r="Y7" s="68"/>
    </row>
    <row r="8" spans="1:25" ht="2.1" customHeight="1">
      <c r="E8" s="6"/>
      <c r="I8" s="6"/>
      <c r="P8" s="6"/>
      <c r="S8" s="5"/>
      <c r="T8" s="6"/>
      <c r="U8" s="5"/>
    </row>
    <row r="9" spans="1:25" ht="3" customHeight="1">
      <c r="B9" s="2"/>
      <c r="C9" s="25"/>
      <c r="D9" s="30"/>
      <c r="E9" s="6"/>
      <c r="F9" s="30"/>
      <c r="G9" s="125"/>
      <c r="H9" s="30"/>
      <c r="I9" s="6"/>
      <c r="J9" s="30"/>
      <c r="K9" s="77"/>
      <c r="L9" s="77"/>
      <c r="M9" s="77"/>
      <c r="N9" s="77"/>
      <c r="O9" s="30"/>
      <c r="P9" s="6"/>
      <c r="Q9" s="30"/>
      <c r="R9" s="30"/>
      <c r="S9" s="30"/>
      <c r="T9" s="6"/>
      <c r="U9" s="30"/>
      <c r="V9" s="77"/>
      <c r="W9" s="77"/>
      <c r="X9" s="77"/>
      <c r="Y9" s="77"/>
    </row>
    <row r="10" spans="1:25" s="48" customFormat="1" ht="30" collapsed="1">
      <c r="A10" s="155"/>
      <c r="B10" s="43" t="s">
        <v>28</v>
      </c>
      <c r="C10" s="44" t="s">
        <v>754</v>
      </c>
      <c r="D10" s="45"/>
      <c r="E10" s="46"/>
      <c r="F10" s="45"/>
      <c r="G10" s="122">
        <f>SUM(K10:N10)</f>
        <v>539</v>
      </c>
      <c r="H10" s="45"/>
      <c r="I10" s="46"/>
      <c r="J10" s="45"/>
      <c r="K10" s="69">
        <f>SUM(K12,K80,K344)</f>
        <v>146</v>
      </c>
      <c r="L10" s="69">
        <f>SUM(L12,L80,L344)</f>
        <v>158</v>
      </c>
      <c r="M10" s="69">
        <f>SUM(M12,M80,M344)</f>
        <v>123</v>
      </c>
      <c r="N10" s="69">
        <f>SUM(N12,N80,N344)</f>
        <v>112</v>
      </c>
      <c r="O10" s="45"/>
      <c r="P10" s="46"/>
      <c r="Q10" s="45"/>
      <c r="R10" s="47">
        <f>SUM(V10:Y10)</f>
        <v>136.94637524398325</v>
      </c>
      <c r="S10" s="45"/>
      <c r="T10" s="46"/>
      <c r="U10" s="45"/>
      <c r="V10" s="69">
        <f>SUM(V12,V80,V344)</f>
        <v>26.639195607518133</v>
      </c>
      <c r="W10" s="69">
        <f>SUM(W12,W80,W344)</f>
        <v>45.068300820106472</v>
      </c>
      <c r="X10" s="69">
        <f>SUM(X12,X80,X344)</f>
        <v>31.884182170139173</v>
      </c>
      <c r="Y10" s="69">
        <f>SUM(Y12,Y80,Y344)</f>
        <v>33.35469664621948</v>
      </c>
    </row>
    <row r="11" spans="1:25" ht="3" hidden="1" customHeight="1" outlineLevel="1">
      <c r="A11" s="18"/>
      <c r="B11" s="19"/>
      <c r="C11" s="20"/>
      <c r="D11" s="8"/>
      <c r="E11" s="6"/>
      <c r="F11" s="8"/>
      <c r="G11" s="123"/>
      <c r="H11" s="8"/>
      <c r="I11" s="6"/>
      <c r="J11" s="8"/>
      <c r="K11" s="70"/>
      <c r="L11" s="70"/>
      <c r="M11" s="70"/>
      <c r="N11" s="70"/>
      <c r="O11" s="8"/>
      <c r="P11" s="6"/>
      <c r="Q11" s="8"/>
      <c r="R11" s="8"/>
      <c r="S11" s="8"/>
      <c r="T11" s="6"/>
      <c r="U11" s="8"/>
      <c r="V11" s="70"/>
      <c r="W11" s="70"/>
      <c r="X11" s="70"/>
      <c r="Y11" s="70"/>
    </row>
    <row r="12" spans="1:25" s="48" customFormat="1" ht="20.100000000000001" hidden="1" customHeight="1" outlineLevel="1" collapsed="1">
      <c r="A12" s="155"/>
      <c r="B12" s="159" t="s">
        <v>1002</v>
      </c>
      <c r="C12" s="44" t="s">
        <v>793</v>
      </c>
      <c r="D12" s="45"/>
      <c r="E12" s="46"/>
      <c r="F12" s="45"/>
      <c r="G12" s="122">
        <f>SUM(K12:N12)</f>
        <v>81</v>
      </c>
      <c r="H12" s="45"/>
      <c r="I12" s="46"/>
      <c r="J12" s="45"/>
      <c r="K12" s="69">
        <f>SUM(K14,K19,K22,K26,K32,K37,K41,K45,K49,K53,K57,K62,K66,K69,K72,K76)</f>
        <v>20</v>
      </c>
      <c r="L12" s="69">
        <f t="shared" ref="L12:N12" si="2">SUM(L14,L19,L22,L26,L32,L37,L41,L45,L49,L53,L57,L62,L66,L69,L72,L76)</f>
        <v>23</v>
      </c>
      <c r="M12" s="69">
        <f t="shared" si="2"/>
        <v>21</v>
      </c>
      <c r="N12" s="69">
        <f t="shared" si="2"/>
        <v>17</v>
      </c>
      <c r="O12" s="45"/>
      <c r="P12" s="46"/>
      <c r="Q12" s="45"/>
      <c r="R12" s="47">
        <f>SUM(V12:Y12)</f>
        <v>86.583581054006501</v>
      </c>
      <c r="S12" s="45"/>
      <c r="T12" s="46"/>
      <c r="U12" s="45"/>
      <c r="V12" s="69">
        <f t="shared" ref="V12:Y12" si="3">SUM(V14,V19,V22,V26,V32,V37,V41,V45,V49,V53,V57,V62,V66,V69,V72,V76)</f>
        <v>17.019920468704573</v>
      </c>
      <c r="W12" s="69">
        <f t="shared" si="3"/>
        <v>26.526083381532032</v>
      </c>
      <c r="X12" s="69">
        <f t="shared" si="3"/>
        <v>21.481617629188779</v>
      </c>
      <c r="Y12" s="69">
        <f t="shared" si="3"/>
        <v>21.555959574581127</v>
      </c>
    </row>
    <row r="13" spans="1:25" ht="3" hidden="1" customHeight="1" outlineLevel="2">
      <c r="B13" s="28"/>
      <c r="C13" s="29"/>
      <c r="D13" s="8"/>
      <c r="E13" s="90"/>
      <c r="F13" s="8"/>
      <c r="G13" s="118"/>
      <c r="H13" s="8"/>
      <c r="I13" s="90"/>
      <c r="J13" s="8"/>
      <c r="K13" s="75"/>
      <c r="O13" s="8"/>
      <c r="P13" s="90"/>
      <c r="Q13" s="8"/>
      <c r="R13" s="33"/>
      <c r="S13" s="8"/>
      <c r="T13" s="90"/>
      <c r="U13" s="8"/>
      <c r="V13" s="75"/>
    </row>
    <row r="14" spans="1:25" s="21" customFormat="1" hidden="1" outlineLevel="2" collapsed="1">
      <c r="A14" s="21">
        <v>1</v>
      </c>
      <c r="B14" s="22" t="s">
        <v>620</v>
      </c>
      <c r="C14" s="22"/>
      <c r="D14" s="8"/>
      <c r="E14" s="90"/>
      <c r="F14" s="8"/>
      <c r="G14" s="124">
        <f>SUM(K14:N14)</f>
        <v>2</v>
      </c>
      <c r="H14" s="8"/>
      <c r="I14" s="90"/>
      <c r="J14" s="8"/>
      <c r="K14" s="71">
        <f>COUNTA(K15:K17)</f>
        <v>2</v>
      </c>
      <c r="L14" s="71">
        <f>COUNTA(L15:L17)</f>
        <v>0</v>
      </c>
      <c r="M14" s="71">
        <f>COUNTA(M15:M17)</f>
        <v>0</v>
      </c>
      <c r="N14" s="71">
        <f>COUNTA(N15:N17)</f>
        <v>0</v>
      </c>
      <c r="O14" s="8"/>
      <c r="P14" s="90"/>
      <c r="Q14" s="8"/>
      <c r="R14" s="23">
        <f>SUM(V14:Y14)</f>
        <v>1.21</v>
      </c>
      <c r="S14" s="8"/>
      <c r="T14" s="90"/>
      <c r="U14" s="8"/>
      <c r="V14" s="71">
        <f>SUM(V15:V17)</f>
        <v>1.21</v>
      </c>
      <c r="W14" s="71">
        <f>SUM(W15:W17)</f>
        <v>0</v>
      </c>
      <c r="X14" s="71">
        <f>SUM(X15:X17)</f>
        <v>0</v>
      </c>
      <c r="Y14" s="71">
        <f>SUM(Y15:Y17)</f>
        <v>0</v>
      </c>
    </row>
    <row r="15" spans="1:25" hidden="1" outlineLevel="3">
      <c r="B15" s="28"/>
      <c r="C15" s="29"/>
      <c r="D15" s="8"/>
      <c r="E15" s="90"/>
      <c r="F15" s="8"/>
      <c r="G15" s="118" t="s">
        <v>793</v>
      </c>
      <c r="H15" s="8"/>
      <c r="I15" s="90"/>
      <c r="J15" s="8"/>
      <c r="K15" s="29" t="s">
        <v>87</v>
      </c>
      <c r="L15" s="29"/>
      <c r="M15" s="141"/>
      <c r="N15" s="141"/>
      <c r="O15" s="8"/>
      <c r="P15" s="90"/>
      <c r="Q15" s="8"/>
      <c r="R15" s="33" t="s">
        <v>793</v>
      </c>
      <c r="S15" s="8"/>
      <c r="T15" s="90"/>
      <c r="U15" s="8"/>
      <c r="V15" s="35">
        <v>0.3</v>
      </c>
      <c r="W15" s="35"/>
    </row>
    <row r="16" spans="1:25" hidden="1" outlineLevel="3">
      <c r="B16" s="28"/>
      <c r="C16" s="29"/>
      <c r="D16" s="8"/>
      <c r="E16" s="90"/>
      <c r="F16" s="8"/>
      <c r="G16" s="118"/>
      <c r="H16" s="8"/>
      <c r="I16" s="90"/>
      <c r="J16" s="8"/>
      <c r="K16" s="29" t="s">
        <v>86</v>
      </c>
      <c r="L16" s="29"/>
      <c r="M16" s="141"/>
      <c r="N16" s="141"/>
      <c r="O16" s="8"/>
      <c r="P16" s="90"/>
      <c r="Q16" s="8"/>
      <c r="R16" s="33" t="s">
        <v>793</v>
      </c>
      <c r="S16" s="8"/>
      <c r="T16" s="90"/>
      <c r="U16" s="8"/>
      <c r="V16" s="35">
        <v>0.91</v>
      </c>
      <c r="W16" s="35"/>
    </row>
    <row r="17" spans="1:25" hidden="1" outlineLevel="3">
      <c r="S17" s="5"/>
      <c r="T17" s="26"/>
      <c r="U17" s="5"/>
    </row>
    <row r="18" spans="1:25" ht="3" hidden="1" customHeight="1" outlineLevel="2">
      <c r="S18" s="5"/>
      <c r="T18" s="26"/>
      <c r="U18" s="5"/>
    </row>
    <row r="19" spans="1:25" s="21" customFormat="1" hidden="1" outlineLevel="2" collapsed="1">
      <c r="A19" s="21">
        <v>1</v>
      </c>
      <c r="B19" s="22" t="s">
        <v>571</v>
      </c>
      <c r="C19" s="22"/>
      <c r="D19" s="8"/>
      <c r="E19" s="90"/>
      <c r="F19" s="8"/>
      <c r="G19" s="124">
        <f>SUM(K19:N19)</f>
        <v>2</v>
      </c>
      <c r="H19" s="8"/>
      <c r="I19" s="90"/>
      <c r="J19" s="8"/>
      <c r="K19" s="71">
        <f>COUNTA(K20:K20)</f>
        <v>0</v>
      </c>
      <c r="L19" s="71">
        <f>COUNTA(L20:L20)</f>
        <v>1</v>
      </c>
      <c r="M19" s="71">
        <f>COUNTA(M20:M20)</f>
        <v>1</v>
      </c>
      <c r="N19" s="71">
        <f>COUNTA(N20:N20)</f>
        <v>0</v>
      </c>
      <c r="O19" s="8"/>
      <c r="P19" s="90"/>
      <c r="Q19" s="8"/>
      <c r="R19" s="82">
        <f>SUM(V19:Y19)</f>
        <v>1.5999778108907998</v>
      </c>
      <c r="S19" s="8"/>
      <c r="T19" s="90"/>
      <c r="U19" s="8"/>
      <c r="V19" s="81">
        <f>SUM(V20:V20)</f>
        <v>0</v>
      </c>
      <c r="W19" s="81">
        <f>SUM(W20:W20)</f>
        <v>0.79998890544539991</v>
      </c>
      <c r="X19" s="81">
        <f>SUM(X20:X20)</f>
        <v>0.79998890544539991</v>
      </c>
      <c r="Y19" s="81">
        <f>SUM(Y20:Y20)</f>
        <v>0</v>
      </c>
    </row>
    <row r="20" spans="1:25" s="143" customFormat="1" hidden="1" outlineLevel="3">
      <c r="B20" s="28"/>
      <c r="C20" s="29"/>
      <c r="D20" s="147"/>
      <c r="E20" s="148"/>
      <c r="F20" s="147"/>
      <c r="G20" s="118" t="s">
        <v>793</v>
      </c>
      <c r="H20" s="147"/>
      <c r="I20" s="148"/>
      <c r="J20" s="147"/>
      <c r="K20" s="141"/>
      <c r="L20" s="99" t="s">
        <v>31</v>
      </c>
      <c r="M20" s="139" t="s">
        <v>632</v>
      </c>
      <c r="N20" s="140"/>
      <c r="O20" s="147"/>
      <c r="P20" s="148"/>
      <c r="Q20" s="147"/>
      <c r="R20" s="118" t="s">
        <v>793</v>
      </c>
      <c r="S20" s="147"/>
      <c r="T20" s="148"/>
      <c r="U20" s="147"/>
      <c r="V20" s="157"/>
      <c r="W20" s="100">
        <v>0.79998890544539991</v>
      </c>
      <c r="X20" s="100">
        <v>0.79998890544539991</v>
      </c>
      <c r="Y20" s="158"/>
    </row>
    <row r="21" spans="1:25" ht="3" hidden="1" customHeight="1" outlineLevel="2">
      <c r="B21" s="28"/>
      <c r="C21" s="29"/>
      <c r="D21" s="8"/>
      <c r="E21" s="90"/>
      <c r="F21" s="8"/>
      <c r="G21" s="118"/>
      <c r="H21" s="8"/>
      <c r="I21" s="90"/>
      <c r="J21" s="8"/>
      <c r="K21" s="75"/>
      <c r="L21" s="42"/>
      <c r="M21" s="42"/>
      <c r="N21" s="42"/>
      <c r="O21" s="8"/>
      <c r="P21" s="90"/>
      <c r="Q21" s="8"/>
      <c r="R21" s="33"/>
      <c r="S21" s="8"/>
      <c r="T21" s="90"/>
      <c r="U21" s="8"/>
      <c r="V21" s="75"/>
      <c r="W21" s="42"/>
      <c r="X21" s="42"/>
      <c r="Y21" s="42"/>
    </row>
    <row r="22" spans="1:25" s="21" customFormat="1" hidden="1" outlineLevel="2" collapsed="1">
      <c r="A22" s="21">
        <v>1</v>
      </c>
      <c r="B22" s="22" t="s">
        <v>795</v>
      </c>
      <c r="C22" s="22"/>
      <c r="D22" s="8"/>
      <c r="E22" s="90"/>
      <c r="F22" s="8"/>
      <c r="G22" s="124">
        <f>SUM(K22:N22)</f>
        <v>6</v>
      </c>
      <c r="H22" s="8"/>
      <c r="I22" s="90"/>
      <c r="J22" s="8"/>
      <c r="K22" s="71">
        <f>COUNTA(K23:K24)</f>
        <v>1</v>
      </c>
      <c r="L22" s="71">
        <f>COUNTA(L23:L24)</f>
        <v>2</v>
      </c>
      <c r="M22" s="71">
        <f>COUNTA(M23:M24)</f>
        <v>2</v>
      </c>
      <c r="N22" s="71">
        <f>COUNTA(N23:N24)</f>
        <v>1</v>
      </c>
      <c r="O22" s="8"/>
      <c r="P22" s="90"/>
      <c r="Q22" s="8"/>
      <c r="R22" s="82">
        <f>SUM(V22:Y22)</f>
        <v>6.0675000000000008</v>
      </c>
      <c r="S22" s="8"/>
      <c r="T22" s="90"/>
      <c r="U22" s="8"/>
      <c r="V22" s="81">
        <f>SUM(V23:V24)</f>
        <v>1.3650000000000002</v>
      </c>
      <c r="W22" s="81">
        <f>SUM(W23:W24)</f>
        <v>2.0175000000000001</v>
      </c>
      <c r="X22" s="81">
        <f>SUM(X23:X24)</f>
        <v>2.0175000000000001</v>
      </c>
      <c r="Y22" s="81">
        <f>SUM(Y23:Y24)</f>
        <v>0.66750000000000009</v>
      </c>
    </row>
    <row r="23" spans="1:25" ht="27.6" hidden="1" outlineLevel="3">
      <c r="B23" s="28"/>
      <c r="C23" s="29"/>
      <c r="D23" s="8"/>
      <c r="E23" s="90"/>
      <c r="F23" s="8"/>
      <c r="G23" s="118" t="s">
        <v>793</v>
      </c>
      <c r="H23" s="8"/>
      <c r="I23" s="90"/>
      <c r="J23" s="8"/>
      <c r="K23" s="25" t="s">
        <v>284</v>
      </c>
      <c r="L23" s="142" t="s">
        <v>31</v>
      </c>
      <c r="M23" s="139" t="s">
        <v>632</v>
      </c>
      <c r="N23" s="139" t="s">
        <v>170</v>
      </c>
      <c r="O23" s="8"/>
      <c r="P23" s="90"/>
      <c r="Q23" s="8"/>
      <c r="R23" s="33" t="s">
        <v>793</v>
      </c>
      <c r="S23" s="8"/>
      <c r="T23" s="90"/>
      <c r="U23" s="8"/>
      <c r="V23" s="98">
        <v>1.3650000000000002</v>
      </c>
      <c r="W23" s="100">
        <v>1.3350000000000002</v>
      </c>
      <c r="X23" s="96">
        <v>1.3350000000000002</v>
      </c>
      <c r="Y23" s="96">
        <v>0.66750000000000009</v>
      </c>
    </row>
    <row r="24" spans="1:25" hidden="1" outlineLevel="3">
      <c r="B24" s="28"/>
      <c r="C24" s="29"/>
      <c r="D24" s="8"/>
      <c r="E24" s="90"/>
      <c r="F24" s="8"/>
      <c r="G24" s="118" t="s">
        <v>793</v>
      </c>
      <c r="H24" s="8"/>
      <c r="I24" s="90"/>
      <c r="J24" s="8"/>
      <c r="K24" s="25"/>
      <c r="L24" s="139" t="s">
        <v>32</v>
      </c>
      <c r="M24" s="139" t="s">
        <v>285</v>
      </c>
      <c r="N24" s="29"/>
      <c r="O24" s="8"/>
      <c r="P24" s="90"/>
      <c r="Q24" s="8"/>
      <c r="R24" s="33" t="s">
        <v>793</v>
      </c>
      <c r="S24" s="8"/>
      <c r="T24" s="90"/>
      <c r="U24" s="8"/>
      <c r="V24" s="98"/>
      <c r="W24" s="96">
        <v>0.68250000000000011</v>
      </c>
      <c r="X24" s="96">
        <v>0.68250000000000011</v>
      </c>
      <c r="Y24" s="107"/>
    </row>
    <row r="25" spans="1:25" ht="3" hidden="1" customHeight="1" outlineLevel="2">
      <c r="B25" s="28"/>
      <c r="C25" s="29"/>
      <c r="D25" s="8"/>
      <c r="E25" s="90"/>
      <c r="F25" s="8"/>
      <c r="G25" s="118"/>
      <c r="H25" s="8"/>
      <c r="I25" s="90"/>
      <c r="J25" s="8"/>
      <c r="K25" s="75"/>
      <c r="L25" s="42"/>
      <c r="M25" s="42"/>
      <c r="O25" s="8"/>
      <c r="P25" s="90"/>
      <c r="Q25" s="8"/>
      <c r="R25" s="33"/>
      <c r="S25" s="8"/>
      <c r="T25" s="90"/>
      <c r="U25" s="8"/>
      <c r="V25" s="75"/>
      <c r="W25" s="42"/>
      <c r="X25" s="42"/>
    </row>
    <row r="26" spans="1:25" s="21" customFormat="1" hidden="1" outlineLevel="2" collapsed="1">
      <c r="A26" s="21">
        <v>1</v>
      </c>
      <c r="B26" s="22" t="s">
        <v>273</v>
      </c>
      <c r="C26" s="22"/>
      <c r="D26" s="8"/>
      <c r="E26" s="90"/>
      <c r="F26" s="8"/>
      <c r="G26" s="124">
        <f>SUM(K26:N26)</f>
        <v>8</v>
      </c>
      <c r="H26" s="8"/>
      <c r="I26" s="90"/>
      <c r="J26" s="8"/>
      <c r="K26" s="71">
        <f>COUNTA(K27:K30)</f>
        <v>4</v>
      </c>
      <c r="L26" s="71">
        <f>COUNTA(L27:L30)</f>
        <v>2</v>
      </c>
      <c r="M26" s="71">
        <f>COUNTA(M27:M30)</f>
        <v>1</v>
      </c>
      <c r="N26" s="71">
        <f>COUNTA(N27:N30)</f>
        <v>1</v>
      </c>
      <c r="O26" s="8"/>
      <c r="P26" s="90"/>
      <c r="Q26" s="8"/>
      <c r="R26" s="82">
        <f>SUM(V26:Y26)</f>
        <v>4.5575782431157039</v>
      </c>
      <c r="S26" s="8"/>
      <c r="T26" s="90"/>
      <c r="U26" s="8"/>
      <c r="V26" s="81">
        <f>SUM(V27:V30)</f>
        <v>1.6699454687045707</v>
      </c>
      <c r="W26" s="81">
        <f>SUM(W27:W30)</f>
        <v>1.6686944760866296</v>
      </c>
      <c r="X26" s="81">
        <f>SUM(X27:X30)</f>
        <v>0.91420372374337788</v>
      </c>
      <c r="Y26" s="81">
        <f>SUM(Y27:Y30)</f>
        <v>0.30473457458112602</v>
      </c>
    </row>
    <row r="27" spans="1:25" hidden="1" outlineLevel="3">
      <c r="B27" s="28"/>
      <c r="C27" s="29"/>
      <c r="D27" s="8"/>
      <c r="E27" s="90"/>
      <c r="F27" s="8"/>
      <c r="G27" s="118" t="s">
        <v>793</v>
      </c>
      <c r="H27" s="8"/>
      <c r="I27" s="90"/>
      <c r="J27" s="8"/>
      <c r="K27" s="99" t="s">
        <v>31</v>
      </c>
      <c r="L27" s="139" t="s">
        <v>632</v>
      </c>
      <c r="M27" s="40" t="s">
        <v>86</v>
      </c>
      <c r="N27" s="40" t="s">
        <v>87</v>
      </c>
      <c r="O27" s="8"/>
      <c r="P27" s="90"/>
      <c r="Q27" s="8"/>
      <c r="R27" s="33" t="s">
        <v>793</v>
      </c>
      <c r="S27" s="8"/>
      <c r="T27" s="90"/>
      <c r="U27" s="8"/>
      <c r="V27" s="109">
        <v>0.45100717038006649</v>
      </c>
      <c r="W27" s="110">
        <v>0.44975617776212545</v>
      </c>
      <c r="X27" s="111">
        <v>0.91420372374337788</v>
      </c>
      <c r="Y27" s="111">
        <v>0.30473457458112602</v>
      </c>
    </row>
    <row r="28" spans="1:25" hidden="1" outlineLevel="3">
      <c r="B28" s="28"/>
      <c r="C28" s="29"/>
      <c r="D28" s="8"/>
      <c r="E28" s="90"/>
      <c r="F28" s="8"/>
      <c r="G28" s="118" t="s">
        <v>793</v>
      </c>
      <c r="H28" s="8"/>
      <c r="I28" s="90"/>
      <c r="J28" s="8"/>
      <c r="K28" s="139" t="s">
        <v>32</v>
      </c>
      <c r="L28" s="40" t="s">
        <v>578</v>
      </c>
      <c r="M28" s="140"/>
      <c r="N28" s="40"/>
      <c r="O28" s="8"/>
      <c r="P28" s="90"/>
      <c r="Q28" s="8"/>
      <c r="R28" s="33" t="s">
        <v>793</v>
      </c>
      <c r="S28" s="8"/>
      <c r="T28" s="90"/>
      <c r="U28" s="8"/>
      <c r="V28" s="96">
        <v>0.60946914916225203</v>
      </c>
      <c r="W28" s="111">
        <v>1.2189382983245041</v>
      </c>
      <c r="X28" s="107"/>
      <c r="Y28" s="111"/>
    </row>
    <row r="29" spans="1:25" ht="27.6" hidden="1" outlineLevel="3">
      <c r="B29" s="28"/>
      <c r="C29" s="29"/>
      <c r="D29" s="8"/>
      <c r="E29" s="90"/>
      <c r="F29" s="8"/>
      <c r="G29" s="118" t="s">
        <v>793</v>
      </c>
      <c r="H29" s="8"/>
      <c r="I29" s="90"/>
      <c r="J29" s="8"/>
      <c r="K29" s="139" t="s">
        <v>1003</v>
      </c>
      <c r="L29" s="92"/>
      <c r="M29" s="140"/>
      <c r="N29" s="40"/>
      <c r="O29" s="8"/>
      <c r="P29" s="90"/>
      <c r="Q29" s="8"/>
      <c r="R29" s="33" t="s">
        <v>793</v>
      </c>
      <c r="S29" s="8"/>
      <c r="T29" s="90"/>
      <c r="U29" s="8"/>
      <c r="V29" s="96">
        <v>0.30473457458112602</v>
      </c>
      <c r="W29" s="108"/>
      <c r="X29" s="107"/>
      <c r="Y29" s="111"/>
    </row>
    <row r="30" spans="1:25" hidden="1" outlineLevel="3">
      <c r="B30" s="28"/>
      <c r="C30" s="29"/>
      <c r="D30" s="8"/>
      <c r="E30" s="90"/>
      <c r="F30" s="8"/>
      <c r="G30" s="118" t="s">
        <v>793</v>
      </c>
      <c r="H30" s="8"/>
      <c r="I30" s="90"/>
      <c r="J30" s="8"/>
      <c r="K30" s="139" t="s">
        <v>285</v>
      </c>
      <c r="L30" s="92"/>
      <c r="M30" s="140"/>
      <c r="N30" s="40"/>
      <c r="O30" s="8"/>
      <c r="P30" s="90"/>
      <c r="Q30" s="8"/>
      <c r="R30" s="33" t="s">
        <v>793</v>
      </c>
      <c r="S30" s="8"/>
      <c r="T30" s="90"/>
      <c r="U30" s="8"/>
      <c r="V30" s="96">
        <v>0.30473457458112602</v>
      </c>
      <c r="W30" s="108"/>
      <c r="X30" s="107"/>
      <c r="Y30" s="111"/>
    </row>
    <row r="31" spans="1:25" ht="3" hidden="1" customHeight="1" outlineLevel="2">
      <c r="B31" s="28"/>
      <c r="C31" s="29"/>
      <c r="D31" s="8"/>
      <c r="E31" s="90"/>
      <c r="F31" s="8"/>
      <c r="G31" s="118"/>
      <c r="H31" s="8"/>
      <c r="I31" s="90"/>
      <c r="J31" s="8"/>
      <c r="K31" s="75"/>
      <c r="L31" s="42"/>
      <c r="M31" s="42"/>
      <c r="N31" s="42"/>
      <c r="O31" s="8"/>
      <c r="P31" s="90"/>
      <c r="Q31" s="8"/>
      <c r="R31" s="33"/>
      <c r="S31" s="8"/>
      <c r="T31" s="90"/>
      <c r="U31" s="8"/>
      <c r="V31" s="75"/>
      <c r="W31" s="42"/>
      <c r="X31" s="42"/>
      <c r="Y31" s="42"/>
    </row>
    <row r="32" spans="1:25" s="21" customFormat="1" hidden="1" outlineLevel="2" collapsed="1">
      <c r="A32" s="21">
        <v>1</v>
      </c>
      <c r="B32" s="22" t="s">
        <v>1004</v>
      </c>
      <c r="C32" s="22"/>
      <c r="D32" s="8"/>
      <c r="E32" s="90"/>
      <c r="F32" s="8"/>
      <c r="G32" s="124">
        <f>SUM(K32:N32)</f>
        <v>6</v>
      </c>
      <c r="H32" s="8"/>
      <c r="I32" s="90"/>
      <c r="J32" s="8"/>
      <c r="K32" s="71">
        <f>COUNTA(K33:K35)</f>
        <v>1</v>
      </c>
      <c r="L32" s="71">
        <f>COUNTA(L33:L35)</f>
        <v>2</v>
      </c>
      <c r="M32" s="71">
        <f>COUNTA(M33:M35)</f>
        <v>2</v>
      </c>
      <c r="N32" s="71">
        <f>COUNTA(N33:N35)</f>
        <v>1</v>
      </c>
      <c r="O32" s="8"/>
      <c r="P32" s="90"/>
      <c r="Q32" s="8"/>
      <c r="R32" s="82">
        <f>SUM(V32:Y32)</f>
        <v>6.4562500000000016</v>
      </c>
      <c r="S32" s="8"/>
      <c r="T32" s="90"/>
      <c r="U32" s="8"/>
      <c r="V32" s="81">
        <f>SUM(V33:V35)</f>
        <v>1.0225000000000002</v>
      </c>
      <c r="W32" s="81">
        <f>SUM(W33:W35)</f>
        <v>2.0450000000000004</v>
      </c>
      <c r="X32" s="81">
        <f>SUM(X33:X35)</f>
        <v>1.5337500000000004</v>
      </c>
      <c r="Y32" s="81">
        <f>SUM(Y33:Y35)</f>
        <v>1.8550000000000002</v>
      </c>
    </row>
    <row r="33" spans="1:25" ht="27.6" hidden="1" outlineLevel="3">
      <c r="B33" s="28"/>
      <c r="C33" s="29"/>
      <c r="D33" s="8"/>
      <c r="E33" s="90"/>
      <c r="F33" s="8"/>
      <c r="G33" s="118" t="s">
        <v>793</v>
      </c>
      <c r="H33" s="8"/>
      <c r="I33" s="90"/>
      <c r="J33" s="8"/>
      <c r="K33" s="35" t="s">
        <v>284</v>
      </c>
      <c r="L33" s="99" t="s">
        <v>31</v>
      </c>
      <c r="M33" s="42" t="s">
        <v>170</v>
      </c>
      <c r="N33" s="42" t="s">
        <v>632</v>
      </c>
      <c r="O33" s="8"/>
      <c r="P33" s="90"/>
      <c r="Q33" s="8"/>
      <c r="R33" s="33" t="s">
        <v>793</v>
      </c>
      <c r="S33" s="8"/>
      <c r="T33" s="90"/>
      <c r="U33" s="8"/>
      <c r="V33" s="102">
        <v>1.0225000000000002</v>
      </c>
      <c r="W33" s="100">
        <v>1.0225000000000002</v>
      </c>
      <c r="X33" s="96">
        <v>0.51125000000000009</v>
      </c>
      <c r="Y33" s="96">
        <v>1.8550000000000002</v>
      </c>
    </row>
    <row r="34" spans="1:25" hidden="1" outlineLevel="3">
      <c r="B34" s="28"/>
      <c r="C34" s="29"/>
      <c r="D34" s="8"/>
      <c r="E34" s="90"/>
      <c r="F34" s="8"/>
      <c r="G34" s="118" t="s">
        <v>793</v>
      </c>
      <c r="H34" s="8"/>
      <c r="I34" s="90"/>
      <c r="J34" s="8"/>
      <c r="K34" s="35"/>
      <c r="L34" s="42" t="s">
        <v>32</v>
      </c>
      <c r="M34" s="42" t="s">
        <v>285</v>
      </c>
      <c r="N34" s="3"/>
      <c r="O34" s="8"/>
      <c r="P34" s="90"/>
      <c r="Q34" s="8"/>
      <c r="R34" s="33" t="s">
        <v>793</v>
      </c>
      <c r="S34" s="8"/>
      <c r="T34" s="90"/>
      <c r="U34" s="8"/>
      <c r="V34" s="102"/>
      <c r="W34" s="96">
        <v>1.0225000000000002</v>
      </c>
      <c r="X34" s="96">
        <v>1.0225000000000002</v>
      </c>
      <c r="Y34" s="97"/>
    </row>
    <row r="35" spans="1:25" hidden="1" outlineLevel="3">
      <c r="B35" s="28"/>
      <c r="C35" s="29"/>
      <c r="D35" s="8"/>
      <c r="E35" s="90"/>
      <c r="F35" s="8"/>
      <c r="G35" s="118" t="s">
        <v>793</v>
      </c>
      <c r="H35" s="8"/>
      <c r="I35" s="90"/>
      <c r="J35" s="8"/>
      <c r="K35" s="35"/>
      <c r="L35" s="42"/>
      <c r="M35" s="74"/>
      <c r="N35" s="74"/>
      <c r="O35" s="8"/>
      <c r="P35" s="90"/>
      <c r="Q35" s="8"/>
      <c r="R35" s="33" t="s">
        <v>793</v>
      </c>
      <c r="S35" s="8"/>
      <c r="T35" s="90"/>
      <c r="U35" s="8"/>
      <c r="V35" s="102"/>
      <c r="W35" s="96"/>
      <c r="X35" s="108"/>
      <c r="Y35" s="108"/>
    </row>
    <row r="36" spans="1:25" ht="3" hidden="1" customHeight="1" outlineLevel="2">
      <c r="B36" s="28"/>
      <c r="C36" s="29"/>
      <c r="D36" s="8"/>
      <c r="E36" s="90"/>
      <c r="F36" s="8"/>
      <c r="G36" s="118"/>
      <c r="H36" s="8"/>
      <c r="I36" s="90"/>
      <c r="J36" s="8"/>
      <c r="K36" s="75"/>
      <c r="L36" s="42"/>
      <c r="M36" s="42"/>
      <c r="N36" s="42"/>
      <c r="O36" s="8"/>
      <c r="P36" s="90"/>
      <c r="Q36" s="8"/>
      <c r="R36" s="33"/>
      <c r="S36" s="8"/>
      <c r="T36" s="90"/>
      <c r="U36" s="8"/>
      <c r="V36" s="75"/>
      <c r="W36" s="42"/>
      <c r="X36" s="42"/>
      <c r="Y36" s="42"/>
    </row>
    <row r="37" spans="1:25" s="21" customFormat="1" hidden="1" outlineLevel="2" collapsed="1">
      <c r="A37" s="21">
        <v>1</v>
      </c>
      <c r="B37" s="22" t="s">
        <v>622</v>
      </c>
      <c r="C37" s="22"/>
      <c r="D37" s="8"/>
      <c r="E37" s="90"/>
      <c r="F37" s="8"/>
      <c r="G37" s="124">
        <f>SUM(K37:N37)</f>
        <v>6</v>
      </c>
      <c r="H37" s="8"/>
      <c r="I37" s="90"/>
      <c r="J37" s="8"/>
      <c r="K37" s="71">
        <f>COUNTA(K38:K39)</f>
        <v>1</v>
      </c>
      <c r="L37" s="71">
        <f>COUNTA(L38:L39)</f>
        <v>2</v>
      </c>
      <c r="M37" s="71">
        <f>COUNTA(M38:M39)</f>
        <v>2</v>
      </c>
      <c r="N37" s="71">
        <f>COUNTA(N38:N39)</f>
        <v>1</v>
      </c>
      <c r="O37" s="8"/>
      <c r="P37" s="90"/>
      <c r="Q37" s="8"/>
      <c r="R37" s="82">
        <f>SUM(V37:Y37)</f>
        <v>6.3087500000000007</v>
      </c>
      <c r="S37" s="8"/>
      <c r="T37" s="90"/>
      <c r="U37" s="8"/>
      <c r="V37" s="81">
        <f>SUM(V38:V40)</f>
        <v>0.77750000000000008</v>
      </c>
      <c r="W37" s="81">
        <f>SUM(W38:W40)</f>
        <v>2.9600000000000004</v>
      </c>
      <c r="X37" s="81">
        <f>SUM(X38:X40)</f>
        <v>2.1825000000000001</v>
      </c>
      <c r="Y37" s="81">
        <f>SUM(Y38:Y40)</f>
        <v>0.38875000000000004</v>
      </c>
    </row>
    <row r="38" spans="1:25" ht="27.6" hidden="1" outlineLevel="3">
      <c r="B38" s="28"/>
      <c r="C38" s="29"/>
      <c r="D38" s="8"/>
      <c r="E38" s="90"/>
      <c r="F38" s="8"/>
      <c r="G38" s="118" t="s">
        <v>793</v>
      </c>
      <c r="H38" s="8"/>
      <c r="I38" s="90"/>
      <c r="J38" s="8"/>
      <c r="K38" s="35" t="s">
        <v>284</v>
      </c>
      <c r="L38" s="99" t="s">
        <v>31</v>
      </c>
      <c r="M38" s="42" t="s">
        <v>632</v>
      </c>
      <c r="N38" s="42" t="s">
        <v>170</v>
      </c>
      <c r="O38" s="8"/>
      <c r="P38" s="90"/>
      <c r="Q38" s="8"/>
      <c r="R38" s="33" t="s">
        <v>793</v>
      </c>
      <c r="S38" s="8"/>
      <c r="T38" s="90"/>
      <c r="U38" s="8"/>
      <c r="V38" s="102">
        <v>0.77750000000000008</v>
      </c>
      <c r="W38" s="100">
        <v>1.4050000000000002</v>
      </c>
      <c r="X38" s="96">
        <v>1.4050000000000002</v>
      </c>
      <c r="Y38" s="96">
        <v>0.38875000000000004</v>
      </c>
    </row>
    <row r="39" spans="1:25" hidden="1" outlineLevel="3">
      <c r="B39" s="28"/>
      <c r="C39" s="29"/>
      <c r="D39" s="8"/>
      <c r="E39" s="90"/>
      <c r="F39" s="8"/>
      <c r="G39" s="118" t="s">
        <v>793</v>
      </c>
      <c r="H39" s="8"/>
      <c r="I39" s="90"/>
      <c r="J39" s="8"/>
      <c r="K39" s="35"/>
      <c r="L39" s="42" t="s">
        <v>32</v>
      </c>
      <c r="M39" s="42" t="s">
        <v>285</v>
      </c>
      <c r="N39" s="3"/>
      <c r="O39" s="8"/>
      <c r="P39" s="90"/>
      <c r="Q39" s="8"/>
      <c r="R39" s="33" t="s">
        <v>793</v>
      </c>
      <c r="S39" s="8"/>
      <c r="T39" s="90"/>
      <c r="U39" s="8"/>
      <c r="V39" s="102"/>
      <c r="W39" s="96">
        <v>1.5550000000000002</v>
      </c>
      <c r="X39" s="96">
        <v>0.77750000000000008</v>
      </c>
      <c r="Y39" s="97"/>
    </row>
    <row r="40" spans="1:25" ht="3" hidden="1" customHeight="1" outlineLevel="2">
      <c r="B40" s="28"/>
      <c r="C40" s="29"/>
      <c r="D40" s="8"/>
      <c r="E40" s="90"/>
      <c r="F40" s="8"/>
      <c r="G40" s="118"/>
      <c r="H40" s="8"/>
      <c r="I40" s="90"/>
      <c r="J40" s="8"/>
      <c r="K40" s="75"/>
      <c r="L40" s="42"/>
      <c r="M40" s="42"/>
      <c r="N40" s="42"/>
      <c r="O40" s="8"/>
      <c r="P40" s="90"/>
      <c r="Q40" s="8"/>
      <c r="R40" s="33"/>
      <c r="S40" s="8"/>
      <c r="T40" s="90"/>
      <c r="U40" s="8"/>
      <c r="V40" s="75"/>
      <c r="W40" s="42"/>
      <c r="X40" s="42"/>
      <c r="Y40" s="42"/>
    </row>
    <row r="41" spans="1:25" s="21" customFormat="1" hidden="1" outlineLevel="2" collapsed="1">
      <c r="A41" s="21">
        <v>1</v>
      </c>
      <c r="B41" s="22" t="s">
        <v>265</v>
      </c>
      <c r="C41" s="22"/>
      <c r="D41" s="8"/>
      <c r="E41" s="90"/>
      <c r="F41" s="8"/>
      <c r="G41" s="124">
        <f>SUM(K41:N41)</f>
        <v>6</v>
      </c>
      <c r="H41" s="8"/>
      <c r="I41" s="90"/>
      <c r="J41" s="8"/>
      <c r="K41" s="71">
        <f>COUNTA(K42:K43)</f>
        <v>1</v>
      </c>
      <c r="L41" s="71">
        <f>COUNTA(L42:L43)</f>
        <v>2</v>
      </c>
      <c r="M41" s="71">
        <f>COUNTA(M42:M43)</f>
        <v>2</v>
      </c>
      <c r="N41" s="71">
        <f>COUNTA(N42:N43)</f>
        <v>1</v>
      </c>
      <c r="O41" s="8"/>
      <c r="P41" s="90"/>
      <c r="Q41" s="8"/>
      <c r="R41" s="82">
        <f>SUM(V41:Y41)</f>
        <v>2.2047750000000002</v>
      </c>
      <c r="S41" s="152"/>
      <c r="T41" s="154"/>
      <c r="U41" s="152"/>
      <c r="V41" s="81">
        <f>SUM(V42:V44)</f>
        <v>0.244975</v>
      </c>
      <c r="W41" s="81">
        <f>SUM(W42:W44)</f>
        <v>0.97989999999999999</v>
      </c>
      <c r="X41" s="81">
        <f>SUM(X42:X44)</f>
        <v>0.73492500000000005</v>
      </c>
      <c r="Y41" s="81">
        <f>SUM(Y42:Y44)</f>
        <v>0.244975</v>
      </c>
    </row>
    <row r="42" spans="1:25" ht="27.6" hidden="1" outlineLevel="3">
      <c r="B42" s="28"/>
      <c r="C42" s="29"/>
      <c r="D42" s="8"/>
      <c r="E42" s="90"/>
      <c r="F42" s="8"/>
      <c r="G42" s="118" t="s">
        <v>793</v>
      </c>
      <c r="H42" s="8"/>
      <c r="I42" s="90"/>
      <c r="J42" s="8"/>
      <c r="K42" s="35" t="s">
        <v>284</v>
      </c>
      <c r="L42" s="99" t="s">
        <v>31</v>
      </c>
      <c r="M42" s="42" t="s">
        <v>632</v>
      </c>
      <c r="N42" s="42" t="s">
        <v>170</v>
      </c>
      <c r="O42" s="8"/>
      <c r="P42" s="90"/>
      <c r="Q42" s="8"/>
      <c r="R42" s="33" t="s">
        <v>793</v>
      </c>
      <c r="S42" s="8"/>
      <c r="T42" s="90"/>
      <c r="U42" s="8"/>
      <c r="V42" s="102">
        <v>0.244975</v>
      </c>
      <c r="W42" s="100">
        <v>0.48995</v>
      </c>
      <c r="X42" s="96">
        <v>0.48995</v>
      </c>
      <c r="Y42" s="96">
        <v>0.244975</v>
      </c>
    </row>
    <row r="43" spans="1:25" hidden="1" outlineLevel="3">
      <c r="B43" s="28"/>
      <c r="C43" s="29"/>
      <c r="D43" s="8"/>
      <c r="E43" s="90"/>
      <c r="F43" s="8"/>
      <c r="G43" s="118"/>
      <c r="H43" s="8"/>
      <c r="I43" s="90"/>
      <c r="J43" s="8"/>
      <c r="K43" s="35"/>
      <c r="L43" s="42" t="s">
        <v>32</v>
      </c>
      <c r="M43" s="42" t="s">
        <v>285</v>
      </c>
      <c r="N43" s="3"/>
      <c r="O43" s="8"/>
      <c r="P43" s="90"/>
      <c r="Q43" s="8"/>
      <c r="R43" s="33"/>
      <c r="S43" s="8"/>
      <c r="T43" s="90"/>
      <c r="U43" s="8"/>
      <c r="V43" s="102"/>
      <c r="W43" s="96">
        <v>0.48995</v>
      </c>
      <c r="X43" s="96">
        <v>0.244975</v>
      </c>
      <c r="Y43" s="97"/>
    </row>
    <row r="44" spans="1:25" ht="3" hidden="1" customHeight="1" outlineLevel="2">
      <c r="B44" s="28"/>
      <c r="C44" s="29"/>
      <c r="D44" s="8"/>
      <c r="E44" s="90"/>
      <c r="F44" s="8"/>
      <c r="G44" s="118"/>
      <c r="H44" s="8"/>
      <c r="I44" s="90"/>
      <c r="J44" s="8"/>
      <c r="K44" s="75"/>
      <c r="O44" s="8"/>
      <c r="P44" s="90"/>
      <c r="Q44" s="8"/>
      <c r="R44" s="33"/>
      <c r="S44" s="8"/>
      <c r="T44" s="90"/>
      <c r="U44" s="8"/>
      <c r="V44" s="75"/>
    </row>
    <row r="45" spans="1:25" s="21" customFormat="1" hidden="1" outlineLevel="2" collapsed="1">
      <c r="A45" s="21">
        <v>1</v>
      </c>
      <c r="B45" s="22" t="s">
        <v>797</v>
      </c>
      <c r="C45" s="22"/>
      <c r="D45" s="8"/>
      <c r="E45" s="90"/>
      <c r="F45" s="8"/>
      <c r="G45" s="124">
        <f>SUM(K45:N45)</f>
        <v>2</v>
      </c>
      <c r="H45" s="8"/>
      <c r="I45" s="90"/>
      <c r="J45" s="8"/>
      <c r="K45" s="71">
        <f>COUNTA(K46:K47)</f>
        <v>0</v>
      </c>
      <c r="L45" s="71">
        <f>COUNTA(L46:L47)</f>
        <v>0</v>
      </c>
      <c r="M45" s="71">
        <f>COUNTA(M46:M47)</f>
        <v>1</v>
      </c>
      <c r="N45" s="71">
        <f>COUNTA(N46:N47)</f>
        <v>1</v>
      </c>
      <c r="O45" s="8"/>
      <c r="P45" s="90"/>
      <c r="Q45" s="8"/>
      <c r="R45" s="82">
        <f>SUM(V45:Y45)</f>
        <v>0.8</v>
      </c>
      <c r="S45" s="8"/>
      <c r="T45" s="90"/>
      <c r="U45" s="8"/>
      <c r="V45" s="81">
        <f>SUM(V46:V47)</f>
        <v>0</v>
      </c>
      <c r="W45" s="81">
        <f>SUM(W46:W47)</f>
        <v>0</v>
      </c>
      <c r="X45" s="81">
        <f>SUM(X46:X47)</f>
        <v>0.4</v>
      </c>
      <c r="Y45" s="81">
        <f>SUM(Y46:Y47)</f>
        <v>0.4</v>
      </c>
    </row>
    <row r="46" spans="1:25" hidden="1" outlineLevel="3">
      <c r="B46" s="28"/>
      <c r="C46" s="29"/>
      <c r="D46" s="8"/>
      <c r="E46" s="90"/>
      <c r="F46" s="8"/>
      <c r="G46" s="118" t="s">
        <v>793</v>
      </c>
      <c r="H46" s="8"/>
      <c r="I46" s="90"/>
      <c r="J46" s="8"/>
      <c r="K46" s="3"/>
      <c r="L46" s="36"/>
      <c r="M46" s="36" t="s">
        <v>31</v>
      </c>
      <c r="N46" s="36" t="s">
        <v>33</v>
      </c>
      <c r="O46" s="8"/>
      <c r="P46" s="90"/>
      <c r="Q46" s="8"/>
      <c r="R46" s="33" t="s">
        <v>793</v>
      </c>
      <c r="S46" s="8"/>
      <c r="T46" s="90"/>
      <c r="U46" s="8"/>
      <c r="V46" s="102"/>
      <c r="W46" s="36"/>
      <c r="X46" s="36">
        <v>0.4</v>
      </c>
      <c r="Y46" s="36">
        <v>0.4</v>
      </c>
    </row>
    <row r="47" spans="1:25" hidden="1" outlineLevel="3">
      <c r="B47" s="28"/>
      <c r="C47" s="29"/>
      <c r="D47" s="8"/>
      <c r="E47" s="90"/>
      <c r="F47" s="8"/>
      <c r="G47" s="118" t="s">
        <v>793</v>
      </c>
      <c r="H47" s="8"/>
      <c r="I47" s="90"/>
      <c r="J47" s="8"/>
      <c r="K47" s="3"/>
      <c r="M47" s="73"/>
      <c r="N47" s="36"/>
      <c r="O47" s="8"/>
      <c r="P47" s="90"/>
      <c r="Q47" s="8"/>
      <c r="R47" s="33"/>
      <c r="S47" s="8"/>
      <c r="T47" s="90"/>
      <c r="U47" s="8"/>
      <c r="V47" s="97"/>
      <c r="X47" s="73"/>
      <c r="Y47" s="36"/>
    </row>
    <row r="48" spans="1:25" ht="3" hidden="1" customHeight="1" outlineLevel="2">
      <c r="S48" s="5"/>
      <c r="T48" s="26"/>
      <c r="U48" s="5"/>
    </row>
    <row r="49" spans="1:25" s="21" customFormat="1" hidden="1" outlineLevel="2" collapsed="1">
      <c r="A49" s="21">
        <v>1</v>
      </c>
      <c r="B49" s="22" t="s">
        <v>996</v>
      </c>
      <c r="C49" s="22"/>
      <c r="D49" s="8"/>
      <c r="E49" s="90"/>
      <c r="F49" s="8"/>
      <c r="G49" s="124">
        <f>SUM(K49:N49)</f>
        <v>6</v>
      </c>
      <c r="H49" s="8"/>
      <c r="I49" s="90"/>
      <c r="J49" s="8"/>
      <c r="K49" s="71">
        <f>COUNTA(K50:K51)</f>
        <v>2</v>
      </c>
      <c r="L49" s="71">
        <f>COUNTA(L50:L51)</f>
        <v>2</v>
      </c>
      <c r="M49" s="71">
        <f>COUNTA(M50:M51)</f>
        <v>1</v>
      </c>
      <c r="N49" s="71">
        <f>COUNTA(N50:N51)</f>
        <v>1</v>
      </c>
      <c r="O49" s="8"/>
      <c r="P49" s="90"/>
      <c r="Q49" s="8"/>
      <c r="R49" s="82">
        <f>SUM(V49:Y49)</f>
        <v>3.8150000000000004</v>
      </c>
      <c r="S49" s="8"/>
      <c r="T49" s="90"/>
      <c r="U49" s="8"/>
      <c r="V49" s="81">
        <f>SUM(V50:V51)</f>
        <v>1.32</v>
      </c>
      <c r="W49" s="81">
        <f>SUM(W50:W51)</f>
        <v>1.4100000000000001</v>
      </c>
      <c r="X49" s="81">
        <f>SUM(X50:X51)</f>
        <v>0.85000000000000009</v>
      </c>
      <c r="Y49" s="81">
        <f>SUM(Y50:Y51)</f>
        <v>0.23500000000000001</v>
      </c>
    </row>
    <row r="50" spans="1:25" hidden="1" outlineLevel="3">
      <c r="B50" s="28"/>
      <c r="C50" s="29"/>
      <c r="D50" s="8"/>
      <c r="E50" s="90"/>
      <c r="F50" s="8"/>
      <c r="G50" s="118" t="s">
        <v>793</v>
      </c>
      <c r="H50" s="8"/>
      <c r="I50" s="90"/>
      <c r="J50" s="8"/>
      <c r="K50" s="36" t="s">
        <v>284</v>
      </c>
      <c r="L50" s="36" t="s">
        <v>285</v>
      </c>
      <c r="M50" s="36" t="s">
        <v>33</v>
      </c>
      <c r="N50" s="36" t="s">
        <v>326</v>
      </c>
      <c r="O50" s="8"/>
      <c r="P50" s="90"/>
      <c r="Q50" s="8"/>
      <c r="R50" s="33" t="s">
        <v>793</v>
      </c>
      <c r="S50" s="8"/>
      <c r="T50" s="90"/>
      <c r="U50" s="8"/>
      <c r="V50" s="103">
        <v>0.47000000000000003</v>
      </c>
      <c r="W50" s="103">
        <v>0.47000000000000003</v>
      </c>
      <c r="X50" s="103">
        <v>0.85000000000000009</v>
      </c>
      <c r="Y50" s="103">
        <v>0.23500000000000001</v>
      </c>
    </row>
    <row r="51" spans="1:25" hidden="1" outlineLevel="3">
      <c r="B51" s="28"/>
      <c r="C51" s="29"/>
      <c r="D51" s="8"/>
      <c r="E51" s="90"/>
      <c r="F51" s="8"/>
      <c r="G51" s="118" t="s">
        <v>793</v>
      </c>
      <c r="H51" s="8"/>
      <c r="I51" s="90"/>
      <c r="J51" s="8"/>
      <c r="K51" s="36" t="s">
        <v>31</v>
      </c>
      <c r="L51" s="36" t="s">
        <v>32</v>
      </c>
      <c r="M51" s="3"/>
      <c r="N51" s="3"/>
      <c r="O51" s="8"/>
      <c r="P51" s="90"/>
      <c r="Q51" s="8"/>
      <c r="R51" s="33" t="s">
        <v>793</v>
      </c>
      <c r="S51" s="8"/>
      <c r="T51" s="90"/>
      <c r="U51" s="8"/>
      <c r="V51" s="103">
        <v>0.85000000000000009</v>
      </c>
      <c r="W51" s="103">
        <v>0.94000000000000006</v>
      </c>
      <c r="X51" s="97"/>
      <c r="Y51" s="97"/>
    </row>
    <row r="52" spans="1:25" ht="3" hidden="1" customHeight="1" outlineLevel="2">
      <c r="B52" s="28"/>
      <c r="C52" s="29"/>
      <c r="D52" s="8"/>
      <c r="E52" s="90"/>
      <c r="F52" s="8"/>
      <c r="G52" s="118"/>
      <c r="H52" s="8"/>
      <c r="I52" s="90"/>
      <c r="J52" s="8"/>
      <c r="K52" s="75"/>
      <c r="O52" s="8"/>
      <c r="P52" s="90"/>
      <c r="Q52" s="8"/>
      <c r="R52" s="33"/>
      <c r="S52" s="8"/>
      <c r="T52" s="90"/>
      <c r="U52" s="8"/>
      <c r="V52" s="75"/>
    </row>
    <row r="53" spans="1:25" s="21" customFormat="1" hidden="1" outlineLevel="2" collapsed="1">
      <c r="A53" s="21">
        <v>1</v>
      </c>
      <c r="B53" s="22" t="s">
        <v>891</v>
      </c>
      <c r="C53" s="22"/>
      <c r="D53" s="8"/>
      <c r="E53" s="90"/>
      <c r="F53" s="8"/>
      <c r="G53" s="124">
        <f>SUM(K53:N53)</f>
        <v>6</v>
      </c>
      <c r="H53" s="8"/>
      <c r="I53" s="90"/>
      <c r="J53" s="8"/>
      <c r="K53" s="71">
        <f>COUNTA(K54:K55)</f>
        <v>2</v>
      </c>
      <c r="L53" s="71">
        <f>COUNTA(L54:L55)</f>
        <v>2</v>
      </c>
      <c r="M53" s="71">
        <f>COUNTA(M54:M55)</f>
        <v>1</v>
      </c>
      <c r="N53" s="71">
        <f>COUNTA(N54:N55)</f>
        <v>1</v>
      </c>
      <c r="O53" s="8"/>
      <c r="P53" s="90"/>
      <c r="Q53" s="8"/>
      <c r="R53" s="82">
        <f>SUM(V53:Y53)</f>
        <v>1.6300000000000001</v>
      </c>
      <c r="S53" s="8"/>
      <c r="T53" s="90"/>
      <c r="U53" s="8"/>
      <c r="V53" s="81">
        <f>SUM(V54:V55)</f>
        <v>0.56500000000000006</v>
      </c>
      <c r="W53" s="81">
        <f>SUM(W54:W55)</f>
        <v>0.60000000000000009</v>
      </c>
      <c r="X53" s="81">
        <f>SUM(X54:X55)</f>
        <v>0.36500000000000005</v>
      </c>
      <c r="Y53" s="81">
        <f>SUM(Y54:Y55)</f>
        <v>0.1</v>
      </c>
    </row>
    <row r="54" spans="1:25" hidden="1" outlineLevel="3">
      <c r="B54" s="28"/>
      <c r="C54" s="29"/>
      <c r="D54" s="8"/>
      <c r="E54" s="90"/>
      <c r="F54" s="8"/>
      <c r="G54" s="118" t="s">
        <v>793</v>
      </c>
      <c r="H54" s="8"/>
      <c r="I54" s="90"/>
      <c r="J54" s="8"/>
      <c r="K54" s="36" t="s">
        <v>284</v>
      </c>
      <c r="L54" s="36" t="s">
        <v>285</v>
      </c>
      <c r="M54" s="36" t="s">
        <v>33</v>
      </c>
      <c r="N54" s="36" t="s">
        <v>326</v>
      </c>
      <c r="O54" s="8"/>
      <c r="P54" s="90"/>
      <c r="Q54" s="8"/>
      <c r="R54" s="33" t="s">
        <v>793</v>
      </c>
      <c r="S54" s="8"/>
      <c r="T54" s="90"/>
      <c r="U54" s="8"/>
      <c r="V54" s="103">
        <v>0.2</v>
      </c>
      <c r="W54" s="103">
        <v>0.2</v>
      </c>
      <c r="X54" s="103">
        <v>0.36500000000000005</v>
      </c>
      <c r="Y54" s="103">
        <v>0.1</v>
      </c>
    </row>
    <row r="55" spans="1:25" hidden="1" outlineLevel="3">
      <c r="B55" s="28"/>
      <c r="C55" s="29"/>
      <c r="D55" s="8"/>
      <c r="E55" s="90"/>
      <c r="F55" s="8"/>
      <c r="G55" s="118" t="s">
        <v>793</v>
      </c>
      <c r="H55" s="8"/>
      <c r="I55" s="90"/>
      <c r="J55" s="8"/>
      <c r="K55" s="36" t="s">
        <v>31</v>
      </c>
      <c r="L55" s="36" t="s">
        <v>32</v>
      </c>
      <c r="M55" s="3"/>
      <c r="N55" s="3"/>
      <c r="O55" s="8"/>
      <c r="P55" s="90"/>
      <c r="Q55" s="8"/>
      <c r="R55" s="33" t="s">
        <v>793</v>
      </c>
      <c r="S55" s="8"/>
      <c r="T55" s="90"/>
      <c r="U55" s="8"/>
      <c r="V55" s="103">
        <v>0.36500000000000005</v>
      </c>
      <c r="W55" s="103">
        <v>0.4</v>
      </c>
      <c r="X55" s="97"/>
      <c r="Y55" s="97"/>
    </row>
    <row r="56" spans="1:25" ht="3" hidden="1" customHeight="1" outlineLevel="2">
      <c r="B56" s="28"/>
      <c r="C56" s="29"/>
      <c r="D56" s="8"/>
      <c r="E56" s="90"/>
      <c r="F56" s="8"/>
      <c r="G56" s="118"/>
      <c r="H56" s="8"/>
      <c r="I56" s="90"/>
      <c r="J56" s="8"/>
      <c r="K56" s="75"/>
      <c r="O56" s="8"/>
      <c r="P56" s="90"/>
      <c r="Q56" s="8"/>
      <c r="R56" s="33"/>
      <c r="S56" s="8"/>
      <c r="T56" s="90"/>
      <c r="U56" s="8"/>
      <c r="V56" s="75"/>
    </row>
    <row r="57" spans="1:25" s="21" customFormat="1" hidden="1" outlineLevel="2" collapsed="1">
      <c r="A57" s="21">
        <v>1</v>
      </c>
      <c r="B57" s="22" t="s">
        <v>1005</v>
      </c>
      <c r="C57" s="22"/>
      <c r="D57" s="8"/>
      <c r="E57" s="90"/>
      <c r="F57" s="8"/>
      <c r="G57" s="124">
        <f>SUM(K57:N57)</f>
        <v>5</v>
      </c>
      <c r="H57" s="8"/>
      <c r="I57" s="90"/>
      <c r="J57" s="8"/>
      <c r="K57" s="71">
        <f>COUNTA(K58:K60)</f>
        <v>0</v>
      </c>
      <c r="L57" s="71">
        <f>COUNTA(L58:L60)</f>
        <v>1</v>
      </c>
      <c r="M57" s="71">
        <f>COUNTA(M58:M59)</f>
        <v>2</v>
      </c>
      <c r="N57" s="71">
        <f>COUNTA(N58:N59)</f>
        <v>2</v>
      </c>
      <c r="O57" s="8"/>
      <c r="P57" s="90"/>
      <c r="Q57" s="8"/>
      <c r="R57" s="23">
        <f>SUM(V57:Y57)</f>
        <v>15.840000000000002</v>
      </c>
      <c r="S57" s="8"/>
      <c r="T57" s="90"/>
      <c r="U57" s="8"/>
      <c r="V57" s="71">
        <f>SUM(V58:V60)</f>
        <v>0</v>
      </c>
      <c r="W57" s="71">
        <f>SUM(W58:W60)</f>
        <v>3.5200000000000005</v>
      </c>
      <c r="X57" s="71">
        <f>SUM(X58:X60)</f>
        <v>5.2800000000000011</v>
      </c>
      <c r="Y57" s="71">
        <f>SUM(Y58:Y60)</f>
        <v>7.0400000000000009</v>
      </c>
    </row>
    <row r="58" spans="1:25" hidden="1" outlineLevel="3">
      <c r="B58" s="28"/>
      <c r="C58" s="29"/>
      <c r="D58" s="8"/>
      <c r="E58" s="90"/>
      <c r="F58" s="8"/>
      <c r="G58" s="118" t="s">
        <v>793</v>
      </c>
      <c r="H58" s="8"/>
      <c r="I58" s="90"/>
      <c r="J58" s="8"/>
      <c r="K58" s="3"/>
      <c r="L58" s="36" t="s">
        <v>284</v>
      </c>
      <c r="M58" s="36" t="s">
        <v>31</v>
      </c>
      <c r="N58" s="36" t="s">
        <v>33</v>
      </c>
      <c r="O58" s="8"/>
      <c r="P58" s="90"/>
      <c r="Q58" s="8"/>
      <c r="R58" s="33"/>
      <c r="S58" s="8"/>
      <c r="T58" s="90"/>
      <c r="U58" s="8"/>
      <c r="V58" s="35"/>
      <c r="W58" s="35">
        <v>3.5200000000000005</v>
      </c>
      <c r="X58" s="65">
        <v>3.5200000000000005</v>
      </c>
      <c r="Y58" s="65">
        <v>3.5200000000000005</v>
      </c>
    </row>
    <row r="59" spans="1:25" hidden="1" outlineLevel="3">
      <c r="B59" s="28"/>
      <c r="C59" s="29"/>
      <c r="D59" s="8"/>
      <c r="E59" s="90"/>
      <c r="F59" s="8"/>
      <c r="G59" s="118"/>
      <c r="H59" s="8"/>
      <c r="I59" s="90"/>
      <c r="J59" s="8"/>
      <c r="K59" s="3"/>
      <c r="L59" s="36"/>
      <c r="M59" s="36" t="s">
        <v>32</v>
      </c>
      <c r="N59" s="36" t="s">
        <v>285</v>
      </c>
      <c r="O59" s="8"/>
      <c r="P59" s="90"/>
      <c r="Q59" s="8"/>
      <c r="R59" s="33"/>
      <c r="S59" s="8"/>
      <c r="T59" s="90"/>
      <c r="U59" s="8"/>
      <c r="V59" s="35"/>
      <c r="W59" s="35"/>
      <c r="X59" s="73">
        <v>1.7600000000000002</v>
      </c>
      <c r="Y59" s="73">
        <v>1.7600000000000002</v>
      </c>
    </row>
    <row r="60" spans="1:25" hidden="1" outlineLevel="3">
      <c r="B60" s="28"/>
      <c r="C60" s="29"/>
      <c r="D60" s="8"/>
      <c r="E60" s="90"/>
      <c r="F60" s="8"/>
      <c r="G60" s="118" t="s">
        <v>793</v>
      </c>
      <c r="H60" s="8"/>
      <c r="I60" s="90"/>
      <c r="J60" s="8"/>
      <c r="K60" s="3"/>
      <c r="M60" s="3"/>
      <c r="N60" s="3" t="s">
        <v>326</v>
      </c>
      <c r="O60" s="8"/>
      <c r="P60" s="90"/>
      <c r="Q60" s="8"/>
      <c r="R60" s="33"/>
      <c r="S60" s="8"/>
      <c r="T60" s="90"/>
      <c r="U60" s="8"/>
      <c r="V60" s="3"/>
      <c r="W60" s="35"/>
      <c r="Y60" s="73">
        <v>1.7600000000000002</v>
      </c>
    </row>
    <row r="61" spans="1:25" ht="3" hidden="1" customHeight="1" outlineLevel="2">
      <c r="B61" s="28"/>
      <c r="C61" s="29"/>
      <c r="D61" s="8"/>
      <c r="E61" s="90"/>
      <c r="F61" s="8"/>
      <c r="G61" s="118"/>
      <c r="H61" s="8"/>
      <c r="I61" s="90"/>
      <c r="J61" s="8"/>
      <c r="K61" s="75"/>
      <c r="O61" s="8"/>
      <c r="P61" s="90"/>
      <c r="Q61" s="8"/>
      <c r="R61" s="33"/>
      <c r="S61" s="8"/>
      <c r="T61" s="90"/>
      <c r="U61" s="8"/>
      <c r="V61" s="75"/>
    </row>
    <row r="62" spans="1:25" s="21" customFormat="1" hidden="1" outlineLevel="2" collapsed="1">
      <c r="A62" s="21">
        <v>1</v>
      </c>
      <c r="B62" s="22" t="s">
        <v>379</v>
      </c>
      <c r="C62" s="22"/>
      <c r="D62" s="8"/>
      <c r="E62" s="90"/>
      <c r="F62" s="8"/>
      <c r="G62" s="124">
        <f>SUM(K62:N62)</f>
        <v>7</v>
      </c>
      <c r="H62" s="8"/>
      <c r="I62" s="90"/>
      <c r="J62" s="8"/>
      <c r="K62" s="71">
        <f>COUNTA(K63:K64)</f>
        <v>2</v>
      </c>
      <c r="L62" s="71">
        <f>COUNTA(L63:L64)</f>
        <v>2</v>
      </c>
      <c r="M62" s="71">
        <f>COUNTA(M63:M64)</f>
        <v>2</v>
      </c>
      <c r="N62" s="71">
        <f>COUNTA(N63:N64)</f>
        <v>1</v>
      </c>
      <c r="O62" s="8"/>
      <c r="P62" s="90"/>
      <c r="Q62" s="8"/>
      <c r="R62" s="82">
        <f>SUM(V62:Y62)</f>
        <v>6.4012500000000001</v>
      </c>
      <c r="S62" s="8"/>
      <c r="T62" s="90"/>
      <c r="U62" s="8"/>
      <c r="V62" s="81">
        <f>SUM(V63:V64)</f>
        <v>1.42</v>
      </c>
      <c r="W62" s="81">
        <f>SUM(W63:W64)</f>
        <v>1.57</v>
      </c>
      <c r="X62" s="81">
        <f>SUM(X63:X64)</f>
        <v>1.1612500000000001</v>
      </c>
      <c r="Y62" s="81">
        <f>SUM(Y63:Y64)</f>
        <v>2.25</v>
      </c>
    </row>
    <row r="63" spans="1:25" hidden="1" outlineLevel="3">
      <c r="B63" s="28"/>
      <c r="C63" s="29"/>
      <c r="D63" s="8"/>
      <c r="E63" s="90"/>
      <c r="F63" s="8"/>
      <c r="G63" s="118" t="s">
        <v>793</v>
      </c>
      <c r="H63" s="8"/>
      <c r="I63" s="90"/>
      <c r="J63" s="8"/>
      <c r="K63" s="36" t="s">
        <v>284</v>
      </c>
      <c r="L63" s="36" t="s">
        <v>285</v>
      </c>
      <c r="M63" s="36" t="s">
        <v>33</v>
      </c>
      <c r="N63" s="36" t="s">
        <v>61</v>
      </c>
      <c r="O63" s="8"/>
      <c r="P63" s="90"/>
      <c r="Q63" s="8"/>
      <c r="R63" s="33" t="s">
        <v>793</v>
      </c>
      <c r="S63" s="8"/>
      <c r="T63" s="90"/>
      <c r="U63" s="8"/>
      <c r="V63" s="103">
        <v>0.52</v>
      </c>
      <c r="W63" s="103">
        <v>0.52</v>
      </c>
      <c r="X63" s="103">
        <v>0.9</v>
      </c>
      <c r="Y63" s="103">
        <v>2.25</v>
      </c>
    </row>
    <row r="64" spans="1:25" hidden="1" outlineLevel="3">
      <c r="B64" s="28"/>
      <c r="C64" s="29"/>
      <c r="D64" s="8"/>
      <c r="E64" s="90"/>
      <c r="F64" s="8"/>
      <c r="G64" s="118" t="s">
        <v>793</v>
      </c>
      <c r="H64" s="8"/>
      <c r="I64" s="90"/>
      <c r="J64" s="8"/>
      <c r="K64" s="36" t="s">
        <v>31</v>
      </c>
      <c r="L64" s="36" t="s">
        <v>32</v>
      </c>
      <c r="M64" s="36" t="s">
        <v>326</v>
      </c>
      <c r="N64" s="36"/>
      <c r="O64" s="8"/>
      <c r="P64" s="90"/>
      <c r="Q64" s="8"/>
      <c r="R64" s="33" t="s">
        <v>793</v>
      </c>
      <c r="S64" s="8"/>
      <c r="T64" s="90"/>
      <c r="U64" s="8"/>
      <c r="V64" s="103">
        <v>0.9</v>
      </c>
      <c r="W64" s="103">
        <v>1.05</v>
      </c>
      <c r="X64" s="103">
        <v>0.26125000000000004</v>
      </c>
      <c r="Y64" s="103"/>
    </row>
    <row r="65" spans="1:25" ht="3" hidden="1" customHeight="1" outlineLevel="2">
      <c r="S65" s="5"/>
      <c r="T65" s="26"/>
      <c r="U65" s="5"/>
    </row>
    <row r="66" spans="1:25" s="21" customFormat="1" hidden="1" outlineLevel="2" collapsed="1">
      <c r="A66" s="21">
        <v>1</v>
      </c>
      <c r="B66" s="22" t="s">
        <v>1006</v>
      </c>
      <c r="C66" s="22"/>
      <c r="D66" s="8"/>
      <c r="E66" s="90"/>
      <c r="F66" s="8"/>
      <c r="G66" s="124">
        <f>SUM(K66:N66)</f>
        <v>4</v>
      </c>
      <c r="H66" s="8"/>
      <c r="I66" s="90"/>
      <c r="J66" s="8"/>
      <c r="K66" s="71">
        <f>COUNTA(K67:K67)</f>
        <v>1</v>
      </c>
      <c r="L66" s="71">
        <f>COUNTA(L67:L67)</f>
        <v>1</v>
      </c>
      <c r="M66" s="71">
        <f>COUNTA(M67:M67)</f>
        <v>1</v>
      </c>
      <c r="N66" s="71">
        <f>COUNTA(N67:N67)</f>
        <v>1</v>
      </c>
      <c r="O66" s="8"/>
      <c r="P66" s="90"/>
      <c r="Q66" s="8"/>
      <c r="R66" s="82">
        <f>SUM(V66:Y66)</f>
        <v>3.7800000000000002</v>
      </c>
      <c r="S66" s="8"/>
      <c r="T66" s="90"/>
      <c r="U66" s="8"/>
      <c r="V66" s="81">
        <f>SUM(V67:V67)</f>
        <v>1.08</v>
      </c>
      <c r="W66" s="81">
        <f>SUM(W67:W67)</f>
        <v>1.08</v>
      </c>
      <c r="X66" s="81">
        <f>SUM(X67:X67)</f>
        <v>0.54</v>
      </c>
      <c r="Y66" s="81">
        <f>SUM(Y67:Y67)</f>
        <v>1.08</v>
      </c>
    </row>
    <row r="67" spans="1:25" hidden="1" outlineLevel="3">
      <c r="B67" s="28"/>
      <c r="C67" s="29"/>
      <c r="D67" s="8"/>
      <c r="E67" s="90"/>
      <c r="F67" s="8"/>
      <c r="G67" s="118" t="s">
        <v>793</v>
      </c>
      <c r="H67" s="8"/>
      <c r="I67" s="90"/>
      <c r="J67" s="8"/>
      <c r="K67" s="36" t="s">
        <v>284</v>
      </c>
      <c r="L67" s="36" t="s">
        <v>31</v>
      </c>
      <c r="M67" s="36" t="s">
        <v>32</v>
      </c>
      <c r="N67" s="36" t="s">
        <v>33</v>
      </c>
      <c r="O67" s="8"/>
      <c r="P67" s="90"/>
      <c r="Q67" s="8"/>
      <c r="R67" s="33" t="s">
        <v>793</v>
      </c>
      <c r="S67" s="8"/>
      <c r="T67" s="90"/>
      <c r="U67" s="8"/>
      <c r="V67" s="103">
        <v>1.08</v>
      </c>
      <c r="W67" s="103">
        <v>1.08</v>
      </c>
      <c r="X67" s="103">
        <v>0.54</v>
      </c>
      <c r="Y67" s="103">
        <v>1.08</v>
      </c>
    </row>
    <row r="68" spans="1:25" ht="3" hidden="1" customHeight="1" outlineLevel="2">
      <c r="B68" s="28"/>
      <c r="C68" s="29"/>
      <c r="D68" s="8"/>
      <c r="E68" s="90"/>
      <c r="F68" s="8"/>
      <c r="G68" s="118"/>
      <c r="H68" s="8"/>
      <c r="I68" s="90"/>
      <c r="J68" s="8"/>
      <c r="K68" s="75"/>
      <c r="O68" s="8"/>
      <c r="P68" s="90"/>
      <c r="Q68" s="8"/>
      <c r="R68" s="33"/>
      <c r="S68" s="8"/>
      <c r="T68" s="90"/>
      <c r="U68" s="8"/>
      <c r="V68" s="75"/>
    </row>
    <row r="69" spans="1:25" s="21" customFormat="1" hidden="1" outlineLevel="2" collapsed="1">
      <c r="A69" s="21">
        <v>1</v>
      </c>
      <c r="B69" s="22" t="s">
        <v>1007</v>
      </c>
      <c r="C69" s="22"/>
      <c r="D69" s="8"/>
      <c r="E69" s="90"/>
      <c r="F69" s="8"/>
      <c r="G69" s="124">
        <f>SUM(K69:N69)</f>
        <v>4</v>
      </c>
      <c r="H69" s="8"/>
      <c r="I69" s="90"/>
      <c r="J69" s="8"/>
      <c r="K69" s="71">
        <f>COUNTA(K70:K70)</f>
        <v>1</v>
      </c>
      <c r="L69" s="71">
        <f>COUNTA(L70:L70)</f>
        <v>1</v>
      </c>
      <c r="M69" s="71">
        <f>COUNTA(M70:M70)</f>
        <v>1</v>
      </c>
      <c r="N69" s="71">
        <f>COUNTA(N70:N70)</f>
        <v>1</v>
      </c>
      <c r="O69" s="8"/>
      <c r="P69" s="90"/>
      <c r="Q69" s="8"/>
      <c r="R69" s="82">
        <f>SUM(V69:Y69)</f>
        <v>6.9825000000000008</v>
      </c>
      <c r="S69" s="8"/>
      <c r="T69" s="90"/>
      <c r="U69" s="8"/>
      <c r="V69" s="81">
        <f>SUM(V70:V70)</f>
        <v>1.9950000000000003</v>
      </c>
      <c r="W69" s="81">
        <f>SUM(W70:W70)</f>
        <v>1.9950000000000003</v>
      </c>
      <c r="X69" s="81">
        <f>SUM(X70:X70)</f>
        <v>0.99750000000000016</v>
      </c>
      <c r="Y69" s="81">
        <f>SUM(Y70:Y70)</f>
        <v>1.9950000000000003</v>
      </c>
    </row>
    <row r="70" spans="1:25" hidden="1" outlineLevel="3">
      <c r="B70" s="28"/>
      <c r="C70" s="29"/>
      <c r="D70" s="8"/>
      <c r="E70" s="90"/>
      <c r="F70" s="8"/>
      <c r="G70" s="118" t="s">
        <v>793</v>
      </c>
      <c r="H70" s="8"/>
      <c r="I70" s="90"/>
      <c r="J70" s="8"/>
      <c r="K70" s="36" t="s">
        <v>284</v>
      </c>
      <c r="L70" s="36" t="s">
        <v>31</v>
      </c>
      <c r="M70" s="36" t="s">
        <v>32</v>
      </c>
      <c r="N70" s="36" t="s">
        <v>33</v>
      </c>
      <c r="O70" s="8"/>
      <c r="P70" s="90"/>
      <c r="Q70" s="8"/>
      <c r="R70" s="33" t="s">
        <v>793</v>
      </c>
      <c r="S70" s="8"/>
      <c r="T70" s="90"/>
      <c r="U70" s="8"/>
      <c r="V70" s="103">
        <v>1.9950000000000003</v>
      </c>
      <c r="W70" s="103">
        <v>1.9950000000000003</v>
      </c>
      <c r="X70" s="103">
        <v>0.99750000000000016</v>
      </c>
      <c r="Y70" s="103">
        <v>1.9950000000000003</v>
      </c>
    </row>
    <row r="71" spans="1:25" ht="3" hidden="1" customHeight="1" outlineLevel="2">
      <c r="B71" s="28"/>
      <c r="C71" s="29"/>
      <c r="D71" s="8"/>
      <c r="E71" s="90"/>
      <c r="F71" s="8"/>
      <c r="G71" s="118"/>
      <c r="H71" s="8"/>
      <c r="I71" s="90"/>
      <c r="J71" s="8"/>
      <c r="K71" s="75"/>
      <c r="O71" s="8"/>
      <c r="P71" s="90"/>
      <c r="Q71" s="8"/>
      <c r="R71" s="33"/>
      <c r="S71" s="8"/>
      <c r="T71" s="90"/>
      <c r="U71" s="8"/>
      <c r="V71" s="75"/>
    </row>
    <row r="72" spans="1:25" s="21" customFormat="1" hidden="1" outlineLevel="2" collapsed="1">
      <c r="A72" s="21">
        <v>1</v>
      </c>
      <c r="B72" s="22" t="s">
        <v>1008</v>
      </c>
      <c r="C72" s="22"/>
      <c r="D72" s="8"/>
      <c r="E72" s="90"/>
      <c r="F72" s="8"/>
      <c r="G72" s="124">
        <f>SUM(K72:N72)</f>
        <v>6</v>
      </c>
      <c r="H72" s="8"/>
      <c r="I72" s="90"/>
      <c r="J72" s="8"/>
      <c r="K72" s="71">
        <f>COUNTA(K73:K74)</f>
        <v>1</v>
      </c>
      <c r="L72" s="71">
        <f>COUNTA(L73:L74)</f>
        <v>2</v>
      </c>
      <c r="M72" s="71">
        <f>COUNTA(M73:M74)</f>
        <v>1</v>
      </c>
      <c r="N72" s="71">
        <f>COUNTA(N73:N74)</f>
        <v>2</v>
      </c>
      <c r="O72" s="8"/>
      <c r="P72" s="90"/>
      <c r="Q72" s="8"/>
      <c r="R72" s="82">
        <f>SUM(V72:Y72)</f>
        <v>13.770000000000001</v>
      </c>
      <c r="S72" s="8"/>
      <c r="T72" s="90"/>
      <c r="U72" s="8"/>
      <c r="V72" s="81">
        <f>SUM(V73:V74)</f>
        <v>3.0600000000000005</v>
      </c>
      <c r="W72" s="81">
        <f>SUM(W73:W74)</f>
        <v>4.5900000000000007</v>
      </c>
      <c r="X72" s="81">
        <f>SUM(X73:X74)</f>
        <v>3.0600000000000005</v>
      </c>
      <c r="Y72" s="81">
        <f>SUM(Y73:Y74)</f>
        <v>3.0600000000000005</v>
      </c>
    </row>
    <row r="73" spans="1:25" hidden="1" outlineLevel="3">
      <c r="B73" s="28"/>
      <c r="C73" s="29"/>
      <c r="D73" s="8"/>
      <c r="E73" s="90"/>
      <c r="F73" s="8"/>
      <c r="G73" s="118" t="s">
        <v>793</v>
      </c>
      <c r="H73" s="8"/>
      <c r="I73" s="90"/>
      <c r="J73" s="8"/>
      <c r="K73" s="36" t="s">
        <v>284</v>
      </c>
      <c r="L73" s="36" t="s">
        <v>31</v>
      </c>
      <c r="M73" s="36" t="s">
        <v>33</v>
      </c>
      <c r="N73" s="36" t="s">
        <v>285</v>
      </c>
      <c r="O73" s="8"/>
      <c r="P73" s="90"/>
      <c r="Q73" s="8"/>
      <c r="R73" s="33" t="s">
        <v>793</v>
      </c>
      <c r="S73" s="8"/>
      <c r="T73" s="90"/>
      <c r="U73" s="8"/>
      <c r="V73" s="103">
        <v>3.0600000000000005</v>
      </c>
      <c r="W73" s="103">
        <v>3.0600000000000005</v>
      </c>
      <c r="X73" s="103">
        <v>3.0600000000000005</v>
      </c>
      <c r="Y73" s="103">
        <v>1.5300000000000002</v>
      </c>
    </row>
    <row r="74" spans="1:25" ht="27.6" hidden="1" outlineLevel="3">
      <c r="B74" s="28"/>
      <c r="C74" s="29"/>
      <c r="D74" s="8"/>
      <c r="E74" s="90"/>
      <c r="F74" s="8"/>
      <c r="G74" s="118" t="s">
        <v>793</v>
      </c>
      <c r="H74" s="8"/>
      <c r="I74" s="90"/>
      <c r="J74" s="8"/>
      <c r="K74" s="36"/>
      <c r="L74" s="36" t="s">
        <v>32</v>
      </c>
      <c r="M74" s="3"/>
      <c r="N74" s="36" t="s">
        <v>170</v>
      </c>
      <c r="O74" s="8"/>
      <c r="P74" s="90"/>
      <c r="Q74" s="8"/>
      <c r="R74" s="33"/>
      <c r="S74" s="8"/>
      <c r="T74" s="90"/>
      <c r="U74" s="8"/>
      <c r="V74" s="103"/>
      <c r="W74" s="103">
        <v>1.5300000000000002</v>
      </c>
      <c r="X74" s="97"/>
      <c r="Y74" s="103">
        <v>1.5300000000000002</v>
      </c>
    </row>
    <row r="75" spans="1:25" ht="3" hidden="1" customHeight="1" outlineLevel="2">
      <c r="B75" s="28"/>
      <c r="C75" s="29"/>
      <c r="D75" s="8"/>
      <c r="E75" s="90"/>
      <c r="F75" s="8"/>
      <c r="G75" s="118"/>
      <c r="H75" s="8"/>
      <c r="I75" s="90"/>
      <c r="J75" s="8"/>
      <c r="K75" s="75"/>
      <c r="O75" s="8"/>
      <c r="P75" s="90"/>
      <c r="Q75" s="8"/>
      <c r="R75" s="33"/>
      <c r="S75" s="8"/>
      <c r="T75" s="90"/>
      <c r="U75" s="8"/>
      <c r="V75" s="75"/>
    </row>
    <row r="76" spans="1:25" s="21" customFormat="1" hidden="1" outlineLevel="2" collapsed="1">
      <c r="A76" s="21">
        <v>1</v>
      </c>
      <c r="B76" s="22" t="s">
        <v>360</v>
      </c>
      <c r="C76" s="22"/>
      <c r="D76" s="8"/>
      <c r="E76" s="90"/>
      <c r="F76" s="8"/>
      <c r="G76" s="124">
        <f>SUM(K76:N76)</f>
        <v>5</v>
      </c>
      <c r="H76" s="8"/>
      <c r="I76" s="90"/>
      <c r="J76" s="8"/>
      <c r="K76" s="71">
        <f>COUNTA(K77:K78)</f>
        <v>1</v>
      </c>
      <c r="L76" s="71">
        <f>COUNTA(L77:L78)</f>
        <v>1</v>
      </c>
      <c r="M76" s="71">
        <f>COUNTA(M77:M78)</f>
        <v>1</v>
      </c>
      <c r="N76" s="71">
        <f>COUNTA(N77:N78)</f>
        <v>2</v>
      </c>
      <c r="O76" s="8"/>
      <c r="P76" s="90"/>
      <c r="Q76" s="8"/>
      <c r="R76" s="23">
        <f>SUM(V76:Y76)</f>
        <v>5.16</v>
      </c>
      <c r="S76" s="8"/>
      <c r="T76" s="90"/>
      <c r="U76" s="8"/>
      <c r="V76" s="71">
        <f>SUM(V77:V78)</f>
        <v>1.29</v>
      </c>
      <c r="W76" s="71">
        <f>SUM(W77:W78)</f>
        <v>1.29</v>
      </c>
      <c r="X76" s="71">
        <f>SUM(X77:X78)</f>
        <v>0.64500000000000002</v>
      </c>
      <c r="Y76" s="71">
        <f>SUM(Y77:Y78)</f>
        <v>1.9350000000000001</v>
      </c>
    </row>
    <row r="77" spans="1:25" hidden="1" outlineLevel="3">
      <c r="B77" s="28"/>
      <c r="C77" s="29"/>
      <c r="D77" s="8"/>
      <c r="E77" s="90"/>
      <c r="F77" s="8"/>
      <c r="G77" s="118" t="s">
        <v>793</v>
      </c>
      <c r="H77" s="8"/>
      <c r="I77" s="90"/>
      <c r="J77" s="8"/>
      <c r="K77" s="36" t="s">
        <v>1009</v>
      </c>
      <c r="L77" s="36" t="s">
        <v>31</v>
      </c>
      <c r="M77" s="3" t="s">
        <v>326</v>
      </c>
      <c r="N77" s="36" t="s">
        <v>33</v>
      </c>
      <c r="O77" s="8"/>
      <c r="P77" s="90"/>
      <c r="Q77" s="8"/>
      <c r="R77" s="33" t="s">
        <v>793</v>
      </c>
      <c r="S77" s="8"/>
      <c r="T77" s="90"/>
      <c r="U77" s="8"/>
      <c r="V77" s="35">
        <v>1.29</v>
      </c>
      <c r="W77" s="35">
        <v>1.29</v>
      </c>
      <c r="X77" s="65">
        <v>0.64500000000000002</v>
      </c>
      <c r="Y77" s="35">
        <v>1.29</v>
      </c>
    </row>
    <row r="78" spans="1:25" hidden="1" outlineLevel="3">
      <c r="B78" s="28"/>
      <c r="C78" s="29"/>
      <c r="D78" s="8"/>
      <c r="E78" s="90"/>
      <c r="F78" s="8"/>
      <c r="G78" s="118"/>
      <c r="H78" s="8"/>
      <c r="I78" s="90"/>
      <c r="J78" s="8"/>
      <c r="K78" s="36"/>
      <c r="L78" s="36"/>
      <c r="M78" s="3"/>
      <c r="N78" s="36" t="s">
        <v>285</v>
      </c>
      <c r="O78" s="8"/>
      <c r="P78" s="90"/>
      <c r="Q78" s="8"/>
      <c r="R78" s="33"/>
      <c r="S78" s="8"/>
      <c r="T78" s="90"/>
      <c r="U78" s="8"/>
      <c r="V78" s="35"/>
      <c r="W78" s="35"/>
      <c r="Y78" s="65">
        <v>0.64500000000000002</v>
      </c>
    </row>
    <row r="79" spans="1:25" ht="3" hidden="1" customHeight="1" outlineLevel="1">
      <c r="B79" s="28"/>
      <c r="C79" s="29"/>
      <c r="D79" s="8"/>
      <c r="E79" s="90"/>
      <c r="F79" s="8"/>
      <c r="G79" s="118"/>
      <c r="H79" s="8"/>
      <c r="I79" s="90"/>
      <c r="J79" s="8"/>
      <c r="K79" s="75"/>
      <c r="O79" s="8"/>
      <c r="P79" s="90"/>
      <c r="Q79" s="8"/>
      <c r="R79" s="33"/>
      <c r="S79" s="8"/>
      <c r="T79" s="90"/>
      <c r="U79" s="8"/>
      <c r="V79" s="75"/>
    </row>
    <row r="80" spans="1:25" s="48" customFormat="1" ht="20.100000000000001" hidden="1" customHeight="1" outlineLevel="1" collapsed="1">
      <c r="A80" s="155"/>
      <c r="B80" s="43" t="s">
        <v>1010</v>
      </c>
      <c r="C80" s="44" t="s">
        <v>27</v>
      </c>
      <c r="D80" s="45"/>
      <c r="E80" s="46"/>
      <c r="F80" s="45"/>
      <c r="G80" s="122">
        <f>SUM(K80:N80)</f>
        <v>287</v>
      </c>
      <c r="H80" s="45"/>
      <c r="I80" s="46"/>
      <c r="J80" s="45"/>
      <c r="K80" s="69">
        <f>SUM(K82,K88,K98,K101,K109,K139,K143,K198,K201,K204,K207,K210,K213,K227,K242,K248,K252,K256,K261,K265,K269,K273,K277,K281,K286,K294,K299,K302,K306,K310,K314,K318,K322,K326,K330,K333,K336,K340)</f>
        <v>87</v>
      </c>
      <c r="L80" s="69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69">
        <f t="shared" si="4"/>
        <v>62</v>
      </c>
      <c r="N80" s="69">
        <f t="shared" si="4"/>
        <v>59</v>
      </c>
      <c r="O80" s="45"/>
      <c r="P80" s="46"/>
      <c r="Q80" s="45"/>
      <c r="R80" s="122">
        <f>SUM(V80:Y80)</f>
        <v>32.018305147166565</v>
      </c>
      <c r="S80" s="45"/>
      <c r="T80" s="46"/>
      <c r="U80" s="45"/>
      <c r="V80" s="69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69">
        <f t="shared" si="5"/>
        <v>10.935117836718332</v>
      </c>
      <c r="X80" s="69">
        <f t="shared" si="5"/>
        <v>6.8101077834027617</v>
      </c>
      <c r="Y80" s="69">
        <f t="shared" si="5"/>
        <v>7.1469653990418962</v>
      </c>
    </row>
    <row r="81" spans="1:25" ht="3" hidden="1" customHeight="1" outlineLevel="2">
      <c r="S81" s="5"/>
      <c r="T81" s="26"/>
      <c r="U81" s="5"/>
    </row>
    <row r="82" spans="1:25" s="21" customFormat="1" hidden="1" outlineLevel="2" collapsed="1">
      <c r="A82" s="21">
        <v>1</v>
      </c>
      <c r="B82" s="22" t="s">
        <v>756</v>
      </c>
      <c r="C82" s="22"/>
      <c r="D82" s="8"/>
      <c r="E82" s="6"/>
      <c r="F82" s="8"/>
      <c r="G82" s="124">
        <f>SUM(K82:N82)</f>
        <v>4</v>
      </c>
      <c r="H82" s="8"/>
      <c r="I82" s="6"/>
      <c r="J82" s="8"/>
      <c r="K82" s="71">
        <f>COUNTA(K83:K86)</f>
        <v>3</v>
      </c>
      <c r="L82" s="71">
        <f>COUNTA(L83:L86)</f>
        <v>1</v>
      </c>
      <c r="M82" s="71">
        <f>COUNTA(M83:M86)</f>
        <v>0</v>
      </c>
      <c r="N82" s="71">
        <f>COUNTA(N83:N86)</f>
        <v>0</v>
      </c>
      <c r="O82" s="8"/>
      <c r="P82" s="6"/>
      <c r="Q82" s="8"/>
      <c r="R82" s="23">
        <f>SUM(V82:Y82)</f>
        <v>7.8070120255049447E-2</v>
      </c>
      <c r="S82" s="8"/>
      <c r="T82" s="6"/>
      <c r="U82" s="8"/>
      <c r="V82" s="71">
        <f>SUM(V83:V86)</f>
        <v>7.2082273685481091E-2</v>
      </c>
      <c r="W82" s="71">
        <f>SUM(W83:W86)</f>
        <v>5.9878465695683532E-3</v>
      </c>
      <c r="X82" s="71">
        <f>SUM(X83:X86)</f>
        <v>0</v>
      </c>
      <c r="Y82" s="71">
        <f>SUM(Y83:Y86)</f>
        <v>0</v>
      </c>
    </row>
    <row r="83" spans="1:25" ht="13.35" hidden="1" customHeight="1" outlineLevel="3">
      <c r="B83" s="24" t="s">
        <v>28</v>
      </c>
      <c r="C83" s="29" t="s">
        <v>639</v>
      </c>
      <c r="D83" s="33"/>
      <c r="E83" s="6"/>
      <c r="F83" s="33"/>
      <c r="G83" s="119" t="s">
        <v>27</v>
      </c>
      <c r="H83" s="33"/>
      <c r="I83" s="6"/>
      <c r="J83" s="33"/>
      <c r="K83" s="35" t="s">
        <v>1011</v>
      </c>
      <c r="L83" s="75"/>
      <c r="M83" s="75"/>
      <c r="N83" s="75"/>
      <c r="O83" s="33"/>
      <c r="P83" s="6"/>
      <c r="Q83" s="33"/>
      <c r="R83" s="34" t="s">
        <v>27</v>
      </c>
      <c r="S83" s="33"/>
      <c r="T83" s="6"/>
      <c r="U83" s="33"/>
      <c r="V83" s="135">
        <v>5.5695753826952743E-2</v>
      </c>
      <c r="W83" s="75"/>
      <c r="X83" s="75"/>
      <c r="Y83" s="75"/>
    </row>
    <row r="84" spans="1:25" ht="13.35" hidden="1" customHeight="1" outlineLevel="3">
      <c r="B84" s="24"/>
      <c r="C84" s="29"/>
      <c r="D84" s="33"/>
      <c r="E84" s="6"/>
      <c r="G84" s="119"/>
      <c r="I84" s="6"/>
      <c r="P84" s="6"/>
      <c r="R84" s="34"/>
      <c r="S84" s="5"/>
      <c r="T84" s="6"/>
      <c r="U84" s="5"/>
    </row>
    <row r="85" spans="1:25" ht="13.35" hidden="1" customHeight="1" outlineLevel="3">
      <c r="B85" s="24" t="s">
        <v>28</v>
      </c>
      <c r="C85" s="29" t="s">
        <v>643</v>
      </c>
      <c r="D85" s="33"/>
      <c r="E85" s="6"/>
      <c r="G85" s="119" t="s">
        <v>27</v>
      </c>
      <c r="I85" s="6"/>
      <c r="K85" s="35" t="s">
        <v>1012</v>
      </c>
      <c r="L85" s="35" t="s">
        <v>1011</v>
      </c>
      <c r="P85" s="6"/>
      <c r="R85" s="34" t="s">
        <v>27</v>
      </c>
      <c r="S85" s="5"/>
      <c r="T85" s="6"/>
      <c r="U85" s="5"/>
      <c r="V85" s="135">
        <v>2.0496467585283565E-3</v>
      </c>
      <c r="W85" s="135">
        <v>5.9878465695683532E-3</v>
      </c>
    </row>
    <row r="86" spans="1:25" ht="13.35" hidden="1" customHeight="1" outlineLevel="3">
      <c r="B86" s="24" t="s">
        <v>28</v>
      </c>
      <c r="C86" s="29" t="s">
        <v>643</v>
      </c>
      <c r="D86" s="33"/>
      <c r="E86" s="6"/>
      <c r="G86" s="119" t="s">
        <v>27</v>
      </c>
      <c r="I86" s="6"/>
      <c r="K86" s="35" t="s">
        <v>231</v>
      </c>
      <c r="P86" s="6"/>
      <c r="R86" s="34" t="s">
        <v>27</v>
      </c>
      <c r="S86" s="5"/>
      <c r="T86" s="6"/>
      <c r="U86" s="5"/>
      <c r="V86" s="135">
        <v>1.4336873100000001E-2</v>
      </c>
      <c r="W86" s="135"/>
    </row>
    <row r="87" spans="1:25" ht="3" hidden="1" customHeight="1" outlineLevel="2">
      <c r="B87" s="28"/>
      <c r="C87" s="29"/>
      <c r="D87" s="33"/>
      <c r="E87" s="6"/>
      <c r="G87" s="119"/>
      <c r="I87" s="6"/>
      <c r="P87" s="6"/>
      <c r="R87" s="34"/>
      <c r="S87" s="5"/>
      <c r="T87" s="6"/>
      <c r="U87" s="5"/>
    </row>
    <row r="88" spans="1:25" s="21" customFormat="1" hidden="1" outlineLevel="2" collapsed="1">
      <c r="A88" s="21">
        <v>1</v>
      </c>
      <c r="B88" s="22" t="s">
        <v>690</v>
      </c>
      <c r="C88" s="22"/>
      <c r="D88" s="8"/>
      <c r="E88" s="6"/>
      <c r="F88" s="8"/>
      <c r="G88" s="124">
        <f>SUM(K88:N88)</f>
        <v>9</v>
      </c>
      <c r="H88" s="8"/>
      <c r="I88" s="6"/>
      <c r="J88" s="8"/>
      <c r="K88" s="71">
        <f>COUNTA(K89:K96)</f>
        <v>8</v>
      </c>
      <c r="L88" s="71">
        <f>COUNTA(L89:L96)</f>
        <v>1</v>
      </c>
      <c r="M88" s="71">
        <f>COUNTA(M89:M96)</f>
        <v>0</v>
      </c>
      <c r="N88" s="71">
        <f>COUNTA(N89:N96)</f>
        <v>0</v>
      </c>
      <c r="O88" s="8"/>
      <c r="P88" s="6"/>
      <c r="Q88" s="8"/>
      <c r="R88" s="23">
        <f>SUM(V88:Y88)</f>
        <v>0.5587290988155269</v>
      </c>
      <c r="S88" s="8"/>
      <c r="T88" s="6"/>
      <c r="U88" s="8"/>
      <c r="V88" s="71">
        <f>SUM(V89:V96)</f>
        <v>0.48263554790952296</v>
      </c>
      <c r="W88" s="71">
        <f>SUM(W89:W96)</f>
        <v>7.6093550906004004E-2</v>
      </c>
      <c r="X88" s="71">
        <f>SUM(X89:X96)</f>
        <v>0</v>
      </c>
      <c r="Y88" s="71">
        <f>SUM(Y89:Y96)</f>
        <v>0</v>
      </c>
    </row>
    <row r="89" spans="1:25" ht="13.35" hidden="1" customHeight="1" outlineLevel="3">
      <c r="B89" s="24" t="s">
        <v>28</v>
      </c>
      <c r="C89" s="29" t="s">
        <v>690</v>
      </c>
      <c r="D89" s="33"/>
      <c r="E89" s="6"/>
      <c r="G89" s="119" t="s">
        <v>27</v>
      </c>
      <c r="I89" s="6"/>
      <c r="K89" s="29" t="s">
        <v>1013</v>
      </c>
      <c r="L89" s="29" t="s">
        <v>1011</v>
      </c>
      <c r="M89" s="141"/>
      <c r="N89" s="141"/>
      <c r="P89" s="6"/>
      <c r="R89" s="34" t="s">
        <v>27</v>
      </c>
      <c r="S89" s="5"/>
      <c r="T89" s="6"/>
      <c r="U89" s="5"/>
      <c r="V89" s="135">
        <v>7.6093550906004004E-2</v>
      </c>
      <c r="W89" s="135">
        <v>7.6093550906004004E-2</v>
      </c>
    </row>
    <row r="90" spans="1:25" ht="26.85" hidden="1" customHeight="1" outlineLevel="3">
      <c r="B90" s="24" t="s">
        <v>28</v>
      </c>
      <c r="C90" s="29" t="s">
        <v>690</v>
      </c>
      <c r="D90" s="33"/>
      <c r="E90" s="6"/>
      <c r="G90" s="119" t="s">
        <v>27</v>
      </c>
      <c r="I90" s="6"/>
      <c r="K90" s="29" t="s">
        <v>771</v>
      </c>
      <c r="L90" s="141"/>
      <c r="M90" s="141"/>
      <c r="N90" s="141"/>
      <c r="P90" s="6"/>
      <c r="R90" s="34" t="s">
        <v>27</v>
      </c>
      <c r="S90" s="5"/>
      <c r="T90" s="6"/>
      <c r="U90" s="5"/>
      <c r="V90" s="135">
        <v>5.0323476506003995E-2</v>
      </c>
      <c r="W90" s="135"/>
    </row>
    <row r="91" spans="1:25" ht="26.85" hidden="1" customHeight="1" outlineLevel="3">
      <c r="B91" s="24" t="s">
        <v>28</v>
      </c>
      <c r="C91" s="29" t="s">
        <v>690</v>
      </c>
      <c r="D91" s="33"/>
      <c r="E91" s="6"/>
      <c r="G91" s="119" t="s">
        <v>27</v>
      </c>
      <c r="I91" s="6"/>
      <c r="K91" s="29" t="s">
        <v>1014</v>
      </c>
      <c r="L91" s="141"/>
      <c r="M91" s="141"/>
      <c r="N91" s="141"/>
      <c r="P91" s="6"/>
      <c r="R91" s="34" t="s">
        <v>27</v>
      </c>
      <c r="S91" s="5"/>
      <c r="T91" s="6"/>
      <c r="U91" s="5"/>
      <c r="V91" s="135">
        <v>5.0323476506003995E-2</v>
      </c>
      <c r="W91" s="135"/>
    </row>
    <row r="92" spans="1:25" ht="26.85" hidden="1" customHeight="1" outlineLevel="3">
      <c r="B92" s="24" t="s">
        <v>28</v>
      </c>
      <c r="C92" s="29" t="s">
        <v>690</v>
      </c>
      <c r="D92" s="33"/>
      <c r="E92" s="6"/>
      <c r="G92" s="119" t="s">
        <v>27</v>
      </c>
      <c r="I92" s="6"/>
      <c r="K92" s="29" t="s">
        <v>1015</v>
      </c>
      <c r="L92" s="141"/>
      <c r="M92" s="141"/>
      <c r="N92" s="141"/>
      <c r="P92" s="6"/>
      <c r="R92" s="34" t="s">
        <v>27</v>
      </c>
      <c r="S92" s="5"/>
      <c r="T92" s="6"/>
      <c r="U92" s="5"/>
      <c r="V92" s="135">
        <v>5.0323476506003995E-2</v>
      </c>
      <c r="W92" s="135"/>
    </row>
    <row r="93" spans="1:25" ht="26.85" hidden="1" customHeight="1" outlineLevel="3">
      <c r="B93" s="24" t="s">
        <v>28</v>
      </c>
      <c r="C93" s="29" t="s">
        <v>690</v>
      </c>
      <c r="D93" s="33"/>
      <c r="E93" s="6"/>
      <c r="G93" s="119" t="s">
        <v>27</v>
      </c>
      <c r="I93" s="6"/>
      <c r="K93" s="29" t="s">
        <v>772</v>
      </c>
      <c r="L93" s="141"/>
      <c r="M93" s="141"/>
      <c r="N93" s="141"/>
      <c r="P93" s="6"/>
      <c r="R93" s="34" t="s">
        <v>27</v>
      </c>
      <c r="S93" s="5"/>
      <c r="T93" s="6"/>
      <c r="U93" s="5"/>
      <c r="V93" s="135">
        <v>5.0323476506003995E-2</v>
      </c>
      <c r="W93" s="135"/>
    </row>
    <row r="94" spans="1:25" ht="13.35" hidden="1" customHeight="1" outlineLevel="3">
      <c r="B94" s="24" t="s">
        <v>28</v>
      </c>
      <c r="C94" s="29" t="s">
        <v>690</v>
      </c>
      <c r="D94" s="33"/>
      <c r="E94" s="6"/>
      <c r="G94" s="119" t="s">
        <v>27</v>
      </c>
      <c r="I94" s="6"/>
      <c r="K94" s="29" t="s">
        <v>773</v>
      </c>
      <c r="L94" s="141"/>
      <c r="M94" s="141"/>
      <c r="N94" s="141"/>
      <c r="P94" s="6"/>
      <c r="R94" s="34" t="s">
        <v>27</v>
      </c>
      <c r="S94" s="5"/>
      <c r="T94" s="6"/>
      <c r="U94" s="5"/>
      <c r="V94" s="135">
        <v>3.7742607379502996E-2</v>
      </c>
      <c r="W94" s="135"/>
    </row>
    <row r="95" spans="1:25" ht="13.35" hidden="1" customHeight="1" outlineLevel="3">
      <c r="B95" s="24" t="s">
        <v>28</v>
      </c>
      <c r="C95" s="29" t="s">
        <v>690</v>
      </c>
      <c r="D95" s="33"/>
      <c r="E95" s="6"/>
      <c r="G95" s="119" t="s">
        <v>27</v>
      </c>
      <c r="I95" s="6"/>
      <c r="K95" s="29" t="s">
        <v>765</v>
      </c>
      <c r="L95" s="141"/>
      <c r="M95" s="141"/>
      <c r="N95" s="141"/>
      <c r="P95" s="6"/>
      <c r="R95" s="34" t="s">
        <v>27</v>
      </c>
      <c r="S95" s="5"/>
      <c r="T95" s="6"/>
      <c r="U95" s="5"/>
      <c r="V95" s="135">
        <v>3.8655111599999993E-2</v>
      </c>
      <c r="W95" s="135"/>
    </row>
    <row r="96" spans="1:25" ht="13.35" hidden="1" customHeight="1" outlineLevel="3">
      <c r="B96" s="24"/>
      <c r="C96" s="29" t="s">
        <v>690</v>
      </c>
      <c r="D96" s="33"/>
      <c r="E96" s="6"/>
      <c r="G96" s="119" t="s">
        <v>27</v>
      </c>
      <c r="I96" s="6"/>
      <c r="K96" s="29" t="s">
        <v>231</v>
      </c>
      <c r="L96" s="141"/>
      <c r="M96" s="141"/>
      <c r="N96" s="141"/>
      <c r="P96" s="6"/>
      <c r="R96" s="34" t="s">
        <v>27</v>
      </c>
      <c r="S96" s="5"/>
      <c r="T96" s="6"/>
      <c r="U96" s="5"/>
      <c r="V96" s="135">
        <v>0.12885037199999999</v>
      </c>
      <c r="W96" s="135"/>
    </row>
    <row r="97" spans="1:25" ht="3" hidden="1" customHeight="1" outlineLevel="2">
      <c r="S97" s="5"/>
      <c r="T97" s="26"/>
      <c r="U97" s="5"/>
    </row>
    <row r="98" spans="1:25" s="21" customFormat="1" hidden="1" outlineLevel="2" collapsed="1">
      <c r="A98" s="21">
        <v>1</v>
      </c>
      <c r="B98" s="22" t="s">
        <v>836</v>
      </c>
      <c r="C98" s="22"/>
      <c r="D98" s="8"/>
      <c r="E98" s="6"/>
      <c r="F98" s="8"/>
      <c r="G98" s="124">
        <f>SUM(K98:N98)</f>
        <v>1</v>
      </c>
      <c r="H98" s="8"/>
      <c r="I98" s="6"/>
      <c r="J98" s="8"/>
      <c r="K98" s="71">
        <f>COUNTA(K99:K99)</f>
        <v>1</v>
      </c>
      <c r="L98" s="71">
        <f>COUNTA(L99:L99)</f>
        <v>0</v>
      </c>
      <c r="M98" s="71">
        <f>COUNTA(M99:M99)</f>
        <v>0</v>
      </c>
      <c r="N98" s="71">
        <f>COUNTA(N99:N99)</f>
        <v>0</v>
      </c>
      <c r="O98" s="8"/>
      <c r="P98" s="6"/>
      <c r="Q98" s="8"/>
      <c r="R98" s="82">
        <f>SUM(V98:Y98)</f>
        <v>5.9954281229384461E-2</v>
      </c>
      <c r="S98" s="8"/>
      <c r="T98" s="6"/>
      <c r="U98" s="8"/>
      <c r="V98" s="81">
        <f>SUM(V99:V99)</f>
        <v>5.9954281229384461E-2</v>
      </c>
      <c r="W98" s="81">
        <f>SUM(W99:W99)</f>
        <v>0</v>
      </c>
      <c r="X98" s="81">
        <f>SUM(X99:X99)</f>
        <v>0</v>
      </c>
      <c r="Y98" s="81">
        <f>SUM(Y99:Y99)</f>
        <v>0</v>
      </c>
    </row>
    <row r="99" spans="1:25" ht="13.35" hidden="1" customHeight="1" outlineLevel="3">
      <c r="B99" s="24" t="s">
        <v>28</v>
      </c>
      <c r="C99" s="28" t="s">
        <v>836</v>
      </c>
      <c r="D99" s="33"/>
      <c r="E99" s="6"/>
      <c r="G99" s="119" t="s">
        <v>27</v>
      </c>
      <c r="I99" s="6"/>
      <c r="K99" s="35" t="s">
        <v>1011</v>
      </c>
      <c r="P99" s="6"/>
      <c r="R99" s="34" t="s">
        <v>27</v>
      </c>
      <c r="S99" s="5"/>
      <c r="T99" s="6"/>
      <c r="U99" s="5"/>
      <c r="V99" s="80">
        <v>5.9954281229384461E-2</v>
      </c>
    </row>
    <row r="100" spans="1:25" ht="3" hidden="1" customHeight="1" outlineLevel="2">
      <c r="B100" s="28"/>
      <c r="C100" s="28"/>
      <c r="D100" s="33"/>
      <c r="E100" s="6"/>
      <c r="G100" s="119" t="s">
        <v>204</v>
      </c>
      <c r="I100" s="6"/>
      <c r="P100" s="6"/>
      <c r="R100" s="34" t="s">
        <v>204</v>
      </c>
      <c r="S100" s="5"/>
      <c r="T100" s="6"/>
      <c r="U100" s="5"/>
    </row>
    <row r="101" spans="1:25" s="21" customFormat="1" hidden="1" outlineLevel="2" collapsed="1">
      <c r="B101" s="22" t="s">
        <v>594</v>
      </c>
      <c r="C101" s="22"/>
      <c r="D101" s="8"/>
      <c r="E101" s="6"/>
      <c r="F101" s="8"/>
      <c r="G101" s="124">
        <f>SUM(K101:N101)</f>
        <v>6</v>
      </c>
      <c r="H101" s="8"/>
      <c r="I101" s="6"/>
      <c r="J101" s="8"/>
      <c r="K101" s="71">
        <f>COUNTA(K102:K107)</f>
        <v>3</v>
      </c>
      <c r="L101" s="71">
        <f>COUNTA(L102:L107)</f>
        <v>3</v>
      </c>
      <c r="M101" s="71">
        <f>COUNTA(M102:M107)</f>
        <v>0</v>
      </c>
      <c r="N101" s="71">
        <f>COUNTA(N102:N107)</f>
        <v>0</v>
      </c>
      <c r="O101" s="8"/>
      <c r="P101" s="6"/>
      <c r="Q101" s="8"/>
      <c r="R101" s="82">
        <f>SUM(V101:Y101)</f>
        <v>0.14474535142330677</v>
      </c>
      <c r="S101" s="8"/>
      <c r="T101" s="6"/>
      <c r="U101" s="8"/>
      <c r="V101" s="81">
        <f>SUM(V102:V107)</f>
        <v>3.6500408814511331E-2</v>
      </c>
      <c r="W101" s="81">
        <f>SUM(W102:W107)</f>
        <v>0.10824494260879544</v>
      </c>
      <c r="X101" s="81">
        <f>SUM(X102:X107)</f>
        <v>0</v>
      </c>
      <c r="Y101" s="81">
        <f>SUM(Y102:Y107)</f>
        <v>0</v>
      </c>
    </row>
    <row r="102" spans="1:25" ht="13.35" hidden="1" customHeight="1" outlineLevel="3">
      <c r="B102" s="24" t="s">
        <v>28</v>
      </c>
      <c r="C102" s="28" t="s">
        <v>594</v>
      </c>
      <c r="D102" s="33"/>
      <c r="E102" s="6"/>
      <c r="G102" s="119" t="s">
        <v>27</v>
      </c>
      <c r="I102" s="6"/>
      <c r="K102" s="35" t="s">
        <v>1016</v>
      </c>
      <c r="L102" s="35" t="s">
        <v>1017</v>
      </c>
      <c r="P102" s="6"/>
      <c r="R102" s="34" t="s">
        <v>27</v>
      </c>
      <c r="S102" s="5"/>
      <c r="T102" s="6"/>
      <c r="U102" s="5"/>
      <c r="V102" s="83">
        <v>2.0340502682360002E-3</v>
      </c>
      <c r="W102" s="83">
        <v>1.6660071E-3</v>
      </c>
    </row>
    <row r="103" spans="1:25" ht="13.35" hidden="1" customHeight="1" outlineLevel="3">
      <c r="B103" s="24" t="s">
        <v>28</v>
      </c>
      <c r="C103" s="28" t="s">
        <v>594</v>
      </c>
      <c r="D103" s="33"/>
      <c r="E103" s="6"/>
      <c r="G103" s="119" t="s">
        <v>27</v>
      </c>
      <c r="I103" s="6"/>
      <c r="K103" s="35" t="s">
        <v>231</v>
      </c>
      <c r="L103" s="35" t="s">
        <v>232</v>
      </c>
      <c r="P103" s="6"/>
      <c r="R103" s="34" t="s">
        <v>27</v>
      </c>
      <c r="S103" s="5"/>
      <c r="T103" s="6"/>
      <c r="U103" s="5"/>
      <c r="V103" s="83">
        <v>2.3730586462753335E-3</v>
      </c>
      <c r="W103" s="83">
        <v>5.5533570000000003E-4</v>
      </c>
    </row>
    <row r="104" spans="1:25" ht="13.35" hidden="1" customHeight="1" outlineLevel="3">
      <c r="B104" s="24" t="s">
        <v>28</v>
      </c>
      <c r="C104" s="28" t="s">
        <v>594</v>
      </c>
      <c r="D104" s="33"/>
      <c r="E104" s="6"/>
      <c r="G104" s="119" t="s">
        <v>27</v>
      </c>
      <c r="I104" s="6"/>
      <c r="K104" s="35"/>
      <c r="L104" s="35" t="s">
        <v>1011</v>
      </c>
      <c r="P104" s="6"/>
      <c r="R104" s="34" t="s">
        <v>27</v>
      </c>
      <c r="S104" s="5"/>
      <c r="T104" s="6"/>
      <c r="U104" s="5"/>
      <c r="V104" s="83">
        <v>6.2527565999999993E-3</v>
      </c>
      <c r="W104" s="83">
        <v>0.10602359980879544</v>
      </c>
    </row>
    <row r="105" spans="1:25" ht="13.35" hidden="1" customHeight="1" outlineLevel="3">
      <c r="B105" s="24" t="s">
        <v>28</v>
      </c>
      <c r="C105" s="28" t="s">
        <v>594</v>
      </c>
      <c r="D105" s="33"/>
      <c r="E105" s="6"/>
      <c r="G105" s="119" t="s">
        <v>27</v>
      </c>
      <c r="I105" s="6"/>
      <c r="K105" s="35" t="s">
        <v>775</v>
      </c>
      <c r="P105" s="6"/>
      <c r="R105" s="34" t="s">
        <v>27</v>
      </c>
      <c r="S105" s="5"/>
      <c r="T105" s="6"/>
      <c r="U105" s="5"/>
      <c r="V105" s="83">
        <v>2.0842521999999999E-2</v>
      </c>
      <c r="W105" s="84"/>
    </row>
    <row r="106" spans="1:25" ht="13.35" hidden="1" customHeight="1" outlineLevel="3">
      <c r="B106" s="24" t="s">
        <v>28</v>
      </c>
      <c r="C106" s="28" t="s">
        <v>594</v>
      </c>
      <c r="D106" s="33"/>
      <c r="E106" s="6"/>
      <c r="F106" s="33"/>
      <c r="G106" s="119"/>
      <c r="H106" s="33"/>
      <c r="I106" s="6"/>
      <c r="J106" s="33"/>
      <c r="L106" s="3"/>
      <c r="O106" s="33"/>
      <c r="P106" s="6"/>
      <c r="Q106" s="33"/>
      <c r="R106" s="34" t="s">
        <v>27</v>
      </c>
      <c r="S106" s="33"/>
      <c r="T106" s="6"/>
      <c r="U106" s="33"/>
      <c r="V106" s="83">
        <v>3.8873498999999999E-3</v>
      </c>
      <c r="W106" s="88"/>
    </row>
    <row r="107" spans="1:25" ht="13.35" hidden="1" customHeight="1" outlineLevel="3">
      <c r="B107" s="24"/>
      <c r="C107" s="28"/>
      <c r="D107" s="33"/>
      <c r="E107" s="6"/>
      <c r="F107" s="33"/>
      <c r="G107" s="119"/>
      <c r="H107" s="33"/>
      <c r="I107" s="6"/>
      <c r="J107" s="33"/>
      <c r="L107" s="35"/>
      <c r="O107" s="33"/>
      <c r="P107" s="6"/>
      <c r="Q107" s="33"/>
      <c r="R107" s="34" t="s">
        <v>27</v>
      </c>
      <c r="S107" s="33"/>
      <c r="T107" s="6"/>
      <c r="U107" s="33"/>
      <c r="V107" s="83">
        <v>1.1106714000000001E-3</v>
      </c>
      <c r="W107" s="83"/>
    </row>
    <row r="108" spans="1:25" ht="3" hidden="1" customHeight="1" outlineLevel="2">
      <c r="B108" s="28"/>
      <c r="C108" s="28"/>
      <c r="D108" s="33"/>
      <c r="E108" s="6"/>
      <c r="F108" s="33"/>
      <c r="G108" s="119"/>
      <c r="H108" s="33"/>
      <c r="I108" s="6"/>
      <c r="J108" s="33"/>
      <c r="K108" s="75"/>
      <c r="O108" s="33"/>
      <c r="P108" s="6"/>
      <c r="Q108" s="33"/>
      <c r="R108" s="34"/>
      <c r="S108" s="33"/>
      <c r="T108" s="6"/>
      <c r="U108" s="33"/>
      <c r="V108" s="75"/>
    </row>
    <row r="109" spans="1:25" s="21" customFormat="1" hidden="1" outlineLevel="2" collapsed="1">
      <c r="B109" s="22" t="s">
        <v>663</v>
      </c>
      <c r="C109" s="22"/>
      <c r="D109" s="8"/>
      <c r="E109" s="6"/>
      <c r="F109" s="8"/>
      <c r="G109" s="124">
        <f>SUM(K109:N109)</f>
        <v>31</v>
      </c>
      <c r="H109" s="8"/>
      <c r="I109" s="6"/>
      <c r="J109" s="8"/>
      <c r="K109" s="71">
        <f>COUNTA(K110:K137)</f>
        <v>23</v>
      </c>
      <c r="L109" s="71">
        <f>COUNTA(L110:L137)</f>
        <v>7</v>
      </c>
      <c r="M109" s="71">
        <f>COUNTA(M110:M137)</f>
        <v>1</v>
      </c>
      <c r="N109" s="71">
        <f>COUNTA(N110:N137)</f>
        <v>0</v>
      </c>
      <c r="O109" s="8"/>
      <c r="P109" s="6"/>
      <c r="Q109" s="8"/>
      <c r="R109" s="23">
        <f>SUM(V109:Y109)</f>
        <v>2.3154000000000008</v>
      </c>
      <c r="S109" s="8"/>
      <c r="T109" s="6"/>
      <c r="U109" s="8"/>
      <c r="V109" s="71">
        <f>SUM(V110:V137)</f>
        <v>1.8740000000000006</v>
      </c>
      <c r="W109" s="71">
        <f>SUM(W110:W137)</f>
        <v>0.3614</v>
      </c>
      <c r="X109" s="71">
        <f>SUM(X110:X137)</f>
        <v>0.08</v>
      </c>
      <c r="Y109" s="71">
        <f>SUM(Y110:Y137)</f>
        <v>0</v>
      </c>
    </row>
    <row r="110" spans="1:25" ht="13.35" hidden="1" customHeight="1" outlineLevel="3">
      <c r="B110" s="24" t="s">
        <v>28</v>
      </c>
      <c r="C110" s="29" t="s">
        <v>665</v>
      </c>
      <c r="D110" s="33"/>
      <c r="E110" s="6"/>
      <c r="F110" s="33"/>
      <c r="G110" s="119" t="s">
        <v>27</v>
      </c>
      <c r="H110" s="33"/>
      <c r="I110" s="6"/>
      <c r="J110" s="33"/>
      <c r="K110" s="35" t="s">
        <v>1018</v>
      </c>
      <c r="O110" s="33"/>
      <c r="P110" s="6"/>
      <c r="Q110" s="33"/>
      <c r="R110" s="34" t="s">
        <v>27</v>
      </c>
      <c r="S110" s="33"/>
      <c r="T110" s="6"/>
      <c r="U110" s="33"/>
      <c r="V110" s="35">
        <v>0.06</v>
      </c>
    </row>
    <row r="111" spans="1:25" ht="13.35" hidden="1" customHeight="1" outlineLevel="3">
      <c r="B111" s="24" t="s">
        <v>28</v>
      </c>
      <c r="C111" s="29" t="s">
        <v>665</v>
      </c>
      <c r="D111" s="33"/>
      <c r="E111" s="6"/>
      <c r="F111" s="33"/>
      <c r="G111" s="119" t="s">
        <v>27</v>
      </c>
      <c r="H111" s="33"/>
      <c r="I111" s="6"/>
      <c r="J111" s="33"/>
      <c r="K111" s="35" t="s">
        <v>1019</v>
      </c>
      <c r="O111" s="33"/>
      <c r="P111" s="6"/>
      <c r="Q111" s="33"/>
      <c r="R111" s="34" t="s">
        <v>27</v>
      </c>
      <c r="S111" s="33"/>
      <c r="T111" s="6"/>
      <c r="U111" s="33"/>
      <c r="V111" s="35">
        <v>0.16</v>
      </c>
    </row>
    <row r="112" spans="1:25" ht="13.35" hidden="1" customHeight="1" outlineLevel="3">
      <c r="B112" s="24" t="s">
        <v>28</v>
      </c>
      <c r="C112" s="29" t="s">
        <v>665</v>
      </c>
      <c r="D112" s="33"/>
      <c r="E112" s="6"/>
      <c r="F112" s="33"/>
      <c r="G112" s="119" t="s">
        <v>27</v>
      </c>
      <c r="H112" s="33"/>
      <c r="I112" s="6"/>
      <c r="J112" s="33"/>
      <c r="K112" s="35" t="s">
        <v>1020</v>
      </c>
      <c r="O112" s="33"/>
      <c r="P112" s="6"/>
      <c r="Q112" s="33"/>
      <c r="R112" s="34" t="s">
        <v>27</v>
      </c>
      <c r="S112" s="33"/>
      <c r="T112" s="6"/>
      <c r="U112" s="33"/>
      <c r="V112" s="35">
        <v>0.16</v>
      </c>
    </row>
    <row r="113" spans="2:24" ht="13.35" hidden="1" customHeight="1" outlineLevel="3">
      <c r="B113" s="24" t="s">
        <v>28</v>
      </c>
      <c r="C113" s="29" t="s">
        <v>665</v>
      </c>
      <c r="D113" s="33"/>
      <c r="E113" s="6"/>
      <c r="F113" s="33"/>
      <c r="G113" s="119" t="s">
        <v>27</v>
      </c>
      <c r="H113" s="33"/>
      <c r="I113" s="6"/>
      <c r="J113" s="33"/>
      <c r="K113" s="35" t="s">
        <v>1021</v>
      </c>
      <c r="O113" s="33"/>
      <c r="P113" s="6"/>
      <c r="Q113" s="33"/>
      <c r="R113" s="34" t="s">
        <v>27</v>
      </c>
      <c r="S113" s="33"/>
      <c r="T113" s="6"/>
      <c r="U113" s="33"/>
      <c r="V113" s="35">
        <v>0.11</v>
      </c>
    </row>
    <row r="114" spans="2:24" ht="13.35" hidden="1" customHeight="1" outlineLevel="3">
      <c r="B114" s="24" t="s">
        <v>28</v>
      </c>
      <c r="C114" s="29" t="s">
        <v>665</v>
      </c>
      <c r="D114" s="33"/>
      <c r="E114" s="6"/>
      <c r="F114" s="33"/>
      <c r="G114" s="119" t="s">
        <v>27</v>
      </c>
      <c r="H114" s="33"/>
      <c r="I114" s="6"/>
      <c r="J114" s="33"/>
      <c r="K114" s="35" t="s">
        <v>776</v>
      </c>
      <c r="O114" s="33"/>
      <c r="P114" s="6"/>
      <c r="Q114" s="33"/>
      <c r="R114" s="34" t="s">
        <v>27</v>
      </c>
      <c r="S114" s="33"/>
      <c r="T114" s="6"/>
      <c r="U114" s="33"/>
      <c r="V114" s="35">
        <v>0.24</v>
      </c>
    </row>
    <row r="115" spans="2:24" ht="13.35" hidden="1" customHeight="1" outlineLevel="3">
      <c r="B115" s="24" t="s">
        <v>28</v>
      </c>
      <c r="C115" s="29" t="s">
        <v>665</v>
      </c>
      <c r="D115" s="33"/>
      <c r="E115" s="6"/>
      <c r="F115" s="33"/>
      <c r="G115" s="119" t="s">
        <v>27</v>
      </c>
      <c r="H115" s="33"/>
      <c r="I115" s="6"/>
      <c r="J115" s="33"/>
      <c r="K115" s="35"/>
      <c r="O115" s="33"/>
      <c r="P115" s="6"/>
      <c r="Q115" s="33"/>
      <c r="R115" s="34" t="s">
        <v>27</v>
      </c>
      <c r="S115" s="33"/>
      <c r="T115" s="6"/>
      <c r="U115" s="33"/>
      <c r="V115" s="35"/>
    </row>
    <row r="116" spans="2:24" ht="13.35" hidden="1" customHeight="1" outlineLevel="3">
      <c r="B116" s="24" t="s">
        <v>28</v>
      </c>
      <c r="C116" s="29" t="s">
        <v>665</v>
      </c>
      <c r="D116" s="33"/>
      <c r="E116" s="6"/>
      <c r="F116" s="33"/>
      <c r="G116" s="119" t="s">
        <v>27</v>
      </c>
      <c r="H116" s="33"/>
      <c r="I116" s="6"/>
      <c r="J116" s="33"/>
      <c r="K116" s="35" t="s">
        <v>78</v>
      </c>
      <c r="O116" s="33"/>
      <c r="P116" s="6"/>
      <c r="Q116" s="33"/>
      <c r="R116" s="34" t="s">
        <v>27</v>
      </c>
      <c r="S116" s="33"/>
      <c r="T116" s="6"/>
      <c r="U116" s="33"/>
      <c r="V116" s="149">
        <v>4.0000000000000001E-3</v>
      </c>
    </row>
    <row r="117" spans="2:24" ht="13.35" hidden="1" customHeight="1" outlineLevel="3">
      <c r="B117" s="24" t="s">
        <v>28</v>
      </c>
      <c r="C117" s="29" t="s">
        <v>665</v>
      </c>
      <c r="D117" s="33"/>
      <c r="E117" s="6"/>
      <c r="F117" s="33"/>
      <c r="G117" s="119" t="s">
        <v>27</v>
      </c>
      <c r="H117" s="33"/>
      <c r="I117" s="6"/>
      <c r="J117" s="33"/>
      <c r="K117" s="35" t="s">
        <v>79</v>
      </c>
      <c r="O117" s="33"/>
      <c r="P117" s="6"/>
      <c r="Q117" s="33"/>
      <c r="R117" s="34" t="s">
        <v>27</v>
      </c>
      <c r="S117" s="33"/>
      <c r="T117" s="6"/>
      <c r="U117" s="33"/>
      <c r="V117" s="149">
        <v>3.0000000000000001E-3</v>
      </c>
    </row>
    <row r="118" spans="2:24" ht="13.35" hidden="1" customHeight="1" outlineLevel="3">
      <c r="B118" s="24" t="s">
        <v>28</v>
      </c>
      <c r="C118" s="29" t="s">
        <v>665</v>
      </c>
      <c r="D118" s="33"/>
      <c r="E118" s="6"/>
      <c r="F118" s="33"/>
      <c r="G118" s="119" t="s">
        <v>27</v>
      </c>
      <c r="H118" s="33"/>
      <c r="I118" s="6"/>
      <c r="J118" s="33"/>
      <c r="K118" s="35" t="s">
        <v>80</v>
      </c>
      <c r="O118" s="33"/>
      <c r="P118" s="6"/>
      <c r="Q118" s="33"/>
      <c r="R118" s="34" t="s">
        <v>27</v>
      </c>
      <c r="S118" s="33"/>
      <c r="T118" s="6"/>
      <c r="U118" s="33"/>
      <c r="V118" s="35">
        <v>0.16</v>
      </c>
    </row>
    <row r="119" spans="2:24" ht="13.35" hidden="1" customHeight="1" outlineLevel="3">
      <c r="B119" s="24" t="s">
        <v>28</v>
      </c>
      <c r="C119" s="29" t="s">
        <v>665</v>
      </c>
      <c r="D119" s="33"/>
      <c r="E119" s="6"/>
      <c r="G119" s="119" t="s">
        <v>27</v>
      </c>
      <c r="I119" s="6"/>
      <c r="K119" s="35"/>
      <c r="P119" s="6"/>
      <c r="R119" s="34" t="s">
        <v>27</v>
      </c>
      <c r="S119" s="5"/>
      <c r="T119" s="6"/>
      <c r="U119" s="5"/>
      <c r="V119" s="35"/>
    </row>
    <row r="120" spans="2:24" ht="13.35" hidden="1" customHeight="1" outlineLevel="3">
      <c r="B120" s="24" t="s">
        <v>28</v>
      </c>
      <c r="C120" s="29" t="s">
        <v>665</v>
      </c>
      <c r="D120" s="33"/>
      <c r="E120" s="6"/>
      <c r="G120" s="119" t="s">
        <v>27</v>
      </c>
      <c r="I120" s="6"/>
      <c r="K120" s="35"/>
      <c r="P120" s="6"/>
      <c r="R120" s="34" t="s">
        <v>27</v>
      </c>
      <c r="S120" s="5"/>
      <c r="T120" s="6"/>
      <c r="U120" s="5"/>
      <c r="V120" s="35"/>
    </row>
    <row r="121" spans="2:24" ht="13.35" hidden="1" customHeight="1" outlineLevel="3">
      <c r="B121" s="24"/>
      <c r="C121" s="29" t="s">
        <v>665</v>
      </c>
      <c r="D121" s="33"/>
      <c r="E121" s="6"/>
      <c r="G121" s="119" t="s">
        <v>27</v>
      </c>
      <c r="I121" s="6"/>
      <c r="K121" s="35"/>
      <c r="P121" s="6"/>
      <c r="R121" s="34" t="s">
        <v>27</v>
      </c>
      <c r="S121" s="5"/>
      <c r="T121" s="6"/>
      <c r="U121" s="5"/>
      <c r="V121" s="35"/>
    </row>
    <row r="122" spans="2:24" ht="13.35" hidden="1" customHeight="1" outlineLevel="3">
      <c r="B122" s="24"/>
      <c r="C122" s="29" t="s">
        <v>665</v>
      </c>
      <c r="D122" s="33"/>
      <c r="E122" s="6"/>
      <c r="G122" s="119" t="s">
        <v>27</v>
      </c>
      <c r="I122" s="6"/>
      <c r="K122" s="35" t="s">
        <v>1022</v>
      </c>
      <c r="P122" s="6"/>
      <c r="R122" s="34" t="s">
        <v>27</v>
      </c>
      <c r="S122" s="5"/>
      <c r="T122" s="6"/>
      <c r="U122" s="5"/>
      <c r="V122" s="35">
        <v>0.36</v>
      </c>
    </row>
    <row r="123" spans="2:24" ht="13.35" hidden="1" customHeight="1" outlineLevel="3">
      <c r="B123" s="24"/>
      <c r="C123" s="29" t="s">
        <v>665</v>
      </c>
      <c r="D123" s="33"/>
      <c r="E123" s="6"/>
      <c r="G123" s="119" t="s">
        <v>27</v>
      </c>
      <c r="I123" s="6"/>
      <c r="K123" s="35" t="s">
        <v>107</v>
      </c>
      <c r="P123" s="6"/>
      <c r="R123" s="34" t="s">
        <v>27</v>
      </c>
      <c r="S123" s="5"/>
      <c r="T123" s="6"/>
      <c r="U123" s="5"/>
      <c r="V123" s="35">
        <v>2E-3</v>
      </c>
    </row>
    <row r="124" spans="2:24" ht="13.35" hidden="1" customHeight="1" outlineLevel="3">
      <c r="B124" s="24"/>
      <c r="C124" s="29" t="s">
        <v>665</v>
      </c>
      <c r="D124" s="33"/>
      <c r="E124" s="6"/>
      <c r="G124" s="119" t="s">
        <v>27</v>
      </c>
      <c r="I124" s="6"/>
      <c r="K124" s="35" t="s">
        <v>88</v>
      </c>
      <c r="P124" s="6"/>
      <c r="R124" s="34" t="s">
        <v>27</v>
      </c>
      <c r="S124" s="5"/>
      <c r="T124" s="6"/>
      <c r="U124" s="5"/>
      <c r="V124" s="35">
        <v>1E-3</v>
      </c>
    </row>
    <row r="125" spans="2:24" ht="13.35" hidden="1" customHeight="1" outlineLevel="3">
      <c r="B125" s="24"/>
      <c r="C125" s="29"/>
      <c r="D125" s="33"/>
      <c r="E125" s="6"/>
      <c r="G125" s="119"/>
      <c r="I125" s="6"/>
      <c r="P125" s="6"/>
      <c r="R125" s="34"/>
      <c r="S125" s="5"/>
      <c r="T125" s="6"/>
      <c r="U125" s="5"/>
    </row>
    <row r="126" spans="2:24" ht="13.35" hidden="1" customHeight="1" outlineLevel="3">
      <c r="B126" s="24" t="s">
        <v>28</v>
      </c>
      <c r="C126" s="29" t="s">
        <v>666</v>
      </c>
      <c r="D126" s="33"/>
      <c r="E126" s="6"/>
      <c r="G126" s="119" t="s">
        <v>27</v>
      </c>
      <c r="I126" s="6"/>
      <c r="K126" s="35" t="s">
        <v>1023</v>
      </c>
      <c r="L126" s="35" t="s">
        <v>1024</v>
      </c>
      <c r="M126" s="35" t="s">
        <v>1025</v>
      </c>
      <c r="P126" s="6"/>
      <c r="R126" s="34" t="s">
        <v>27</v>
      </c>
      <c r="S126" s="5"/>
      <c r="T126" s="6"/>
      <c r="U126" s="5"/>
      <c r="V126" s="35">
        <v>0.09</v>
      </c>
      <c r="W126" s="150">
        <v>0.06</v>
      </c>
      <c r="X126" s="35">
        <v>0.08</v>
      </c>
    </row>
    <row r="127" spans="2:24" ht="13.35" hidden="1" customHeight="1" outlineLevel="3">
      <c r="B127" s="24" t="s">
        <v>28</v>
      </c>
      <c r="C127" s="29" t="s">
        <v>666</v>
      </c>
      <c r="D127" s="33"/>
      <c r="E127" s="6"/>
      <c r="G127" s="119" t="s">
        <v>27</v>
      </c>
      <c r="I127" s="6"/>
      <c r="K127" s="35" t="s">
        <v>670</v>
      </c>
      <c r="L127" s="35" t="s">
        <v>1026</v>
      </c>
      <c r="M127" s="74"/>
      <c r="P127" s="6"/>
      <c r="R127" s="34" t="s">
        <v>27</v>
      </c>
      <c r="S127" s="5"/>
      <c r="T127" s="6"/>
      <c r="U127" s="5"/>
      <c r="V127" s="35">
        <v>0.11</v>
      </c>
      <c r="W127" s="150">
        <v>0.06</v>
      </c>
      <c r="X127" s="74"/>
    </row>
    <row r="128" spans="2:24" ht="13.35" hidden="1" customHeight="1" outlineLevel="3">
      <c r="B128" s="24" t="s">
        <v>28</v>
      </c>
      <c r="C128" s="29" t="s">
        <v>666</v>
      </c>
      <c r="D128" s="33"/>
      <c r="E128" s="6"/>
      <c r="G128" s="119" t="s">
        <v>27</v>
      </c>
      <c r="I128" s="6"/>
      <c r="K128" s="35" t="s">
        <v>674</v>
      </c>
      <c r="L128" s="35" t="s">
        <v>1027</v>
      </c>
      <c r="P128" s="6"/>
      <c r="R128" s="34" t="s">
        <v>27</v>
      </c>
      <c r="S128" s="5"/>
      <c r="T128" s="6"/>
      <c r="U128" s="5"/>
      <c r="V128" s="35">
        <v>0.09</v>
      </c>
      <c r="W128" s="150">
        <v>0.06</v>
      </c>
    </row>
    <row r="129" spans="2:25" ht="13.35" hidden="1" customHeight="1" outlineLevel="3">
      <c r="B129" s="24" t="s">
        <v>28</v>
      </c>
      <c r="C129" s="29" t="s">
        <v>666</v>
      </c>
      <c r="D129" s="33"/>
      <c r="E129" s="6"/>
      <c r="G129" s="119" t="s">
        <v>27</v>
      </c>
      <c r="I129" s="6"/>
      <c r="K129" s="35" t="s">
        <v>675</v>
      </c>
      <c r="L129" s="35" t="s">
        <v>1028</v>
      </c>
      <c r="P129" s="6"/>
      <c r="R129" s="34" t="s">
        <v>27</v>
      </c>
      <c r="S129" s="5"/>
      <c r="T129" s="6"/>
      <c r="U129" s="5"/>
      <c r="V129" s="35">
        <v>0.09</v>
      </c>
      <c r="W129" s="150">
        <v>0.06</v>
      </c>
    </row>
    <row r="130" spans="2:25" ht="13.35" hidden="1" customHeight="1" outlineLevel="3">
      <c r="B130" s="24" t="s">
        <v>28</v>
      </c>
      <c r="C130" s="29" t="s">
        <v>666</v>
      </c>
      <c r="D130" s="33"/>
      <c r="E130" s="6"/>
      <c r="G130" s="119" t="s">
        <v>27</v>
      </c>
      <c r="I130" s="6"/>
      <c r="K130" s="76" t="s">
        <v>109</v>
      </c>
      <c r="L130" s="35" t="s">
        <v>1029</v>
      </c>
      <c r="P130" s="6"/>
      <c r="R130" s="34" t="s">
        <v>27</v>
      </c>
      <c r="S130" s="5"/>
      <c r="T130" s="6"/>
      <c r="U130" s="5"/>
      <c r="V130" s="150">
        <v>0.01</v>
      </c>
      <c r="W130" s="35">
        <v>4.0000000000000002E-4</v>
      </c>
    </row>
    <row r="131" spans="2:25" ht="13.35" hidden="1" customHeight="1" outlineLevel="3">
      <c r="B131" s="24" t="s">
        <v>28</v>
      </c>
      <c r="C131" s="29" t="s">
        <v>666</v>
      </c>
      <c r="D131" s="33"/>
      <c r="E131" s="6"/>
      <c r="G131" s="119" t="s">
        <v>27</v>
      </c>
      <c r="I131" s="6"/>
      <c r="K131" s="76" t="s">
        <v>110</v>
      </c>
      <c r="L131" s="35" t="s">
        <v>680</v>
      </c>
      <c r="P131" s="6"/>
      <c r="R131" s="34" t="s">
        <v>27</v>
      </c>
      <c r="S131" s="5"/>
      <c r="T131" s="6"/>
      <c r="U131" s="5"/>
      <c r="V131" s="150">
        <v>0.01</v>
      </c>
      <c r="W131" s="35">
        <v>1E-3</v>
      </c>
    </row>
    <row r="132" spans="2:25" ht="13.35" hidden="1" customHeight="1" outlineLevel="3">
      <c r="B132" s="24" t="s">
        <v>28</v>
      </c>
      <c r="C132" s="29" t="s">
        <v>666</v>
      </c>
      <c r="D132" s="33"/>
      <c r="E132" s="6"/>
      <c r="G132" s="119" t="s">
        <v>27</v>
      </c>
      <c r="I132" s="6"/>
      <c r="K132" s="76" t="s">
        <v>111</v>
      </c>
      <c r="L132" s="35" t="s">
        <v>679</v>
      </c>
      <c r="P132" s="6"/>
      <c r="R132" s="34" t="s">
        <v>27</v>
      </c>
      <c r="S132" s="5"/>
      <c r="T132" s="6"/>
      <c r="U132" s="5"/>
      <c r="V132" s="150">
        <v>0.03</v>
      </c>
      <c r="W132" s="35">
        <v>0.12</v>
      </c>
    </row>
    <row r="133" spans="2:25" ht="13.35" hidden="1" customHeight="1" outlineLevel="3">
      <c r="B133" s="24" t="s">
        <v>28</v>
      </c>
      <c r="C133" s="29" t="s">
        <v>666</v>
      </c>
      <c r="D133" s="33"/>
      <c r="E133" s="6"/>
      <c r="G133" s="119" t="s">
        <v>27</v>
      </c>
      <c r="I133" s="6"/>
      <c r="K133" s="76" t="s">
        <v>669</v>
      </c>
      <c r="L133" s="74"/>
      <c r="P133" s="6"/>
      <c r="R133" s="34" t="s">
        <v>27</v>
      </c>
      <c r="S133" s="5"/>
      <c r="T133" s="6"/>
      <c r="U133" s="5"/>
      <c r="V133" s="150">
        <v>0.02</v>
      </c>
      <c r="W133" s="74"/>
    </row>
    <row r="134" spans="2:25" ht="13.35" hidden="1" customHeight="1" outlineLevel="3">
      <c r="B134" s="24" t="s">
        <v>28</v>
      </c>
      <c r="C134" s="29" t="s">
        <v>666</v>
      </c>
      <c r="D134" s="33"/>
      <c r="E134" s="6"/>
      <c r="G134" s="119" t="s">
        <v>27</v>
      </c>
      <c r="I134" s="6"/>
      <c r="K134" s="35" t="s">
        <v>778</v>
      </c>
      <c r="L134" s="74"/>
      <c r="P134" s="6"/>
      <c r="R134" s="34" t="s">
        <v>27</v>
      </c>
      <c r="S134" s="5"/>
      <c r="T134" s="6"/>
      <c r="U134" s="5"/>
      <c r="V134" s="150">
        <v>0.06</v>
      </c>
      <c r="W134" s="74"/>
    </row>
    <row r="135" spans="2:25" ht="13.35" hidden="1" customHeight="1" outlineLevel="3">
      <c r="B135" s="24" t="s">
        <v>28</v>
      </c>
      <c r="C135" s="29" t="s">
        <v>666</v>
      </c>
      <c r="D135" s="33"/>
      <c r="E135" s="6"/>
      <c r="G135" s="119" t="s">
        <v>27</v>
      </c>
      <c r="I135" s="6"/>
      <c r="K135" s="35" t="s">
        <v>779</v>
      </c>
      <c r="L135" s="74"/>
      <c r="P135" s="6"/>
      <c r="R135" s="34" t="s">
        <v>27</v>
      </c>
      <c r="S135" s="5"/>
      <c r="T135" s="6"/>
      <c r="U135" s="5"/>
      <c r="V135" s="150">
        <v>0.06</v>
      </c>
      <c r="W135" s="74"/>
    </row>
    <row r="136" spans="2:25" ht="13.35" hidden="1" customHeight="1" outlineLevel="3">
      <c r="B136" s="24" t="s">
        <v>28</v>
      </c>
      <c r="C136" s="29" t="s">
        <v>666</v>
      </c>
      <c r="D136" s="33"/>
      <c r="E136" s="6"/>
      <c r="G136" s="119" t="s">
        <v>27</v>
      </c>
      <c r="I136" s="6"/>
      <c r="K136" s="35" t="s">
        <v>677</v>
      </c>
      <c r="L136" s="74"/>
      <c r="P136" s="6"/>
      <c r="R136" s="34" t="s">
        <v>27</v>
      </c>
      <c r="S136" s="5"/>
      <c r="T136" s="6"/>
      <c r="U136" s="5"/>
      <c r="V136" s="35">
        <v>4.0000000000000001E-3</v>
      </c>
      <c r="W136" s="74"/>
    </row>
    <row r="137" spans="2:25" ht="13.35" hidden="1" customHeight="1" outlineLevel="3">
      <c r="B137" s="24" t="s">
        <v>28</v>
      </c>
      <c r="C137" s="29" t="s">
        <v>666</v>
      </c>
      <c r="D137" s="33"/>
      <c r="E137" s="6"/>
      <c r="G137" s="119" t="s">
        <v>27</v>
      </c>
      <c r="I137" s="6"/>
      <c r="K137" s="35" t="s">
        <v>673</v>
      </c>
      <c r="L137" s="35"/>
      <c r="P137" s="6"/>
      <c r="R137" s="34" t="s">
        <v>27</v>
      </c>
      <c r="S137" s="5"/>
      <c r="T137" s="6"/>
      <c r="U137" s="5"/>
      <c r="V137" s="35">
        <v>0.04</v>
      </c>
      <c r="W137" s="35"/>
    </row>
    <row r="138" spans="2:25" ht="3" hidden="1" customHeight="1" outlineLevel="2">
      <c r="B138" s="28"/>
      <c r="C138" s="29"/>
      <c r="D138" s="26"/>
      <c r="E138" s="6"/>
      <c r="F138" s="26"/>
      <c r="G138" s="119"/>
      <c r="H138" s="26"/>
      <c r="I138" s="6"/>
      <c r="J138" s="26"/>
      <c r="K138" s="75"/>
      <c r="O138" s="26"/>
      <c r="P138" s="6"/>
      <c r="Q138" s="26"/>
      <c r="R138" s="27"/>
      <c r="S138" s="26"/>
      <c r="T138" s="6"/>
      <c r="U138" s="26"/>
      <c r="V138" s="75"/>
    </row>
    <row r="139" spans="2:25" s="21" customFormat="1" hidden="1" outlineLevel="2" collapsed="1">
      <c r="B139" s="22" t="s">
        <v>902</v>
      </c>
      <c r="C139" s="22"/>
      <c r="D139" s="8"/>
      <c r="E139" s="6"/>
      <c r="F139" s="8"/>
      <c r="G139" s="124">
        <f>SUM(K139:N139)</f>
        <v>2</v>
      </c>
      <c r="H139" s="8"/>
      <c r="I139" s="6"/>
      <c r="J139" s="8"/>
      <c r="K139" s="71">
        <f>COUNTA(K140:K141)</f>
        <v>2</v>
      </c>
      <c r="L139" s="71">
        <f>COUNTA(L140:L141)</f>
        <v>0</v>
      </c>
      <c r="M139" s="71">
        <f>COUNTA(M140:M141)</f>
        <v>0</v>
      </c>
      <c r="N139" s="71">
        <f>COUNTA(N140:N141)</f>
        <v>0</v>
      </c>
      <c r="O139" s="8"/>
      <c r="P139" s="6"/>
      <c r="Q139" s="8"/>
      <c r="R139" s="23">
        <f>SUM(V139:Y139)</f>
        <v>2.1893382308758917E-2</v>
      </c>
      <c r="S139" s="8"/>
      <c r="T139" s="6"/>
      <c r="U139" s="8"/>
      <c r="V139" s="81">
        <f>SUM(V140:V141)</f>
        <v>2.1893382308758917E-2</v>
      </c>
      <c r="W139" s="71">
        <f>SUM(W140:W141)</f>
        <v>0</v>
      </c>
      <c r="X139" s="71">
        <f>SUM(X140:X141)</f>
        <v>0</v>
      </c>
      <c r="Y139" s="71">
        <f>SUM(Y140:Y141)</f>
        <v>0</v>
      </c>
    </row>
    <row r="140" spans="2:25" ht="13.35" hidden="1" customHeight="1" outlineLevel="3">
      <c r="B140" s="24" t="s">
        <v>28</v>
      </c>
      <c r="C140" s="29" t="s">
        <v>1030</v>
      </c>
      <c r="D140" s="33"/>
      <c r="E140" s="6"/>
      <c r="F140" s="33"/>
      <c r="G140" s="119" t="s">
        <v>27</v>
      </c>
      <c r="H140" s="33"/>
      <c r="I140" s="6"/>
      <c r="J140" s="33"/>
      <c r="K140" s="35" t="s">
        <v>1031</v>
      </c>
      <c r="O140" s="33"/>
      <c r="P140" s="6"/>
      <c r="Q140" s="33"/>
      <c r="R140" s="34" t="s">
        <v>27</v>
      </c>
      <c r="S140" s="33"/>
      <c r="T140" s="6"/>
      <c r="U140" s="33"/>
      <c r="V140" s="98">
        <v>1.0946691154379459E-2</v>
      </c>
      <c r="W140" s="75"/>
    </row>
    <row r="141" spans="2:25" ht="13.35" hidden="1" customHeight="1" outlineLevel="3">
      <c r="B141" s="24" t="s">
        <v>28</v>
      </c>
      <c r="C141" s="29" t="s">
        <v>1032</v>
      </c>
      <c r="D141" s="33"/>
      <c r="E141" s="6"/>
      <c r="F141" s="33"/>
      <c r="G141" s="119" t="s">
        <v>27</v>
      </c>
      <c r="H141" s="33"/>
      <c r="I141" s="6"/>
      <c r="J141" s="33"/>
      <c r="K141" s="35" t="s">
        <v>1031</v>
      </c>
      <c r="O141" s="33"/>
      <c r="P141" s="6"/>
      <c r="Q141" s="33"/>
      <c r="R141" s="34" t="s">
        <v>27</v>
      </c>
      <c r="S141" s="33"/>
      <c r="T141" s="6"/>
      <c r="U141" s="33"/>
      <c r="V141" s="107">
        <v>1.0946691154379459E-2</v>
      </c>
    </row>
    <row r="142" spans="2:25" ht="3" hidden="1" customHeight="1" outlineLevel="2">
      <c r="B142" s="28"/>
      <c r="C142" s="28"/>
      <c r="D142" s="33"/>
      <c r="E142" s="6"/>
      <c r="F142" s="33"/>
      <c r="G142" s="119"/>
      <c r="H142" s="33"/>
      <c r="I142" s="6"/>
      <c r="J142" s="33"/>
      <c r="K142" s="75"/>
      <c r="O142" s="33"/>
      <c r="P142" s="6"/>
      <c r="Q142" s="33"/>
      <c r="R142" s="34"/>
      <c r="S142" s="33"/>
      <c r="T142" s="6"/>
      <c r="U142" s="33"/>
      <c r="V142" s="75"/>
    </row>
    <row r="143" spans="2:25" s="21" customFormat="1" hidden="1" outlineLevel="2" collapsed="1">
      <c r="B143" s="22" t="s">
        <v>555</v>
      </c>
      <c r="C143" s="22"/>
      <c r="D143" s="8"/>
      <c r="E143" s="6"/>
      <c r="F143" s="8"/>
      <c r="G143" s="124">
        <f>SUM(K143:N143)</f>
        <v>61</v>
      </c>
      <c r="H143" s="8"/>
      <c r="I143" s="6"/>
      <c r="J143" s="8"/>
      <c r="K143" s="71">
        <f>COUNTA(K144:K196)</f>
        <v>11</v>
      </c>
      <c r="L143" s="71">
        <f>COUNTA(L144:L196)</f>
        <v>19</v>
      </c>
      <c r="M143" s="71">
        <f>COUNTA(M144:M196)</f>
        <v>15</v>
      </c>
      <c r="N143" s="71">
        <f>COUNTA(N144:N196)</f>
        <v>16</v>
      </c>
      <c r="O143" s="8"/>
      <c r="P143" s="6"/>
      <c r="Q143" s="8"/>
      <c r="R143" s="82">
        <f>SUM(V143:Y143)</f>
        <v>3.1719820709359414</v>
      </c>
      <c r="S143" s="152"/>
      <c r="T143" s="153"/>
      <c r="U143" s="152"/>
      <c r="V143" s="81">
        <f>SUM(V144:V196)</f>
        <v>0.98732376384577991</v>
      </c>
      <c r="W143" s="81">
        <f>SUM(W144:W196)</f>
        <v>0.24209752636701615</v>
      </c>
      <c r="X143" s="81">
        <f>SUM(X144:X196)</f>
        <v>0.25945045975464959</v>
      </c>
      <c r="Y143" s="81">
        <f>SUM(Y144:Y196)</f>
        <v>1.6831103209684959</v>
      </c>
    </row>
    <row r="144" spans="2:25" ht="13.35" hidden="1" customHeight="1" outlineLevel="3">
      <c r="B144" s="28"/>
      <c r="C144" s="25" t="s">
        <v>556</v>
      </c>
      <c r="D144" s="33"/>
      <c r="E144" s="6"/>
      <c r="F144" s="33"/>
      <c r="G144" s="120" t="s">
        <v>27</v>
      </c>
      <c r="H144" s="33"/>
      <c r="I144" s="6"/>
      <c r="J144" s="33"/>
      <c r="K144" s="126"/>
      <c r="L144" s="126" t="s">
        <v>1031</v>
      </c>
      <c r="M144" s="127"/>
      <c r="N144" s="127"/>
      <c r="O144" s="33"/>
      <c r="P144" s="6"/>
      <c r="Q144" s="33"/>
      <c r="R144" s="38" t="s">
        <v>27</v>
      </c>
      <c r="S144" s="33"/>
      <c r="T144" s="6"/>
      <c r="U144" s="33"/>
      <c r="V144" s="85">
        <v>1.4558843600881927E-3</v>
      </c>
      <c r="W144" s="86">
        <v>8.3475546435715572E-2</v>
      </c>
      <c r="X144" s="86"/>
      <c r="Y144" s="86"/>
    </row>
    <row r="145" spans="3:24" ht="13.35" hidden="1" customHeight="1" outlineLevel="3">
      <c r="S145" s="5"/>
      <c r="T145" s="26"/>
      <c r="U145" s="5"/>
    </row>
    <row r="146" spans="3:24" ht="13.35" hidden="1" customHeight="1" outlineLevel="3">
      <c r="C146" s="25" t="s">
        <v>558</v>
      </c>
      <c r="D146" s="33"/>
      <c r="E146" s="6"/>
      <c r="F146" s="33"/>
      <c r="G146" s="120" t="s">
        <v>27</v>
      </c>
      <c r="H146" s="33"/>
      <c r="I146" s="6"/>
      <c r="J146" s="33"/>
      <c r="K146" s="126" t="s">
        <v>128</v>
      </c>
      <c r="L146" s="126" t="s">
        <v>1031</v>
      </c>
      <c r="M146" s="127"/>
      <c r="N146" s="127"/>
      <c r="O146" s="33"/>
      <c r="P146" s="6"/>
      <c r="Q146" s="33"/>
      <c r="R146" s="38" t="s">
        <v>27</v>
      </c>
      <c r="S146" s="33"/>
      <c r="T146" s="6"/>
      <c r="U146" s="33"/>
      <c r="V146" s="86">
        <v>1.6148977331081289E-2</v>
      </c>
      <c r="W146" s="86">
        <v>1.6148977331081289E-2</v>
      </c>
      <c r="X146" s="86"/>
    </row>
    <row r="147" spans="3:24" ht="13.35" hidden="1" customHeight="1" outlineLevel="3">
      <c r="C147" s="25" t="s">
        <v>558</v>
      </c>
      <c r="D147" s="33"/>
      <c r="E147" s="6"/>
      <c r="F147" s="33"/>
      <c r="G147" s="120" t="s">
        <v>27</v>
      </c>
      <c r="H147" s="33"/>
      <c r="I147" s="6"/>
      <c r="J147" s="33"/>
      <c r="K147" s="128"/>
      <c r="L147" s="127"/>
      <c r="M147" s="127"/>
      <c r="N147" s="127"/>
      <c r="O147" s="33"/>
      <c r="P147" s="6"/>
      <c r="Q147" s="33"/>
      <c r="R147" s="38" t="s">
        <v>27</v>
      </c>
      <c r="S147" s="33"/>
      <c r="T147" s="6"/>
      <c r="U147" s="33"/>
      <c r="V147" s="86"/>
      <c r="W147" s="86"/>
      <c r="X147" s="86"/>
    </row>
    <row r="148" spans="3:24" ht="13.35" hidden="1" customHeight="1" outlineLevel="3">
      <c r="C148" s="25"/>
      <c r="D148" s="33"/>
      <c r="E148" s="6"/>
      <c r="F148" s="33"/>
      <c r="G148" s="120"/>
      <c r="H148" s="33"/>
      <c r="I148" s="6"/>
      <c r="J148" s="33"/>
      <c r="K148" s="126"/>
      <c r="L148" s="127"/>
      <c r="M148" s="127"/>
      <c r="N148" s="127"/>
      <c r="O148" s="33"/>
      <c r="P148" s="6"/>
      <c r="Q148" s="33"/>
      <c r="R148" s="38"/>
      <c r="S148" s="33"/>
      <c r="T148" s="6"/>
      <c r="U148" s="33"/>
      <c r="V148" s="86"/>
      <c r="W148" s="86"/>
      <c r="X148" s="86"/>
    </row>
    <row r="149" spans="3:24" ht="13.35" hidden="1" customHeight="1" outlineLevel="3">
      <c r="C149" s="25" t="s">
        <v>559</v>
      </c>
      <c r="D149" s="33"/>
      <c r="E149" s="6"/>
      <c r="F149" s="33"/>
      <c r="G149" s="120" t="s">
        <v>27</v>
      </c>
      <c r="H149" s="33"/>
      <c r="I149" s="6"/>
      <c r="J149" s="33"/>
      <c r="K149" s="126" t="s">
        <v>157</v>
      </c>
      <c r="L149" s="126" t="s">
        <v>1033</v>
      </c>
      <c r="M149" s="126" t="s">
        <v>159</v>
      </c>
      <c r="N149" s="127"/>
      <c r="O149" s="33"/>
      <c r="P149" s="6"/>
      <c r="Q149" s="33"/>
      <c r="R149" s="38" t="s">
        <v>27</v>
      </c>
      <c r="S149" s="33"/>
      <c r="T149" s="6"/>
      <c r="U149" s="33"/>
      <c r="V149" s="86">
        <v>1.1870957704319998E-2</v>
      </c>
      <c r="W149" s="86">
        <v>1.1870957704319998E-2</v>
      </c>
      <c r="X149" s="86">
        <v>1.8201425424436805E-2</v>
      </c>
    </row>
    <row r="150" spans="3:24" ht="13.35" hidden="1" customHeight="1" outlineLevel="3">
      <c r="C150" s="25" t="s">
        <v>559</v>
      </c>
      <c r="D150" s="33"/>
      <c r="E150" s="6"/>
      <c r="F150" s="33"/>
      <c r="G150" s="120" t="s">
        <v>27</v>
      </c>
      <c r="H150" s="33"/>
      <c r="I150" s="6"/>
      <c r="J150" s="33"/>
      <c r="K150" s="126" t="s">
        <v>158</v>
      </c>
      <c r="L150" s="126" t="s">
        <v>1034</v>
      </c>
      <c r="M150" s="126" t="s">
        <v>1031</v>
      </c>
      <c r="N150" s="127"/>
      <c r="O150" s="33"/>
      <c r="P150" s="6"/>
      <c r="Q150" s="33"/>
      <c r="R150" s="38" t="s">
        <v>27</v>
      </c>
      <c r="S150" s="33"/>
      <c r="T150" s="6"/>
      <c r="U150" s="33"/>
      <c r="V150" s="86">
        <v>1.5827943605759998E-2</v>
      </c>
      <c r="W150" s="86">
        <v>1.1870957704319998E-2</v>
      </c>
      <c r="X150" s="86">
        <v>6.2729832920495929E-2</v>
      </c>
    </row>
    <row r="151" spans="3:24" ht="13.35" hidden="1" customHeight="1" outlineLevel="3">
      <c r="C151" s="25" t="s">
        <v>559</v>
      </c>
      <c r="D151" s="33"/>
      <c r="E151" s="6"/>
      <c r="F151" s="33"/>
      <c r="G151" s="120" t="s">
        <v>27</v>
      </c>
      <c r="H151" s="33"/>
      <c r="I151" s="6"/>
      <c r="J151" s="33"/>
      <c r="K151" s="126" t="s">
        <v>560</v>
      </c>
      <c r="L151" s="126" t="s">
        <v>782</v>
      </c>
      <c r="M151" s="127"/>
      <c r="N151" s="127"/>
      <c r="O151" s="33"/>
      <c r="P151" s="6"/>
      <c r="Q151" s="33"/>
      <c r="R151" s="38" t="s">
        <v>27</v>
      </c>
      <c r="S151" s="33"/>
      <c r="T151" s="6"/>
      <c r="U151" s="33"/>
      <c r="V151" s="86">
        <v>1.1870957704319998E-2</v>
      </c>
      <c r="W151" s="86">
        <v>1.1870957704319998E-2</v>
      </c>
      <c r="X151" s="86"/>
    </row>
    <row r="152" spans="3:24" ht="13.35" hidden="1" customHeight="1" outlineLevel="3">
      <c r="C152" s="25" t="s">
        <v>559</v>
      </c>
      <c r="D152" s="33"/>
      <c r="E152" s="6"/>
      <c r="F152" s="33"/>
      <c r="G152" s="120" t="s">
        <v>27</v>
      </c>
      <c r="H152" s="33"/>
      <c r="I152" s="6"/>
      <c r="J152" s="33"/>
      <c r="K152" s="126" t="s">
        <v>561</v>
      </c>
      <c r="L152" s="126" t="s">
        <v>783</v>
      </c>
      <c r="M152" s="127"/>
      <c r="N152" s="127"/>
      <c r="O152" s="33"/>
      <c r="P152" s="6"/>
      <c r="Q152" s="33"/>
      <c r="R152" s="38" t="s">
        <v>27</v>
      </c>
      <c r="S152" s="33"/>
      <c r="T152" s="6"/>
      <c r="U152" s="33"/>
      <c r="V152" s="86">
        <v>1.5827943605759998E-2</v>
      </c>
      <c r="W152" s="86">
        <v>1.1870957704319998E-2</v>
      </c>
      <c r="X152" s="86"/>
    </row>
    <row r="153" spans="3:24" ht="13.35" hidden="1" customHeight="1" outlineLevel="3">
      <c r="C153" s="25" t="s">
        <v>559</v>
      </c>
      <c r="D153" s="33"/>
      <c r="E153" s="6"/>
      <c r="F153" s="33"/>
      <c r="G153" s="120" t="s">
        <v>27</v>
      </c>
      <c r="H153" s="33"/>
      <c r="I153" s="6"/>
      <c r="J153" s="33"/>
      <c r="K153" s="126" t="s">
        <v>562</v>
      </c>
      <c r="L153" s="126" t="s">
        <v>1035</v>
      </c>
      <c r="M153" s="127"/>
      <c r="N153" s="127"/>
      <c r="O153" s="33"/>
      <c r="P153" s="6"/>
      <c r="Q153" s="33"/>
      <c r="R153" s="38" t="s">
        <v>27</v>
      </c>
      <c r="S153" s="33"/>
      <c r="T153" s="6"/>
      <c r="U153" s="33"/>
      <c r="V153" s="86">
        <v>3.7611315056000003E-2</v>
      </c>
      <c r="W153" s="86">
        <v>1.4558843600881927E-3</v>
      </c>
      <c r="X153" s="86"/>
    </row>
    <row r="154" spans="3:24" ht="13.35" hidden="1" customHeight="1" outlineLevel="3">
      <c r="C154" s="25" t="s">
        <v>559</v>
      </c>
      <c r="D154" s="33"/>
      <c r="E154" s="6"/>
      <c r="F154" s="33"/>
      <c r="G154" s="120" t="s">
        <v>27</v>
      </c>
      <c r="H154" s="33"/>
      <c r="I154" s="6"/>
      <c r="J154" s="33"/>
      <c r="K154" s="126" t="s">
        <v>781</v>
      </c>
      <c r="L154" s="127"/>
      <c r="M154" s="127"/>
      <c r="N154" s="127"/>
      <c r="O154" s="33"/>
      <c r="P154" s="6"/>
      <c r="Q154" s="33"/>
      <c r="R154" s="38" t="s">
        <v>27</v>
      </c>
      <c r="S154" s="33"/>
      <c r="T154" s="6"/>
      <c r="U154" s="33"/>
      <c r="V154" s="86">
        <v>3.7611315056000003E-2</v>
      </c>
      <c r="W154" s="86"/>
      <c r="X154" s="86"/>
    </row>
    <row r="155" spans="3:24" ht="13.35" hidden="1" customHeight="1" outlineLevel="3">
      <c r="C155" s="25" t="s">
        <v>559</v>
      </c>
      <c r="D155" s="33"/>
      <c r="E155" s="6"/>
      <c r="G155" s="120" t="s">
        <v>27</v>
      </c>
      <c r="I155" s="6"/>
      <c r="L155" s="127"/>
      <c r="M155" s="127"/>
      <c r="N155" s="127"/>
      <c r="P155" s="6"/>
      <c r="R155" s="38" t="s">
        <v>27</v>
      </c>
      <c r="S155" s="5"/>
      <c r="T155" s="6"/>
      <c r="U155" s="5"/>
      <c r="V155" s="86">
        <v>3.7611315056000003E-2</v>
      </c>
      <c r="W155" s="86"/>
      <c r="X155" s="86"/>
    </row>
    <row r="156" spans="3:24" ht="13.35" hidden="1" customHeight="1" outlineLevel="3">
      <c r="C156" s="25" t="s">
        <v>559</v>
      </c>
      <c r="D156" s="33"/>
      <c r="E156" s="6"/>
      <c r="G156" s="120" t="s">
        <v>27</v>
      </c>
      <c r="I156" s="6"/>
      <c r="L156" s="127"/>
      <c r="M156" s="127"/>
      <c r="N156" s="127"/>
      <c r="P156" s="6"/>
      <c r="R156" s="38" t="s">
        <v>27</v>
      </c>
      <c r="S156" s="5"/>
      <c r="T156" s="6"/>
      <c r="U156" s="5"/>
      <c r="V156" s="86">
        <v>5.4604276273310416E-3</v>
      </c>
      <c r="W156" s="86"/>
      <c r="X156" s="86"/>
    </row>
    <row r="157" spans="3:24" ht="13.35" hidden="1" customHeight="1" outlineLevel="3">
      <c r="C157" s="25" t="s">
        <v>559</v>
      </c>
      <c r="D157" s="33"/>
      <c r="E157" s="6"/>
      <c r="G157" s="120" t="s">
        <v>27</v>
      </c>
      <c r="I157" s="6"/>
      <c r="K157" s="128"/>
      <c r="L157" s="127"/>
      <c r="M157" s="127"/>
      <c r="N157" s="127"/>
      <c r="P157" s="6"/>
      <c r="R157" s="38" t="s">
        <v>27</v>
      </c>
      <c r="S157" s="5"/>
      <c r="T157" s="6"/>
      <c r="U157" s="5"/>
      <c r="V157" s="86"/>
      <c r="W157" s="86"/>
      <c r="X157" s="86"/>
    </row>
    <row r="158" spans="3:24" ht="13.35" hidden="1" customHeight="1" outlineLevel="3">
      <c r="C158" s="25" t="s">
        <v>559</v>
      </c>
      <c r="D158" s="33"/>
      <c r="E158" s="6"/>
      <c r="G158" s="120" t="s">
        <v>27</v>
      </c>
      <c r="I158" s="6"/>
      <c r="K158" s="128"/>
      <c r="L158" s="127"/>
      <c r="M158" s="127"/>
      <c r="N158" s="127"/>
      <c r="P158" s="6"/>
      <c r="R158" s="38" t="s">
        <v>27</v>
      </c>
      <c r="S158" s="5"/>
      <c r="T158" s="6"/>
      <c r="U158" s="5"/>
      <c r="V158" s="86"/>
      <c r="W158" s="86"/>
      <c r="X158" s="86"/>
    </row>
    <row r="159" spans="3:24" ht="13.35" hidden="1" customHeight="1" outlineLevel="3">
      <c r="C159" s="25" t="s">
        <v>559</v>
      </c>
      <c r="D159" s="33"/>
      <c r="E159" s="6"/>
      <c r="G159" s="120" t="s">
        <v>27</v>
      </c>
      <c r="I159" s="6"/>
      <c r="K159" s="128"/>
      <c r="L159" s="127"/>
      <c r="M159" s="127"/>
      <c r="N159" s="127"/>
      <c r="P159" s="6"/>
      <c r="R159" s="38" t="s">
        <v>27</v>
      </c>
      <c r="S159" s="5"/>
      <c r="T159" s="6"/>
      <c r="U159" s="5"/>
      <c r="V159" s="86"/>
      <c r="W159" s="86"/>
      <c r="X159" s="86"/>
    </row>
    <row r="160" spans="3:24" ht="13.35" hidden="1" customHeight="1" outlineLevel="3">
      <c r="C160" s="25" t="s">
        <v>559</v>
      </c>
      <c r="D160" s="33"/>
      <c r="E160" s="6"/>
      <c r="G160" s="120" t="s">
        <v>27</v>
      </c>
      <c r="I160" s="6"/>
      <c r="K160" s="128"/>
      <c r="L160" s="127"/>
      <c r="M160" s="127"/>
      <c r="N160" s="127"/>
      <c r="P160" s="6"/>
      <c r="R160" s="38" t="s">
        <v>27</v>
      </c>
      <c r="S160" s="5"/>
      <c r="T160" s="6"/>
      <c r="U160" s="5"/>
      <c r="V160" s="86"/>
      <c r="W160" s="86"/>
      <c r="X160" s="86"/>
    </row>
    <row r="161" spans="3:25" ht="13.35" hidden="1" customHeight="1" outlineLevel="3">
      <c r="C161" s="25" t="s">
        <v>559</v>
      </c>
      <c r="D161" s="33"/>
      <c r="E161" s="6"/>
      <c r="G161" s="120" t="s">
        <v>27</v>
      </c>
      <c r="I161" s="6"/>
      <c r="K161" s="128"/>
      <c r="L161" s="127"/>
      <c r="M161" s="127"/>
      <c r="N161" s="127"/>
      <c r="P161" s="6"/>
      <c r="R161" s="38" t="s">
        <v>27</v>
      </c>
      <c r="S161" s="5"/>
      <c r="T161" s="6"/>
      <c r="U161" s="5"/>
      <c r="V161" s="86"/>
      <c r="W161" s="86"/>
      <c r="X161" s="86"/>
      <c r="Y161" s="86"/>
    </row>
    <row r="162" spans="3:25" ht="13.35" hidden="1" customHeight="1" outlineLevel="3">
      <c r="C162" s="25" t="s">
        <v>559</v>
      </c>
      <c r="D162" s="33"/>
      <c r="E162" s="6"/>
      <c r="G162" s="120" t="s">
        <v>27</v>
      </c>
      <c r="I162" s="6"/>
      <c r="K162" s="128"/>
      <c r="L162" s="127"/>
      <c r="M162" s="127"/>
      <c r="N162" s="127"/>
      <c r="P162" s="6"/>
      <c r="R162" s="38" t="s">
        <v>27</v>
      </c>
      <c r="S162" s="5"/>
      <c r="T162" s="6"/>
      <c r="U162" s="5"/>
      <c r="V162" s="86"/>
      <c r="W162" s="86"/>
      <c r="X162" s="86"/>
      <c r="Y162" s="86"/>
    </row>
    <row r="163" spans="3:25" ht="13.35" hidden="1" customHeight="1" outlineLevel="3">
      <c r="C163" s="39"/>
      <c r="D163" s="33"/>
      <c r="E163" s="6"/>
      <c r="G163" s="120"/>
      <c r="I163" s="6"/>
      <c r="K163" s="127"/>
      <c r="L163" s="127"/>
      <c r="M163" s="127"/>
      <c r="N163" s="127"/>
      <c r="P163" s="6"/>
      <c r="R163" s="38"/>
      <c r="S163" s="5"/>
      <c r="T163" s="6"/>
      <c r="U163" s="5"/>
      <c r="V163" s="86"/>
      <c r="W163" s="86"/>
      <c r="X163" s="86"/>
      <c r="Y163" s="86"/>
    </row>
    <row r="164" spans="3:25" ht="13.35" hidden="1" customHeight="1" outlineLevel="3">
      <c r="C164" s="89" t="s">
        <v>1036</v>
      </c>
      <c r="D164" s="33"/>
      <c r="E164" s="6"/>
      <c r="G164" s="120" t="s">
        <v>27</v>
      </c>
      <c r="I164" s="6"/>
      <c r="K164" s="126" t="s">
        <v>31</v>
      </c>
      <c r="L164" s="126" t="s">
        <v>33</v>
      </c>
      <c r="M164" s="129" t="s">
        <v>1037</v>
      </c>
      <c r="N164" s="129" t="s">
        <v>1038</v>
      </c>
      <c r="P164" s="6"/>
      <c r="R164" s="38" t="s">
        <v>27</v>
      </c>
      <c r="S164" s="5"/>
      <c r="T164" s="6"/>
      <c r="U164" s="5"/>
      <c r="V164" s="86">
        <v>6.2729832920495929E-2</v>
      </c>
      <c r="W164" s="86">
        <v>1.8805657528000001E-2</v>
      </c>
      <c r="X164" s="86">
        <v>5.9354788521599989E-3</v>
      </c>
      <c r="Y164" s="86">
        <v>1.8805657528000001E-2</v>
      </c>
    </row>
    <row r="165" spans="3:25" ht="13.35" hidden="1" customHeight="1" outlineLevel="3">
      <c r="C165" s="89" t="s">
        <v>1036</v>
      </c>
      <c r="D165" s="33"/>
      <c r="E165" s="6"/>
      <c r="G165" s="120" t="s">
        <v>27</v>
      </c>
      <c r="I165" s="6"/>
      <c r="K165" s="126" t="s">
        <v>32</v>
      </c>
      <c r="L165" s="126" t="s">
        <v>1039</v>
      </c>
      <c r="M165" s="129" t="s">
        <v>1040</v>
      </c>
      <c r="N165" s="126" t="s">
        <v>1041</v>
      </c>
      <c r="P165" s="6"/>
      <c r="R165" s="38" t="s">
        <v>27</v>
      </c>
      <c r="S165" s="5"/>
      <c r="T165" s="6"/>
      <c r="U165" s="5"/>
      <c r="V165" s="86">
        <v>0.12545966584099186</v>
      </c>
      <c r="W165" s="86">
        <v>1.8805657528000001E-2</v>
      </c>
      <c r="X165" s="86">
        <v>5.9354788521599989E-3</v>
      </c>
      <c r="Y165" s="86">
        <v>1.8805657528000001E-2</v>
      </c>
    </row>
    <row r="166" spans="3:25" ht="13.35" hidden="1" customHeight="1" outlineLevel="3">
      <c r="C166" s="89" t="s">
        <v>1036</v>
      </c>
      <c r="D166" s="33"/>
      <c r="E166" s="6"/>
      <c r="G166" s="120" t="s">
        <v>27</v>
      </c>
      <c r="I166" s="6"/>
      <c r="K166" s="126" t="s">
        <v>1042</v>
      </c>
      <c r="L166" s="126" t="s">
        <v>1043</v>
      </c>
      <c r="M166" s="129" t="s">
        <v>1044</v>
      </c>
      <c r="N166" s="126" t="s">
        <v>1045</v>
      </c>
      <c r="P166" s="6"/>
      <c r="R166" s="38" t="s">
        <v>27</v>
      </c>
      <c r="S166" s="5"/>
      <c r="T166" s="6"/>
      <c r="U166" s="5"/>
      <c r="V166" s="86">
        <v>0.43982998919999999</v>
      </c>
      <c r="W166" s="86">
        <v>1.8805657528000001E-2</v>
      </c>
      <c r="X166" s="86">
        <v>5.9354788521599989E-3</v>
      </c>
      <c r="Y166" s="86">
        <v>1.8805657528000001E-2</v>
      </c>
    </row>
    <row r="167" spans="3:25" ht="13.35" hidden="1" customHeight="1" outlineLevel="3">
      <c r="C167" s="89" t="s">
        <v>1036</v>
      </c>
      <c r="D167" s="33"/>
      <c r="E167" s="6"/>
      <c r="G167" s="120" t="s">
        <v>27</v>
      </c>
      <c r="I167" s="6"/>
      <c r="K167" s="126" t="s">
        <v>1046</v>
      </c>
      <c r="L167" s="126" t="s">
        <v>1047</v>
      </c>
      <c r="M167" s="129" t="s">
        <v>1048</v>
      </c>
      <c r="N167" s="126" t="s">
        <v>1049</v>
      </c>
      <c r="P167" s="6"/>
      <c r="R167" s="38" t="s">
        <v>27</v>
      </c>
      <c r="S167" s="5"/>
      <c r="T167" s="6"/>
      <c r="U167" s="5"/>
      <c r="V167" s="86">
        <v>0.12545966584099186</v>
      </c>
      <c r="W167" s="86">
        <v>7.9139718028799991E-3</v>
      </c>
      <c r="X167" s="86">
        <v>5.9354788521599989E-3</v>
      </c>
      <c r="Y167" s="86">
        <v>1.8805657528000001E-2</v>
      </c>
    </row>
    <row r="168" spans="3:25" ht="13.35" hidden="1" customHeight="1" outlineLevel="3">
      <c r="C168" s="89" t="s">
        <v>1036</v>
      </c>
      <c r="D168" s="33"/>
      <c r="E168" s="6"/>
      <c r="G168" s="120" t="s">
        <v>27</v>
      </c>
      <c r="I168" s="6"/>
      <c r="K168" s="127"/>
      <c r="L168" s="126" t="s">
        <v>1050</v>
      </c>
      <c r="M168" s="129" t="s">
        <v>1051</v>
      </c>
      <c r="N168" s="128" t="s">
        <v>1052</v>
      </c>
      <c r="P168" s="6"/>
      <c r="R168" s="38" t="s">
        <v>27</v>
      </c>
      <c r="S168" s="5"/>
      <c r="T168" s="6"/>
      <c r="U168" s="5"/>
      <c r="V168" s="86">
        <v>1.8805657528000001E-2</v>
      </c>
      <c r="W168" s="86">
        <v>7.9139718028799991E-3</v>
      </c>
      <c r="X168" s="86">
        <v>5.9354788521599989E-3</v>
      </c>
      <c r="Y168" s="86">
        <v>0.43982998919999999</v>
      </c>
    </row>
    <row r="169" spans="3:25" s="5" customFormat="1" ht="13.35" hidden="1" customHeight="1" outlineLevel="3">
      <c r="C169" s="89" t="s">
        <v>1036</v>
      </c>
      <c r="D169" s="33"/>
      <c r="E169" s="6"/>
      <c r="G169" s="120" t="s">
        <v>27</v>
      </c>
      <c r="I169" s="6"/>
      <c r="K169" s="127"/>
      <c r="L169" s="126" t="s">
        <v>1053</v>
      </c>
      <c r="M169" s="129" t="s">
        <v>1054</v>
      </c>
      <c r="N169" s="128" t="s">
        <v>1055</v>
      </c>
      <c r="P169" s="6"/>
      <c r="R169" s="38" t="s">
        <v>27</v>
      </c>
      <c r="T169" s="6"/>
      <c r="V169" s="86">
        <v>5.9354788521599989E-3</v>
      </c>
      <c r="W169" s="86">
        <v>7.9139718028799991E-3</v>
      </c>
      <c r="X169" s="86">
        <v>5.9354788521599989E-3</v>
      </c>
      <c r="Y169" s="86">
        <v>0.43982998919999999</v>
      </c>
    </row>
    <row r="170" spans="3:25" s="5" customFormat="1" ht="13.35" hidden="1" customHeight="1" outlineLevel="3">
      <c r="C170" s="89" t="s">
        <v>1036</v>
      </c>
      <c r="D170" s="33"/>
      <c r="E170" s="6"/>
      <c r="G170" s="120" t="s">
        <v>27</v>
      </c>
      <c r="I170" s="6"/>
      <c r="K170" s="127"/>
      <c r="L170" s="126" t="s">
        <v>1056</v>
      </c>
      <c r="M170" s="129" t="s">
        <v>1057</v>
      </c>
      <c r="N170" s="128" t="s">
        <v>115</v>
      </c>
      <c r="P170" s="6"/>
      <c r="R170" s="38" t="s">
        <v>27</v>
      </c>
      <c r="T170" s="6"/>
      <c r="V170" s="86">
        <v>5.9354788521599989E-3</v>
      </c>
      <c r="W170" s="86">
        <v>7.9139718028799991E-3</v>
      </c>
      <c r="X170" s="86">
        <v>5.9354788521599989E-3</v>
      </c>
      <c r="Y170" s="86">
        <v>0.43982998919999999</v>
      </c>
    </row>
    <row r="171" spans="3:25" s="5" customFormat="1" ht="13.35" hidden="1" customHeight="1" outlineLevel="3">
      <c r="C171" s="89" t="s">
        <v>1036</v>
      </c>
      <c r="D171" s="33"/>
      <c r="E171" s="6"/>
      <c r="G171" s="120" t="s">
        <v>27</v>
      </c>
      <c r="I171" s="6"/>
      <c r="K171" s="127"/>
      <c r="L171" s="129" t="s">
        <v>1058</v>
      </c>
      <c r="M171" s="129" t="s">
        <v>1059</v>
      </c>
      <c r="N171" s="130" t="s">
        <v>1060</v>
      </c>
      <c r="P171" s="6"/>
      <c r="R171" s="38" t="s">
        <v>27</v>
      </c>
      <c r="T171" s="6"/>
      <c r="V171" s="86">
        <v>5.9354788521599989E-3</v>
      </c>
      <c r="W171" s="86">
        <v>5.4604276273310416E-3</v>
      </c>
      <c r="X171" s="86">
        <v>5.9354788521599989E-3</v>
      </c>
      <c r="Y171" s="86">
        <v>2.8208486291999998E-2</v>
      </c>
    </row>
    <row r="172" spans="3:25" s="5" customFormat="1" ht="13.35" hidden="1" customHeight="1" outlineLevel="3">
      <c r="C172" s="89" t="s">
        <v>1036</v>
      </c>
      <c r="D172" s="33"/>
      <c r="E172" s="6"/>
      <c r="G172" s="120" t="s">
        <v>27</v>
      </c>
      <c r="I172" s="6"/>
      <c r="K172" s="127"/>
      <c r="L172" s="129" t="s">
        <v>1061</v>
      </c>
      <c r="M172" s="126" t="s">
        <v>1062</v>
      </c>
      <c r="N172" s="130" t="s">
        <v>1063</v>
      </c>
      <c r="P172" s="6"/>
      <c r="R172" s="38" t="s">
        <v>27</v>
      </c>
      <c r="T172" s="6"/>
      <c r="V172" s="86">
        <v>5.9354788521599989E-3</v>
      </c>
      <c r="W172" s="86"/>
      <c r="X172" s="86">
        <v>2.8208486291999998E-2</v>
      </c>
      <c r="Y172" s="86">
        <v>2.8208486291999998E-2</v>
      </c>
    </row>
    <row r="173" spans="3:25" s="5" customFormat="1" ht="13.35" hidden="1" customHeight="1" outlineLevel="3">
      <c r="C173" s="89" t="s">
        <v>1036</v>
      </c>
      <c r="D173" s="33"/>
      <c r="E173" s="6"/>
      <c r="G173" s="120" t="s">
        <v>27</v>
      </c>
      <c r="I173" s="6"/>
      <c r="K173" s="126"/>
      <c r="L173" s="129" t="s">
        <v>1064</v>
      </c>
      <c r="M173" s="126" t="s">
        <v>1065</v>
      </c>
      <c r="N173" s="130" t="s">
        <v>1066</v>
      </c>
      <c r="P173" s="6"/>
      <c r="R173" s="38" t="s">
        <v>27</v>
      </c>
      <c r="T173" s="6"/>
      <c r="V173" s="86"/>
      <c r="W173" s="86"/>
      <c r="X173" s="86">
        <v>2.8208486291999998E-2</v>
      </c>
      <c r="Y173" s="86">
        <v>2.8208486291999998E-2</v>
      </c>
    </row>
    <row r="174" spans="3:25" s="5" customFormat="1" ht="13.35" hidden="1" customHeight="1" outlineLevel="3">
      <c r="C174" s="89" t="s">
        <v>1036</v>
      </c>
      <c r="D174" s="33"/>
      <c r="E174" s="6"/>
      <c r="G174" s="120" t="s">
        <v>27</v>
      </c>
      <c r="I174" s="6"/>
      <c r="K174" s="128"/>
      <c r="L174" s="129" t="s">
        <v>1067</v>
      </c>
      <c r="M174" s="126" t="s">
        <v>1068</v>
      </c>
      <c r="N174" s="130" t="s">
        <v>1069</v>
      </c>
      <c r="P174" s="6"/>
      <c r="R174" s="38" t="s">
        <v>27</v>
      </c>
      <c r="T174" s="6"/>
      <c r="V174" s="86"/>
      <c r="W174" s="86"/>
      <c r="X174" s="86">
        <v>2.8208486291999998E-2</v>
      </c>
      <c r="Y174" s="86">
        <v>2.8208486291999998E-2</v>
      </c>
    </row>
    <row r="175" spans="3:25" s="5" customFormat="1" ht="13.35" hidden="1" customHeight="1" outlineLevel="3">
      <c r="C175" s="89" t="s">
        <v>1036</v>
      </c>
      <c r="D175" s="33"/>
      <c r="E175" s="6"/>
      <c r="G175" s="120" t="s">
        <v>27</v>
      </c>
      <c r="I175" s="6"/>
      <c r="K175" s="128"/>
      <c r="L175" s="126" t="s">
        <v>1070</v>
      </c>
      <c r="M175" s="126" t="s">
        <v>1071</v>
      </c>
      <c r="N175" s="130" t="s">
        <v>1031</v>
      </c>
      <c r="P175" s="6"/>
      <c r="R175" s="38" t="s">
        <v>27</v>
      </c>
      <c r="T175" s="6"/>
      <c r="V175" s="86"/>
      <c r="W175" s="86"/>
      <c r="X175" s="86">
        <v>2.8208486291999998E-2</v>
      </c>
      <c r="Y175" s="86">
        <v>6.2729832920495929E-2</v>
      </c>
    </row>
    <row r="176" spans="3:25" s="5" customFormat="1" ht="13.35" hidden="1" customHeight="1" outlineLevel="3">
      <c r="C176" s="89" t="s">
        <v>1036</v>
      </c>
      <c r="D176" s="33"/>
      <c r="E176" s="6"/>
      <c r="G176" s="120" t="s">
        <v>27</v>
      </c>
      <c r="I176" s="6"/>
      <c r="K176" s="128"/>
      <c r="L176" s="127"/>
      <c r="M176" s="129" t="s">
        <v>159</v>
      </c>
      <c r="N176" s="131" t="s">
        <v>1072</v>
      </c>
      <c r="P176" s="6"/>
      <c r="R176" s="38" t="s">
        <v>27</v>
      </c>
      <c r="T176" s="6"/>
      <c r="V176" s="86"/>
      <c r="W176" s="86"/>
      <c r="X176" s="86">
        <v>1.8201425424436805E-2</v>
      </c>
      <c r="Y176" s="86">
        <v>2.8208486291999998E-2</v>
      </c>
    </row>
    <row r="177" spans="3:25" s="5" customFormat="1" ht="13.35" hidden="1" customHeight="1" outlineLevel="3">
      <c r="C177" s="89" t="s">
        <v>1036</v>
      </c>
      <c r="D177" s="33"/>
      <c r="E177" s="6"/>
      <c r="G177" s="120" t="s">
        <v>27</v>
      </c>
      <c r="I177" s="6"/>
      <c r="K177" s="126"/>
      <c r="L177" s="127"/>
      <c r="M177" s="128"/>
      <c r="N177" s="131" t="s">
        <v>1073</v>
      </c>
      <c r="P177" s="6"/>
      <c r="R177" s="38" t="s">
        <v>27</v>
      </c>
      <c r="T177" s="6"/>
      <c r="V177" s="3"/>
      <c r="W177" s="86"/>
      <c r="X177" s="86"/>
      <c r="Y177" s="86">
        <v>2.8208486291999998E-2</v>
      </c>
    </row>
    <row r="178" spans="3:25" s="5" customFormat="1" ht="13.35" hidden="1" customHeight="1" outlineLevel="3">
      <c r="C178" s="89" t="s">
        <v>1036</v>
      </c>
      <c r="D178" s="33"/>
      <c r="E178" s="6"/>
      <c r="G178" s="120" t="s">
        <v>27</v>
      </c>
      <c r="I178" s="6"/>
      <c r="K178" s="72"/>
      <c r="L178" s="129"/>
      <c r="M178" s="128"/>
      <c r="N178" s="131" t="s">
        <v>1074</v>
      </c>
      <c r="P178" s="6"/>
      <c r="R178" s="38" t="s">
        <v>27</v>
      </c>
      <c r="T178" s="6"/>
      <c r="V178" s="86"/>
      <c r="W178" s="86"/>
      <c r="X178" s="86"/>
      <c r="Y178" s="86">
        <v>2.8208486291999998E-2</v>
      </c>
    </row>
    <row r="179" spans="3:25" s="5" customFormat="1" ht="13.35" hidden="1" customHeight="1" outlineLevel="3">
      <c r="C179" s="89" t="s">
        <v>1036</v>
      </c>
      <c r="D179" s="33"/>
      <c r="E179" s="6"/>
      <c r="G179" s="120" t="s">
        <v>27</v>
      </c>
      <c r="I179" s="6"/>
      <c r="K179" s="72"/>
      <c r="L179" s="129"/>
      <c r="M179" s="127"/>
      <c r="N179" s="131" t="s">
        <v>1075</v>
      </c>
      <c r="P179" s="6"/>
      <c r="R179" s="38" t="s">
        <v>27</v>
      </c>
      <c r="T179" s="6"/>
      <c r="V179" s="3"/>
      <c r="W179" s="3"/>
      <c r="X179" s="3"/>
      <c r="Y179" s="86">
        <v>2.8208486291999998E-2</v>
      </c>
    </row>
    <row r="180" spans="3:25" s="5" customFormat="1" ht="13.35" hidden="1" customHeight="1" outlineLevel="3">
      <c r="C180" s="89" t="s">
        <v>1036</v>
      </c>
      <c r="D180" s="33"/>
      <c r="E180" s="6"/>
      <c r="G180" s="120" t="s">
        <v>27</v>
      </c>
      <c r="I180" s="6"/>
      <c r="K180" s="127"/>
      <c r="L180" s="127"/>
      <c r="M180" s="127"/>
      <c r="N180" s="127"/>
      <c r="P180" s="6"/>
      <c r="R180" s="38" t="s">
        <v>27</v>
      </c>
      <c r="T180" s="6"/>
      <c r="V180" s="3"/>
      <c r="W180" s="3"/>
      <c r="X180" s="3"/>
      <c r="Y180" s="65"/>
    </row>
    <row r="181" spans="3:25" s="5" customFormat="1" ht="13.35" hidden="1" customHeight="1" outlineLevel="3">
      <c r="C181" s="89" t="s">
        <v>1036</v>
      </c>
      <c r="D181" s="33"/>
      <c r="E181" s="6"/>
      <c r="G181" s="120" t="s">
        <v>27</v>
      </c>
      <c r="I181" s="6"/>
      <c r="K181" s="127"/>
      <c r="L181" s="127"/>
      <c r="M181" s="127"/>
      <c r="N181" s="127"/>
      <c r="P181" s="6"/>
      <c r="R181" s="38" t="s">
        <v>27</v>
      </c>
      <c r="T181" s="6"/>
      <c r="V181" s="86"/>
      <c r="W181" s="86"/>
      <c r="X181" s="86"/>
      <c r="Y181" s="65"/>
    </row>
    <row r="182" spans="3:25" s="5" customFormat="1" ht="13.35" hidden="1" customHeight="1" outlineLevel="3">
      <c r="C182" s="89" t="s">
        <v>1036</v>
      </c>
      <c r="D182" s="33"/>
      <c r="E182" s="6"/>
      <c r="G182" s="120" t="s">
        <v>27</v>
      </c>
      <c r="I182" s="6"/>
      <c r="K182" s="127"/>
      <c r="L182" s="127"/>
      <c r="M182" s="127"/>
      <c r="N182" s="127"/>
      <c r="P182" s="6"/>
      <c r="R182" s="38" t="s">
        <v>27</v>
      </c>
      <c r="T182" s="6"/>
      <c r="V182" s="86"/>
      <c r="W182" s="86"/>
      <c r="X182" s="86"/>
      <c r="Y182" s="65"/>
    </row>
    <row r="183" spans="3:25" s="5" customFormat="1" ht="13.35" hidden="1" customHeight="1" outlineLevel="3">
      <c r="C183" s="89" t="s">
        <v>1036</v>
      </c>
      <c r="D183" s="33"/>
      <c r="E183" s="6"/>
      <c r="G183" s="120" t="s">
        <v>27</v>
      </c>
      <c r="I183" s="6"/>
      <c r="K183" s="127"/>
      <c r="L183" s="129"/>
      <c r="M183" s="129"/>
      <c r="N183" s="127"/>
      <c r="P183" s="6"/>
      <c r="R183" s="38"/>
      <c r="T183" s="6"/>
      <c r="V183" s="86"/>
      <c r="W183" s="86"/>
      <c r="X183" s="86"/>
      <c r="Y183" s="65"/>
    </row>
    <row r="184" spans="3:25" s="5" customFormat="1" ht="13.35" hidden="1" customHeight="1" outlineLevel="3">
      <c r="C184" s="89" t="s">
        <v>1036</v>
      </c>
      <c r="D184" s="33"/>
      <c r="E184" s="6"/>
      <c r="G184" s="120" t="s">
        <v>27</v>
      </c>
      <c r="I184" s="6"/>
      <c r="K184" s="127"/>
      <c r="L184" s="129"/>
      <c r="M184" s="129"/>
      <c r="N184" s="128"/>
      <c r="P184" s="6"/>
      <c r="R184" s="38"/>
      <c r="T184" s="6"/>
      <c r="V184" s="86"/>
      <c r="W184" s="86"/>
      <c r="X184" s="86"/>
      <c r="Y184" s="86"/>
    </row>
    <row r="185" spans="3:25" ht="13.35" hidden="1" customHeight="1" outlineLevel="3">
      <c r="C185" s="89" t="s">
        <v>1036</v>
      </c>
      <c r="D185" s="33"/>
      <c r="E185" s="6"/>
      <c r="G185" s="120" t="s">
        <v>27</v>
      </c>
      <c r="I185" s="6"/>
      <c r="K185" s="127"/>
      <c r="L185" s="129"/>
      <c r="M185" s="129"/>
      <c r="N185" s="128"/>
      <c r="P185" s="6"/>
      <c r="R185" s="38"/>
      <c r="S185" s="5"/>
      <c r="T185" s="6"/>
      <c r="U185" s="5"/>
      <c r="V185" s="86"/>
      <c r="W185" s="86"/>
      <c r="X185" s="86"/>
      <c r="Y185" s="86"/>
    </row>
    <row r="186" spans="3:25" ht="13.35" hidden="1" customHeight="1" outlineLevel="3">
      <c r="C186" s="89" t="s">
        <v>1036</v>
      </c>
      <c r="D186" s="33"/>
      <c r="E186" s="6"/>
      <c r="G186" s="120" t="s">
        <v>27</v>
      </c>
      <c r="I186" s="6"/>
      <c r="K186" s="127"/>
      <c r="L186" s="127"/>
      <c r="M186" s="129"/>
      <c r="N186" s="128"/>
      <c r="P186" s="6"/>
      <c r="R186" s="38"/>
      <c r="S186" s="5"/>
      <c r="T186" s="6"/>
      <c r="U186" s="5"/>
      <c r="V186" s="86"/>
      <c r="W186" s="86"/>
      <c r="X186" s="86"/>
      <c r="Y186" s="86"/>
    </row>
    <row r="187" spans="3:25" ht="13.35" hidden="1" customHeight="1" outlineLevel="3">
      <c r="C187" s="89" t="s">
        <v>1036</v>
      </c>
      <c r="D187" s="33"/>
      <c r="E187" s="6"/>
      <c r="G187" s="120" t="s">
        <v>27</v>
      </c>
      <c r="I187" s="6"/>
      <c r="K187" s="127"/>
      <c r="L187" s="127"/>
      <c r="M187" s="129"/>
      <c r="N187" s="128"/>
      <c r="P187" s="6"/>
      <c r="R187" s="38"/>
      <c r="S187" s="5"/>
      <c r="T187" s="6"/>
      <c r="U187" s="5"/>
      <c r="V187" s="86"/>
      <c r="W187" s="86"/>
      <c r="X187" s="86"/>
      <c r="Y187" s="86"/>
    </row>
    <row r="188" spans="3:25" ht="13.35" hidden="1" customHeight="1" outlineLevel="3">
      <c r="C188" s="89" t="s">
        <v>1036</v>
      </c>
      <c r="D188" s="33"/>
      <c r="E188" s="6"/>
      <c r="G188" s="120" t="s">
        <v>27</v>
      </c>
      <c r="I188" s="6"/>
      <c r="K188" s="127"/>
      <c r="L188" s="127"/>
      <c r="M188" s="129"/>
      <c r="N188" s="128"/>
      <c r="P188" s="6"/>
      <c r="R188" s="38"/>
      <c r="S188" s="5"/>
      <c r="T188" s="6"/>
      <c r="U188" s="5"/>
      <c r="V188" s="86"/>
      <c r="W188" s="86"/>
      <c r="X188" s="86"/>
      <c r="Y188" s="86"/>
    </row>
    <row r="189" spans="3:25" ht="13.35" hidden="1" customHeight="1" outlineLevel="3">
      <c r="C189" s="89" t="s">
        <v>1036</v>
      </c>
      <c r="D189" s="33"/>
      <c r="E189" s="6"/>
      <c r="G189" s="120" t="s">
        <v>27</v>
      </c>
      <c r="I189" s="6"/>
      <c r="K189" s="127"/>
      <c r="L189" s="129"/>
      <c r="M189" s="129"/>
      <c r="N189" s="128"/>
      <c r="P189" s="6"/>
      <c r="R189" s="38"/>
      <c r="S189" s="5"/>
      <c r="T189" s="6"/>
      <c r="U189" s="5"/>
      <c r="V189" s="86"/>
      <c r="W189" s="86"/>
      <c r="X189" s="86"/>
      <c r="Y189" s="86"/>
    </row>
    <row r="190" spans="3:25" ht="13.35" hidden="1" customHeight="1" outlineLevel="3">
      <c r="C190" s="89" t="s">
        <v>1036</v>
      </c>
      <c r="D190" s="33"/>
      <c r="E190" s="6"/>
      <c r="G190" s="120" t="s">
        <v>27</v>
      </c>
      <c r="I190" s="6"/>
      <c r="K190" s="127"/>
      <c r="L190" s="129"/>
      <c r="M190" s="129"/>
      <c r="N190" s="128"/>
      <c r="P190" s="6"/>
      <c r="R190" s="38"/>
      <c r="S190" s="5"/>
      <c r="T190" s="6"/>
      <c r="U190" s="5"/>
      <c r="V190" s="86"/>
      <c r="W190" s="86"/>
      <c r="X190" s="86"/>
      <c r="Y190" s="86"/>
    </row>
    <row r="191" spans="3:25" ht="13.35" hidden="1" customHeight="1" outlineLevel="3">
      <c r="C191" s="89" t="s">
        <v>1036</v>
      </c>
      <c r="D191" s="33"/>
      <c r="E191" s="6"/>
      <c r="G191" s="120" t="s">
        <v>27</v>
      </c>
      <c r="I191" s="6"/>
      <c r="K191" s="127"/>
      <c r="L191" s="132"/>
      <c r="M191" s="129"/>
      <c r="N191" s="128"/>
      <c r="P191" s="6"/>
      <c r="R191" s="38"/>
      <c r="S191" s="5"/>
      <c r="T191" s="6"/>
      <c r="U191" s="5"/>
      <c r="V191" s="86"/>
      <c r="W191" s="86"/>
      <c r="X191" s="86"/>
      <c r="Y191" s="86"/>
    </row>
    <row r="192" spans="3:25" ht="13.35" hidden="1" customHeight="1" outlineLevel="3">
      <c r="C192" s="89" t="s">
        <v>1036</v>
      </c>
      <c r="D192" s="33"/>
      <c r="E192" s="6"/>
      <c r="G192" s="120" t="s">
        <v>27</v>
      </c>
      <c r="I192" s="6"/>
      <c r="K192" s="127"/>
      <c r="L192" s="132"/>
      <c r="M192" s="129"/>
      <c r="N192" s="128"/>
      <c r="P192" s="6"/>
      <c r="R192" s="38"/>
      <c r="S192" s="5"/>
      <c r="T192" s="6"/>
      <c r="U192" s="5"/>
      <c r="V192" s="86"/>
      <c r="W192" s="86"/>
      <c r="X192" s="86"/>
      <c r="Y192" s="86"/>
    </row>
    <row r="193" spans="2:25" ht="13.35" hidden="1" customHeight="1" outlineLevel="3">
      <c r="C193" s="89" t="s">
        <v>1036</v>
      </c>
      <c r="D193" s="33"/>
      <c r="E193" s="6"/>
      <c r="G193" s="120" t="s">
        <v>27</v>
      </c>
      <c r="I193" s="6"/>
      <c r="K193" s="127"/>
      <c r="L193" s="127"/>
      <c r="M193" s="127"/>
      <c r="N193" s="127"/>
      <c r="P193" s="6"/>
      <c r="R193" s="38"/>
      <c r="S193" s="5"/>
      <c r="T193" s="6"/>
      <c r="U193" s="5"/>
      <c r="V193" s="86"/>
      <c r="W193" s="86"/>
      <c r="X193" s="86"/>
      <c r="Y193" s="86"/>
    </row>
    <row r="194" spans="2:25" ht="13.35" hidden="1" customHeight="1" outlineLevel="3">
      <c r="C194" s="89" t="s">
        <v>1036</v>
      </c>
      <c r="D194" s="33"/>
      <c r="E194" s="6"/>
      <c r="G194" s="120" t="s">
        <v>27</v>
      </c>
      <c r="I194" s="6"/>
      <c r="K194" s="127"/>
      <c r="L194" s="127"/>
      <c r="M194" s="127"/>
      <c r="N194" s="127"/>
      <c r="P194" s="6"/>
      <c r="R194" s="38"/>
      <c r="S194" s="5"/>
      <c r="T194" s="6"/>
      <c r="U194" s="5"/>
      <c r="V194" s="86"/>
      <c r="W194" s="86"/>
      <c r="X194" s="86"/>
      <c r="Y194" s="86"/>
    </row>
    <row r="195" spans="2:25" ht="13.35" hidden="1" customHeight="1" outlineLevel="3">
      <c r="C195" s="89" t="s">
        <v>1036</v>
      </c>
      <c r="D195" s="33"/>
      <c r="E195" s="6"/>
      <c r="G195" s="121" t="s">
        <v>27</v>
      </c>
      <c r="I195" s="6"/>
      <c r="K195" s="127"/>
      <c r="L195" s="127"/>
      <c r="M195" s="127"/>
      <c r="N195" s="127"/>
      <c r="P195" s="6"/>
      <c r="R195" s="31"/>
      <c r="S195" s="5"/>
      <c r="T195" s="6"/>
      <c r="U195" s="5"/>
      <c r="V195" s="86"/>
      <c r="W195" s="86"/>
      <c r="X195" s="86"/>
      <c r="Y195" s="86"/>
    </row>
    <row r="196" spans="2:25" ht="13.35" hidden="1" customHeight="1" outlineLevel="3">
      <c r="C196" s="89" t="s">
        <v>1036</v>
      </c>
      <c r="D196" s="33"/>
      <c r="E196" s="6"/>
      <c r="G196" s="121" t="s">
        <v>27</v>
      </c>
      <c r="I196" s="6"/>
      <c r="K196" s="127"/>
      <c r="L196" s="127"/>
      <c r="M196" s="127"/>
      <c r="N196" s="127"/>
      <c r="P196" s="6"/>
      <c r="R196" s="31"/>
      <c r="S196" s="5"/>
      <c r="T196" s="6"/>
      <c r="U196" s="5"/>
      <c r="V196" s="86"/>
      <c r="W196" s="86"/>
      <c r="X196" s="86"/>
      <c r="Y196" s="86"/>
    </row>
    <row r="197" spans="2:25" ht="3" hidden="1" customHeight="1" outlineLevel="2">
      <c r="B197" s="28"/>
      <c r="C197" s="28"/>
      <c r="D197" s="33"/>
      <c r="E197" s="6"/>
      <c r="F197" s="33"/>
      <c r="G197" s="118"/>
      <c r="H197" s="33"/>
      <c r="I197" s="6"/>
      <c r="J197" s="33"/>
      <c r="K197" s="75"/>
      <c r="O197" s="33"/>
      <c r="P197" s="6"/>
      <c r="Q197" s="33"/>
      <c r="R197" s="33"/>
      <c r="S197" s="33"/>
      <c r="T197" s="6"/>
      <c r="U197" s="33"/>
      <c r="V197" s="75"/>
    </row>
    <row r="198" spans="2:25" s="21" customFormat="1" hidden="1" outlineLevel="2" collapsed="1">
      <c r="B198" s="22" t="s">
        <v>784</v>
      </c>
      <c r="C198" s="22"/>
      <c r="D198" s="8"/>
      <c r="E198" s="6"/>
      <c r="F198" s="8"/>
      <c r="G198" s="124">
        <f>SUM(K198:N198)</f>
        <v>1</v>
      </c>
      <c r="H198" s="8"/>
      <c r="I198" s="6"/>
      <c r="J198" s="8"/>
      <c r="K198" s="71">
        <f>COUNTA(K199:K199)</f>
        <v>1</v>
      </c>
      <c r="L198" s="71">
        <f>COUNTA(L199:L199)</f>
        <v>0</v>
      </c>
      <c r="M198" s="71">
        <f>COUNTA(M199:M199)</f>
        <v>0</v>
      </c>
      <c r="N198" s="71">
        <f>COUNTA(N199:N199)</f>
        <v>0</v>
      </c>
      <c r="O198" s="8"/>
      <c r="P198" s="6"/>
      <c r="Q198" s="8"/>
      <c r="R198" s="23">
        <f>SUM(V198:Y198)</f>
        <v>0</v>
      </c>
      <c r="S198" s="8"/>
      <c r="T198" s="6"/>
      <c r="U198" s="8"/>
      <c r="V198" s="71">
        <f>SUM(V199:V199)</f>
        <v>0</v>
      </c>
      <c r="W198" s="71">
        <f>SUM(W199:W199)</f>
        <v>0</v>
      </c>
      <c r="X198" s="71">
        <f>SUM(X199:X199)</f>
        <v>0</v>
      </c>
      <c r="Y198" s="71">
        <f>SUM(Y199:Y199)</f>
        <v>0</v>
      </c>
    </row>
    <row r="199" spans="2:25" ht="13.35" hidden="1" customHeight="1" outlineLevel="3">
      <c r="B199" s="28"/>
      <c r="C199" s="29"/>
      <c r="D199" s="33"/>
      <c r="E199" s="6"/>
      <c r="F199" s="33"/>
      <c r="G199" s="118" t="s">
        <v>27</v>
      </c>
      <c r="H199" s="33"/>
      <c r="I199" s="6"/>
      <c r="J199" s="33"/>
      <c r="K199" s="42" t="s">
        <v>1076</v>
      </c>
      <c r="L199" s="42"/>
      <c r="M199" s="40"/>
      <c r="N199" s="32"/>
      <c r="O199" s="33"/>
      <c r="P199" s="6"/>
      <c r="Q199" s="33"/>
      <c r="R199" s="33"/>
      <c r="S199" s="33"/>
      <c r="T199" s="6"/>
      <c r="U199" s="33"/>
      <c r="V199" s="42"/>
      <c r="W199" s="42"/>
      <c r="X199" s="40"/>
      <c r="Y199" s="32"/>
    </row>
    <row r="200" spans="2:25" ht="3" hidden="1" customHeight="1" outlineLevel="2">
      <c r="B200" s="28"/>
      <c r="C200" s="28"/>
      <c r="D200" s="33"/>
      <c r="E200" s="6"/>
      <c r="F200" s="33"/>
      <c r="G200" s="118"/>
      <c r="H200" s="33"/>
      <c r="I200" s="6"/>
      <c r="J200" s="33"/>
      <c r="K200" s="75"/>
      <c r="O200" s="33"/>
      <c r="P200" s="6"/>
      <c r="Q200" s="33"/>
      <c r="R200" s="33"/>
      <c r="S200" s="33"/>
      <c r="T200" s="6"/>
      <c r="U200" s="33"/>
      <c r="V200" s="75"/>
    </row>
    <row r="201" spans="2:25" s="21" customFormat="1" hidden="1" outlineLevel="2" collapsed="1">
      <c r="B201" s="22" t="s">
        <v>711</v>
      </c>
      <c r="C201" s="22"/>
      <c r="D201" s="8"/>
      <c r="E201" s="6"/>
      <c r="F201" s="8"/>
      <c r="G201" s="124">
        <f>SUM(K201:N201)</f>
        <v>1</v>
      </c>
      <c r="H201" s="8"/>
      <c r="I201" s="6"/>
      <c r="J201" s="8"/>
      <c r="K201" s="71">
        <f>COUNTA(K202:K202)</f>
        <v>1</v>
      </c>
      <c r="L201" s="71">
        <f>COUNTA(L202:L202)</f>
        <v>0</v>
      </c>
      <c r="M201" s="71">
        <f>COUNTA(M202:M202)</f>
        <v>0</v>
      </c>
      <c r="N201" s="71">
        <f>COUNTA(N202:N202)</f>
        <v>0</v>
      </c>
      <c r="O201" s="8"/>
      <c r="P201" s="6"/>
      <c r="Q201" s="8"/>
      <c r="R201" s="23">
        <f>SUM(V201:Y201)</f>
        <v>0</v>
      </c>
      <c r="S201" s="8"/>
      <c r="T201" s="6"/>
      <c r="U201" s="8"/>
      <c r="V201" s="71">
        <f>SUM(V202:V202)</f>
        <v>0</v>
      </c>
      <c r="W201" s="71">
        <f>SUM(W202:W202)</f>
        <v>0</v>
      </c>
      <c r="X201" s="71">
        <f>SUM(X202:X202)</f>
        <v>0</v>
      </c>
      <c r="Y201" s="71">
        <f>SUM(Y202:Y202)</f>
        <v>0</v>
      </c>
    </row>
    <row r="202" spans="2:25" ht="13.35" hidden="1" customHeight="1" outlineLevel="3">
      <c r="B202" s="28"/>
      <c r="C202" s="29"/>
      <c r="D202" s="33"/>
      <c r="E202" s="6"/>
      <c r="F202" s="33"/>
      <c r="G202" s="118" t="s">
        <v>27</v>
      </c>
      <c r="H202" s="33"/>
      <c r="I202" s="6"/>
      <c r="J202" s="33"/>
      <c r="K202" s="78" t="s">
        <v>785</v>
      </c>
      <c r="L202" s="42"/>
      <c r="M202" s="40"/>
      <c r="N202" s="32"/>
      <c r="O202" s="33"/>
      <c r="P202" s="6"/>
      <c r="Q202" s="33"/>
      <c r="R202" s="33"/>
      <c r="S202" s="33"/>
      <c r="T202" s="6"/>
      <c r="U202" s="33"/>
      <c r="V202" s="42"/>
      <c r="W202" s="42"/>
      <c r="X202" s="40"/>
      <c r="Y202" s="32"/>
    </row>
    <row r="203" spans="2:25" ht="3" hidden="1" customHeight="1" outlineLevel="2">
      <c r="B203" s="28"/>
      <c r="C203" s="28"/>
      <c r="D203" s="33"/>
      <c r="E203" s="6"/>
      <c r="F203" s="33"/>
      <c r="G203" s="118"/>
      <c r="H203" s="33"/>
      <c r="I203" s="6"/>
      <c r="J203" s="33"/>
      <c r="K203" s="75"/>
      <c r="O203" s="33"/>
      <c r="P203" s="6"/>
      <c r="Q203" s="33"/>
      <c r="R203" s="33"/>
      <c r="S203" s="33"/>
      <c r="T203" s="6"/>
      <c r="U203" s="33"/>
      <c r="V203" s="75"/>
    </row>
    <row r="204" spans="2:25" s="21" customFormat="1" hidden="1" outlineLevel="2" collapsed="1">
      <c r="B204" s="22" t="s">
        <v>786</v>
      </c>
      <c r="C204" s="22"/>
      <c r="D204" s="8"/>
      <c r="E204" s="6"/>
      <c r="F204" s="8"/>
      <c r="G204" s="124">
        <f>SUM(K204:N204)</f>
        <v>1</v>
      </c>
      <c r="H204" s="8"/>
      <c r="I204" s="6"/>
      <c r="J204" s="8"/>
      <c r="K204" s="71">
        <f>COUNTA(K205:K205)</f>
        <v>1</v>
      </c>
      <c r="L204" s="71"/>
      <c r="M204" s="71">
        <f>COUNTA(M205:M205)</f>
        <v>0</v>
      </c>
      <c r="N204" s="71">
        <f>COUNTA(N205:N205)</f>
        <v>0</v>
      </c>
      <c r="O204" s="8"/>
      <c r="P204" s="6"/>
      <c r="Q204" s="8"/>
      <c r="R204" s="23">
        <f>SUM(V204:Y204)</f>
        <v>0</v>
      </c>
      <c r="S204" s="8"/>
      <c r="T204" s="6"/>
      <c r="U204" s="8"/>
      <c r="V204" s="71">
        <f>SUM(V205:V205)</f>
        <v>0</v>
      </c>
      <c r="W204" s="71">
        <f>SUM(W205:W205)</f>
        <v>0</v>
      </c>
      <c r="X204" s="71">
        <f>SUM(X205:X205)</f>
        <v>0</v>
      </c>
      <c r="Y204" s="71">
        <f>SUM(Y205:Y205)</f>
        <v>0</v>
      </c>
    </row>
    <row r="205" spans="2:25" ht="13.35" hidden="1" customHeight="1" outlineLevel="3">
      <c r="B205" s="28"/>
      <c r="C205" s="29"/>
      <c r="D205" s="33"/>
      <c r="E205" s="6"/>
      <c r="F205" s="33"/>
      <c r="G205" s="118" t="s">
        <v>27</v>
      </c>
      <c r="H205" s="33"/>
      <c r="I205" s="6"/>
      <c r="J205" s="33"/>
      <c r="K205" s="42" t="s">
        <v>1077</v>
      </c>
      <c r="L205" s="42"/>
      <c r="M205" s="40"/>
      <c r="N205" s="32"/>
      <c r="O205" s="33"/>
      <c r="P205" s="6"/>
      <c r="Q205" s="33"/>
      <c r="R205" s="33"/>
      <c r="S205" s="33"/>
      <c r="T205" s="6"/>
      <c r="U205" s="33"/>
      <c r="V205" s="42"/>
      <c r="W205" s="42"/>
      <c r="X205" s="40"/>
      <c r="Y205" s="32"/>
    </row>
    <row r="206" spans="2:25" ht="3" hidden="1" customHeight="1" outlineLevel="2">
      <c r="B206" s="28"/>
      <c r="C206" s="28"/>
      <c r="D206" s="33"/>
      <c r="E206" s="6"/>
      <c r="F206" s="33"/>
      <c r="G206" s="118"/>
      <c r="H206" s="33"/>
      <c r="I206" s="6"/>
      <c r="J206" s="33"/>
      <c r="K206" s="75"/>
      <c r="O206" s="33"/>
      <c r="P206" s="6"/>
      <c r="Q206" s="33"/>
      <c r="R206" s="33"/>
      <c r="S206" s="33"/>
      <c r="T206" s="6"/>
      <c r="U206" s="33"/>
      <c r="V206" s="75"/>
    </row>
    <row r="207" spans="2:25" s="21" customFormat="1" hidden="1" outlineLevel="2" collapsed="1">
      <c r="B207" s="22" t="s">
        <v>788</v>
      </c>
      <c r="C207" s="22"/>
      <c r="D207" s="8"/>
      <c r="E207" s="6"/>
      <c r="F207" s="8"/>
      <c r="G207" s="124">
        <f>SUM(K207:N207)</f>
        <v>1</v>
      </c>
      <c r="H207" s="8"/>
      <c r="I207" s="6"/>
      <c r="J207" s="8"/>
      <c r="K207" s="71">
        <f>COUNTA(K208:K208)</f>
        <v>1</v>
      </c>
      <c r="L207" s="71">
        <f>COUNTA(L208:L208)</f>
        <v>0</v>
      </c>
      <c r="M207" s="71">
        <f>COUNTA(M208:M208)</f>
        <v>0</v>
      </c>
      <c r="N207" s="71">
        <f>COUNTA(N208:N208)</f>
        <v>0</v>
      </c>
      <c r="O207" s="8"/>
      <c r="P207" s="6"/>
      <c r="Q207" s="8"/>
      <c r="R207" s="23">
        <f>SUM(V207:Y207)</f>
        <v>0</v>
      </c>
      <c r="S207" s="8"/>
      <c r="T207" s="6"/>
      <c r="U207" s="8"/>
      <c r="V207" s="71">
        <f>SUM(V208:V208)</f>
        <v>0</v>
      </c>
      <c r="W207" s="71">
        <f>SUM(W208:W208)</f>
        <v>0</v>
      </c>
      <c r="X207" s="71">
        <f>SUM(X208:X208)</f>
        <v>0</v>
      </c>
      <c r="Y207" s="71">
        <f>SUM(Y208:Y208)</f>
        <v>0</v>
      </c>
    </row>
    <row r="208" spans="2:25" ht="13.35" hidden="1" customHeight="1" outlineLevel="3">
      <c r="B208" s="28"/>
      <c r="C208" s="29"/>
      <c r="D208" s="33"/>
      <c r="E208" s="6"/>
      <c r="F208" s="33"/>
      <c r="G208" s="118" t="s">
        <v>27</v>
      </c>
      <c r="H208" s="33"/>
      <c r="I208" s="6"/>
      <c r="J208" s="33"/>
      <c r="K208" s="42" t="s">
        <v>688</v>
      </c>
      <c r="L208" s="42"/>
      <c r="M208" s="40"/>
      <c r="N208" s="32"/>
      <c r="O208" s="33"/>
      <c r="P208" s="6"/>
      <c r="Q208" s="33"/>
      <c r="R208" s="33"/>
      <c r="S208" s="33"/>
      <c r="T208" s="6"/>
      <c r="U208" s="33"/>
      <c r="V208" s="42"/>
      <c r="W208" s="42"/>
      <c r="X208" s="40"/>
      <c r="Y208" s="32"/>
    </row>
    <row r="209" spans="2:25" ht="3" hidden="1" customHeight="1" outlineLevel="2">
      <c r="S209" s="5"/>
      <c r="T209" s="26"/>
      <c r="U209" s="5"/>
    </row>
    <row r="210" spans="2:25" s="21" customFormat="1" hidden="1" outlineLevel="2" collapsed="1">
      <c r="B210" s="22" t="s">
        <v>790</v>
      </c>
      <c r="C210" s="22"/>
      <c r="D210" s="8"/>
      <c r="E210" s="6"/>
      <c r="F210" s="8"/>
      <c r="G210" s="124">
        <f>SUM(K210:N210)</f>
        <v>1</v>
      </c>
      <c r="H210" s="8"/>
      <c r="I210" s="6"/>
      <c r="J210" s="8"/>
      <c r="K210" s="71">
        <f>COUNTA(K211:K211)</f>
        <v>1</v>
      </c>
      <c r="L210" s="71">
        <f>COUNTA(L211:L211)</f>
        <v>0</v>
      </c>
      <c r="M210" s="71">
        <f>COUNTA(M211:M211)</f>
        <v>0</v>
      </c>
      <c r="N210" s="71">
        <f>COUNTA(N211:N211)</f>
        <v>0</v>
      </c>
      <c r="O210" s="8"/>
      <c r="P210" s="6"/>
      <c r="Q210" s="8"/>
      <c r="R210" s="23">
        <f>SUM(V210:Y210)</f>
        <v>0</v>
      </c>
      <c r="S210" s="8"/>
      <c r="T210" s="6"/>
      <c r="U210" s="8"/>
      <c r="V210" s="71">
        <f>SUM(V211:V211)</f>
        <v>0</v>
      </c>
      <c r="W210" s="71">
        <f>SUM(W211:W211)</f>
        <v>0</v>
      </c>
      <c r="X210" s="71">
        <f>SUM(X211:X211)</f>
        <v>0</v>
      </c>
      <c r="Y210" s="71">
        <f>SUM(Y211:Y211)</f>
        <v>0</v>
      </c>
    </row>
    <row r="211" spans="2:25" ht="27.6" hidden="1" outlineLevel="3">
      <c r="B211" s="28"/>
      <c r="C211" s="29"/>
      <c r="D211" s="33"/>
      <c r="E211" s="6"/>
      <c r="F211" s="33"/>
      <c r="G211" s="118" t="s">
        <v>27</v>
      </c>
      <c r="H211" s="33"/>
      <c r="I211" s="6"/>
      <c r="J211" s="33"/>
      <c r="K211" s="42" t="s">
        <v>1078</v>
      </c>
      <c r="L211" s="42"/>
      <c r="M211" s="40"/>
      <c r="N211" s="32"/>
      <c r="O211" s="33"/>
      <c r="P211" s="6"/>
      <c r="Q211" s="33"/>
      <c r="R211" s="33"/>
      <c r="S211" s="33"/>
      <c r="T211" s="6"/>
      <c r="U211" s="33"/>
      <c r="V211" s="42"/>
      <c r="W211" s="42"/>
      <c r="X211" s="40"/>
      <c r="Y211" s="32"/>
    </row>
    <row r="212" spans="2:25" ht="3" hidden="1" customHeight="1" outlineLevel="2">
      <c r="B212" s="28"/>
      <c r="C212" s="29"/>
      <c r="D212" s="26"/>
      <c r="E212" s="6"/>
      <c r="F212" s="26"/>
      <c r="G212" s="118"/>
      <c r="H212" s="26"/>
      <c r="I212" s="6"/>
      <c r="J212" s="26"/>
      <c r="K212" s="75"/>
      <c r="O212" s="26"/>
      <c r="P212" s="6"/>
      <c r="Q212" s="26"/>
      <c r="R212" s="26"/>
      <c r="S212" s="26"/>
      <c r="T212" s="6"/>
      <c r="U212" s="26"/>
      <c r="V212" s="75"/>
    </row>
    <row r="213" spans="2:25" s="21" customFormat="1" hidden="1" outlineLevel="2" collapsed="1">
      <c r="B213" s="22" t="s">
        <v>648</v>
      </c>
      <c r="C213" s="22"/>
      <c r="D213" s="8"/>
      <c r="E213" s="90"/>
      <c r="F213" s="8"/>
      <c r="G213" s="124">
        <f>SUM(K213:N213)</f>
        <v>19</v>
      </c>
      <c r="H213" s="8"/>
      <c r="I213" s="90"/>
      <c r="J213" s="8"/>
      <c r="K213" s="71">
        <f>COUNTA(K214:K225)</f>
        <v>1</v>
      </c>
      <c r="L213" s="71">
        <f>COUNTA(L214:L225)</f>
        <v>1</v>
      </c>
      <c r="M213" s="71">
        <f>COUNTA(M214:M225)</f>
        <v>5</v>
      </c>
      <c r="N213" s="71">
        <f>COUNTA(N214:N225)</f>
        <v>12</v>
      </c>
      <c r="O213" s="8"/>
      <c r="P213" s="90"/>
      <c r="Q213" s="8"/>
      <c r="R213" s="23">
        <f>SUM(V213:Y213)</f>
        <v>0.29450094593794357</v>
      </c>
      <c r="S213" s="8"/>
      <c r="T213" s="90"/>
      <c r="U213" s="8"/>
      <c r="V213" s="71">
        <f>SUM(V214:V225)</f>
        <v>1.82018422463791E-2</v>
      </c>
      <c r="W213" s="71">
        <f>SUM(W214:W225)</f>
        <v>1.82018422463791E-2</v>
      </c>
      <c r="X213" s="71">
        <f>SUM(X214:X225)</f>
        <v>0.25336954626840463</v>
      </c>
      <c r="Y213" s="71">
        <f>SUM(Y214:Y225)</f>
        <v>4.7277151767807293E-3</v>
      </c>
    </row>
    <row r="214" spans="2:25" ht="41.4" hidden="1" outlineLevel="3">
      <c r="B214" s="28"/>
      <c r="C214" s="29" t="s">
        <v>757</v>
      </c>
      <c r="D214" s="8"/>
      <c r="E214" s="90"/>
      <c r="F214" s="8"/>
      <c r="G214" s="118" t="s">
        <v>27</v>
      </c>
      <c r="H214" s="8"/>
      <c r="I214" s="90"/>
      <c r="J214" s="8"/>
      <c r="K214" s="144" t="s">
        <v>1079</v>
      </c>
      <c r="L214" s="144" t="s">
        <v>1080</v>
      </c>
      <c r="M214" s="144" t="s">
        <v>1081</v>
      </c>
      <c r="N214" s="144" t="s">
        <v>1082</v>
      </c>
      <c r="O214" s="8"/>
      <c r="P214" s="90"/>
      <c r="Q214" s="8"/>
      <c r="R214" s="33"/>
      <c r="S214" s="8"/>
      <c r="T214" s="90"/>
      <c r="U214" s="8"/>
      <c r="V214" s="136">
        <v>1.82018422463791E-2</v>
      </c>
      <c r="W214" s="136">
        <v>1.82018422463791E-2</v>
      </c>
      <c r="X214" s="136">
        <v>5.6304343333333333E-2</v>
      </c>
      <c r="Y214" s="136">
        <v>5.1341703277256792E-4</v>
      </c>
    </row>
    <row r="215" spans="2:25" ht="41.4" hidden="1" outlineLevel="3">
      <c r="B215" s="28"/>
      <c r="C215" s="29" t="s">
        <v>757</v>
      </c>
      <c r="D215" s="8"/>
      <c r="E215" s="90"/>
      <c r="F215" s="8"/>
      <c r="G215" s="118" t="s">
        <v>27</v>
      </c>
      <c r="H215" s="8"/>
      <c r="I215" s="90"/>
      <c r="J215" s="8"/>
      <c r="K215" s="144"/>
      <c r="L215" s="144"/>
      <c r="M215" s="144" t="s">
        <v>1083</v>
      </c>
      <c r="N215" s="144" t="s">
        <v>1084</v>
      </c>
      <c r="O215" s="8"/>
      <c r="P215" s="90"/>
      <c r="Q215" s="8"/>
      <c r="R215" s="33"/>
      <c r="S215" s="8"/>
      <c r="T215" s="90"/>
      <c r="U215" s="8"/>
      <c r="V215" s="136"/>
      <c r="W215" s="136"/>
      <c r="X215" s="136">
        <v>6.5688400555555554E-2</v>
      </c>
      <c r="Y215" s="136">
        <v>3.4227802184837869E-4</v>
      </c>
    </row>
    <row r="216" spans="2:25" ht="41.4" hidden="1" outlineLevel="3">
      <c r="B216" s="28"/>
      <c r="C216" s="29" t="s">
        <v>757</v>
      </c>
      <c r="D216" s="8"/>
      <c r="E216" s="90"/>
      <c r="F216" s="8"/>
      <c r="G216" s="118" t="s">
        <v>27</v>
      </c>
      <c r="H216" s="8"/>
      <c r="I216" s="90"/>
      <c r="J216" s="8"/>
      <c r="K216" s="137"/>
      <c r="L216" s="137"/>
      <c r="M216" s="144" t="s">
        <v>1085</v>
      </c>
      <c r="N216" s="144" t="s">
        <v>1086</v>
      </c>
      <c r="O216" s="8"/>
      <c r="P216" s="90"/>
      <c r="Q216" s="8"/>
      <c r="R216" s="33"/>
      <c r="S216" s="8"/>
      <c r="T216" s="90"/>
      <c r="U216" s="8"/>
      <c r="V216" s="136"/>
      <c r="W216" s="136"/>
      <c r="X216" s="136">
        <v>6.5688400555555554E-2</v>
      </c>
      <c r="Y216" s="136">
        <v>2.5670851638628402E-4</v>
      </c>
    </row>
    <row r="217" spans="2:25" ht="41.4" hidden="1" outlineLevel="3">
      <c r="B217" s="28"/>
      <c r="C217" s="29" t="s">
        <v>757</v>
      </c>
      <c r="D217" s="8"/>
      <c r="E217" s="90"/>
      <c r="F217" s="8"/>
      <c r="G217" s="118" t="s">
        <v>27</v>
      </c>
      <c r="H217" s="8"/>
      <c r="I217" s="90"/>
      <c r="J217" s="8"/>
      <c r="K217" s="137"/>
      <c r="L217" s="137"/>
      <c r="M217" s="144" t="s">
        <v>764</v>
      </c>
      <c r="N217" s="144" t="s">
        <v>1087</v>
      </c>
      <c r="O217" s="8"/>
      <c r="P217" s="90"/>
      <c r="Q217" s="8"/>
      <c r="R217" s="33"/>
      <c r="S217" s="8"/>
      <c r="T217" s="90"/>
      <c r="U217" s="8"/>
      <c r="V217" s="136"/>
      <c r="W217" s="136"/>
      <c r="X217" s="136">
        <v>6.5688400555555554E-2</v>
      </c>
      <c r="Y217" s="136">
        <v>5.1341703277256792E-4</v>
      </c>
    </row>
    <row r="218" spans="2:25" ht="27.6" hidden="1" outlineLevel="3">
      <c r="B218" s="28"/>
      <c r="C218" s="29" t="s">
        <v>757</v>
      </c>
      <c r="D218" s="8"/>
      <c r="E218" s="90"/>
      <c r="F218" s="8"/>
      <c r="G218" s="118" t="s">
        <v>27</v>
      </c>
      <c r="H218" s="8"/>
      <c r="I218" s="90"/>
      <c r="J218" s="8"/>
      <c r="K218" s="137"/>
      <c r="L218" s="137"/>
      <c r="M218" s="144" t="s">
        <v>765</v>
      </c>
      <c r="N218" s="144" t="s">
        <v>1088</v>
      </c>
      <c r="O218" s="8"/>
      <c r="P218" s="90"/>
      <c r="Q218" s="8"/>
      <c r="R218" s="33"/>
      <c r="S218" s="8"/>
      <c r="T218" s="90"/>
      <c r="U218" s="8"/>
      <c r="V218" s="136"/>
      <c r="W218" s="136"/>
      <c r="X218" s="136">
        <v>1.2684046610949687E-9</v>
      </c>
      <c r="Y218" s="136">
        <v>3.4227802184837869E-4</v>
      </c>
    </row>
    <row r="219" spans="2:25" ht="41.4" hidden="1" outlineLevel="3">
      <c r="B219" s="28"/>
      <c r="C219" s="29" t="s">
        <v>757</v>
      </c>
      <c r="D219" s="8"/>
      <c r="E219" s="90"/>
      <c r="F219" s="8"/>
      <c r="G219" s="118" t="s">
        <v>27</v>
      </c>
      <c r="H219" s="8"/>
      <c r="I219" s="90"/>
      <c r="J219" s="8"/>
      <c r="K219" s="137"/>
      <c r="L219" s="137"/>
      <c r="M219" s="144"/>
      <c r="N219" s="144" t="s">
        <v>1089</v>
      </c>
      <c r="O219" s="8"/>
      <c r="P219" s="90"/>
      <c r="Q219" s="8"/>
      <c r="R219" s="33"/>
      <c r="S219" s="8"/>
      <c r="T219" s="90"/>
      <c r="U219" s="8"/>
      <c r="V219" s="136"/>
      <c r="W219" s="136"/>
      <c r="X219" s="136"/>
      <c r="Y219" s="136">
        <v>2.5670851638628402E-4</v>
      </c>
    </row>
    <row r="220" spans="2:25" ht="41.4" hidden="1" outlineLevel="3">
      <c r="B220" s="28"/>
      <c r="C220" s="29" t="s">
        <v>757</v>
      </c>
      <c r="D220" s="8"/>
      <c r="E220" s="90"/>
      <c r="F220" s="8"/>
      <c r="G220" s="118" t="s">
        <v>27</v>
      </c>
      <c r="H220" s="8"/>
      <c r="I220" s="90"/>
      <c r="J220" s="8"/>
      <c r="K220" s="137"/>
      <c r="L220" s="137"/>
      <c r="M220" s="144"/>
      <c r="N220" s="144" t="s">
        <v>1090</v>
      </c>
      <c r="O220" s="8"/>
      <c r="P220" s="90"/>
      <c r="Q220" s="8"/>
      <c r="R220" s="33"/>
      <c r="S220" s="8"/>
      <c r="T220" s="90"/>
      <c r="U220" s="8"/>
      <c r="V220" s="136"/>
      <c r="W220" s="136"/>
      <c r="X220" s="136"/>
      <c r="Y220" s="136">
        <v>2.5670851638628396E-4</v>
      </c>
    </row>
    <row r="221" spans="2:25" ht="27.6" hidden="1" outlineLevel="3">
      <c r="B221" s="28"/>
      <c r="C221" s="29" t="s">
        <v>757</v>
      </c>
      <c r="D221" s="8"/>
      <c r="E221" s="90"/>
      <c r="F221" s="8"/>
      <c r="G221" s="118" t="s">
        <v>27</v>
      </c>
      <c r="H221" s="8"/>
      <c r="I221" s="90"/>
      <c r="J221" s="8"/>
      <c r="K221" s="137"/>
      <c r="L221" s="137"/>
      <c r="M221" s="144"/>
      <c r="N221" s="144" t="s">
        <v>1091</v>
      </c>
      <c r="O221" s="8"/>
      <c r="P221" s="90"/>
      <c r="Q221" s="8"/>
      <c r="R221" s="33"/>
      <c r="S221" s="8"/>
      <c r="T221" s="90"/>
      <c r="U221" s="8"/>
      <c r="V221" s="136"/>
      <c r="W221" s="136"/>
      <c r="X221" s="136"/>
      <c r="Y221" s="136">
        <v>1.7113901092418934E-4</v>
      </c>
    </row>
    <row r="222" spans="2:25" ht="41.4" hidden="1" outlineLevel="3">
      <c r="B222" s="28"/>
      <c r="C222" s="29" t="s">
        <v>757</v>
      </c>
      <c r="D222" s="8"/>
      <c r="E222" s="90"/>
      <c r="F222" s="8"/>
      <c r="G222" s="118" t="s">
        <v>27</v>
      </c>
      <c r="H222" s="8"/>
      <c r="I222" s="90"/>
      <c r="J222" s="8"/>
      <c r="K222" s="137"/>
      <c r="L222" s="137"/>
      <c r="M222" s="144"/>
      <c r="N222" s="144" t="s">
        <v>1092</v>
      </c>
      <c r="O222" s="8"/>
      <c r="P222" s="90"/>
      <c r="Q222" s="8"/>
      <c r="R222" s="33"/>
      <c r="S222" s="8"/>
      <c r="T222" s="90"/>
      <c r="U222" s="8"/>
      <c r="V222" s="136"/>
      <c r="W222" s="136"/>
      <c r="X222" s="136"/>
      <c r="Y222" s="136">
        <v>1.2835425819314201E-4</v>
      </c>
    </row>
    <row r="223" spans="2:25" ht="41.4" hidden="1" outlineLevel="3">
      <c r="B223" s="28"/>
      <c r="C223" s="29" t="s">
        <v>757</v>
      </c>
      <c r="D223" s="8"/>
      <c r="E223" s="90"/>
      <c r="F223" s="8"/>
      <c r="G223" s="118" t="s">
        <v>27</v>
      </c>
      <c r="H223" s="8"/>
      <c r="I223" s="90"/>
      <c r="J223" s="8"/>
      <c r="K223" s="137"/>
      <c r="L223" s="137"/>
      <c r="M223" s="144"/>
      <c r="N223" s="144" t="s">
        <v>762</v>
      </c>
      <c r="O223" s="8"/>
      <c r="P223" s="90"/>
      <c r="Q223" s="8"/>
      <c r="R223" s="33"/>
      <c r="S223" s="8"/>
      <c r="T223" s="90"/>
      <c r="U223" s="8"/>
      <c r="V223" s="136"/>
      <c r="W223" s="136"/>
      <c r="X223" s="136"/>
      <c r="Y223" s="136">
        <v>8.9847980735199362E-4</v>
      </c>
    </row>
    <row r="224" spans="2:25" ht="27.6" hidden="1" outlineLevel="3">
      <c r="B224" s="28"/>
      <c r="C224" s="29" t="s">
        <v>757</v>
      </c>
      <c r="D224" s="8"/>
      <c r="E224" s="90"/>
      <c r="F224" s="8"/>
      <c r="G224" s="118" t="s">
        <v>27</v>
      </c>
      <c r="H224" s="8"/>
      <c r="I224" s="90"/>
      <c r="J224" s="8"/>
      <c r="K224" s="137"/>
      <c r="L224" s="137"/>
      <c r="M224" s="144"/>
      <c r="N224" s="144" t="s">
        <v>1093</v>
      </c>
      <c r="O224" s="8"/>
      <c r="P224" s="90"/>
      <c r="Q224" s="8"/>
      <c r="R224" s="33"/>
      <c r="S224" s="8"/>
      <c r="T224" s="90"/>
      <c r="U224" s="8"/>
      <c r="V224" s="136"/>
      <c r="W224" s="136"/>
      <c r="X224" s="136"/>
      <c r="Y224" s="136">
        <v>5.9898653823466249E-4</v>
      </c>
    </row>
    <row r="225" spans="2:25" ht="41.4" hidden="1" outlineLevel="3">
      <c r="B225" s="28"/>
      <c r="C225" s="29" t="s">
        <v>757</v>
      </c>
      <c r="D225" s="8"/>
      <c r="E225" s="90"/>
      <c r="F225" s="8"/>
      <c r="G225" s="118" t="s">
        <v>27</v>
      </c>
      <c r="H225" s="8"/>
      <c r="I225" s="90"/>
      <c r="J225" s="8"/>
      <c r="K225" s="137"/>
      <c r="L225" s="137"/>
      <c r="M225" s="144"/>
      <c r="N225" s="144" t="s">
        <v>1094</v>
      </c>
      <c r="O225" s="8"/>
      <c r="P225" s="90"/>
      <c r="Q225" s="8"/>
      <c r="R225" s="33"/>
      <c r="S225" s="8"/>
      <c r="T225" s="90"/>
      <c r="U225" s="8"/>
      <c r="V225" s="136"/>
      <c r="W225" s="136"/>
      <c r="X225" s="136"/>
      <c r="Y225" s="136">
        <v>4.4923990367599681E-4</v>
      </c>
    </row>
    <row r="226" spans="2:25" ht="3" hidden="1" customHeight="1" outlineLevel="2">
      <c r="B226" s="28"/>
      <c r="C226" s="29"/>
      <c r="D226" s="8"/>
      <c r="E226" s="90"/>
      <c r="F226" s="8"/>
      <c r="G226" s="118"/>
      <c r="H226" s="8"/>
      <c r="I226" s="90"/>
      <c r="J226" s="8"/>
      <c r="O226" s="8"/>
      <c r="P226" s="90"/>
      <c r="Q226" s="8"/>
      <c r="R226" s="33"/>
      <c r="S226" s="8"/>
      <c r="T226" s="90"/>
      <c r="U226" s="8"/>
    </row>
    <row r="227" spans="2:25" s="21" customFormat="1" hidden="1" outlineLevel="2" collapsed="1">
      <c r="B227" s="22" t="s">
        <v>182</v>
      </c>
      <c r="C227" s="22"/>
      <c r="D227" s="8"/>
      <c r="E227" s="90"/>
      <c r="F227" s="8"/>
      <c r="G227" s="124">
        <f>SUM(K227:N227)</f>
        <v>42</v>
      </c>
      <c r="H227" s="8"/>
      <c r="I227" s="90"/>
      <c r="J227" s="8"/>
      <c r="K227" s="71">
        <f>COUNTA(K228:K240)</f>
        <v>9</v>
      </c>
      <c r="L227" s="71">
        <f>COUNTA(L228:L240)</f>
        <v>13</v>
      </c>
      <c r="M227" s="71">
        <f>COUNTA(M228:M240)</f>
        <v>13</v>
      </c>
      <c r="N227" s="71">
        <f>COUNTA(N228:N240)</f>
        <v>7</v>
      </c>
      <c r="O227" s="8"/>
      <c r="P227" s="90"/>
      <c r="Q227" s="8"/>
      <c r="R227" s="82">
        <f>SUM(V227:Y227)</f>
        <v>2.0126562257846299</v>
      </c>
      <c r="S227" s="8"/>
      <c r="T227" s="90"/>
      <c r="U227" s="8"/>
      <c r="V227" s="81">
        <f>SUM(V228:V240)</f>
        <v>0.38239256881395056</v>
      </c>
      <c r="W227" s="81">
        <f>SUM(W228:W240)</f>
        <v>1.0912014502480001</v>
      </c>
      <c r="X227" s="81">
        <f>SUM(X228:X240)</f>
        <v>0.3549288252629158</v>
      </c>
      <c r="Y227" s="81">
        <f>SUM(Y228:Y240)</f>
        <v>0.18413338145976338</v>
      </c>
    </row>
    <row r="228" spans="2:25" ht="55.2" hidden="1" outlineLevel="3">
      <c r="B228" s="28"/>
      <c r="C228" s="29"/>
      <c r="D228" s="8"/>
      <c r="E228" s="90"/>
      <c r="F228" s="8"/>
      <c r="G228" s="118" t="s">
        <v>27</v>
      </c>
      <c r="H228" s="8"/>
      <c r="I228" s="90"/>
      <c r="J228" s="8"/>
      <c r="K228" s="29" t="s">
        <v>33</v>
      </c>
      <c r="L228" s="29" t="s">
        <v>1095</v>
      </c>
      <c r="M228" s="29" t="s">
        <v>1096</v>
      </c>
      <c r="N228" s="29" t="s">
        <v>23</v>
      </c>
      <c r="O228" s="8"/>
      <c r="P228" s="90"/>
      <c r="Q228" s="8"/>
      <c r="R228" s="33" t="s">
        <v>27</v>
      </c>
      <c r="S228" s="8"/>
      <c r="T228" s="90"/>
      <c r="U228" s="8"/>
      <c r="V228" s="80">
        <v>0.26835416343795065</v>
      </c>
      <c r="W228" s="80">
        <v>1.641505E-2</v>
      </c>
      <c r="X228" s="80">
        <v>7.7614500000000005E-3</v>
      </c>
      <c r="Y228" s="80">
        <v>0.12284444962643681</v>
      </c>
    </row>
    <row r="229" spans="2:25" ht="27.6" hidden="1" outlineLevel="3">
      <c r="B229" s="28"/>
      <c r="C229" s="29"/>
      <c r="D229" s="8"/>
      <c r="E229" s="90"/>
      <c r="F229" s="8"/>
      <c r="G229" s="118" t="s">
        <v>27</v>
      </c>
      <c r="H229" s="8"/>
      <c r="I229" s="90"/>
      <c r="J229" s="8"/>
      <c r="K229" s="29" t="s">
        <v>1097</v>
      </c>
      <c r="L229" s="29" t="s">
        <v>1098</v>
      </c>
      <c r="M229" s="29" t="s">
        <v>611</v>
      </c>
      <c r="N229" s="29" t="s">
        <v>106</v>
      </c>
      <c r="O229" s="8"/>
      <c r="P229" s="90"/>
      <c r="Q229" s="8"/>
      <c r="R229" s="33" t="s">
        <v>27</v>
      </c>
      <c r="S229" s="8"/>
      <c r="T229" s="90"/>
      <c r="U229" s="8"/>
      <c r="V229" s="80">
        <v>7.7614500000000005E-3</v>
      </c>
      <c r="W229" s="80">
        <v>1.1642174999999999E-2</v>
      </c>
      <c r="X229" s="80">
        <v>2.3284349999999999E-2</v>
      </c>
      <c r="Y229" s="80">
        <v>8.1296301249949125E-3</v>
      </c>
    </row>
    <row r="230" spans="2:25" ht="55.2" hidden="1" outlineLevel="3">
      <c r="B230" s="28"/>
      <c r="C230" s="29"/>
      <c r="D230" s="8"/>
      <c r="E230" s="90"/>
      <c r="F230" s="8"/>
      <c r="G230" s="118" t="s">
        <v>27</v>
      </c>
      <c r="H230" s="8"/>
      <c r="I230" s="90"/>
      <c r="J230" s="8"/>
      <c r="K230" s="29" t="s">
        <v>1099</v>
      </c>
      <c r="L230" s="29" t="s">
        <v>1100</v>
      </c>
      <c r="M230" s="29" t="s">
        <v>1101</v>
      </c>
      <c r="N230" s="25" t="s">
        <v>88</v>
      </c>
      <c r="O230" s="8"/>
      <c r="P230" s="90"/>
      <c r="Q230" s="8"/>
      <c r="R230" s="33" t="s">
        <v>27</v>
      </c>
      <c r="S230" s="8"/>
      <c r="T230" s="90"/>
      <c r="U230" s="8"/>
      <c r="V230" s="80">
        <v>1.641505E-2</v>
      </c>
      <c r="W230" s="80">
        <v>2.4622574999999997E-2</v>
      </c>
      <c r="X230" s="80">
        <v>1.641505E-2</v>
      </c>
      <c r="Y230" s="94">
        <v>2.7098767083316381E-3</v>
      </c>
    </row>
    <row r="231" spans="2:25" ht="27.6" hidden="1" outlineLevel="3">
      <c r="B231" s="28"/>
      <c r="C231" s="29"/>
      <c r="D231" s="8"/>
      <c r="E231" s="90"/>
      <c r="F231" s="8"/>
      <c r="G231" s="118" t="s">
        <v>27</v>
      </c>
      <c r="H231" s="8"/>
      <c r="I231" s="90"/>
      <c r="J231" s="8"/>
      <c r="K231" s="29" t="s">
        <v>1102</v>
      </c>
      <c r="L231" s="29" t="s">
        <v>1103</v>
      </c>
      <c r="M231" s="29" t="s">
        <v>228</v>
      </c>
      <c r="N231" s="29" t="s">
        <v>596</v>
      </c>
      <c r="O231" s="8"/>
      <c r="P231" s="90"/>
      <c r="Q231" s="8"/>
      <c r="R231" s="33" t="s">
        <v>27</v>
      </c>
      <c r="S231" s="8"/>
      <c r="T231" s="90"/>
      <c r="U231" s="8"/>
      <c r="V231" s="80">
        <v>1.641505E-2</v>
      </c>
      <c r="W231" s="80">
        <v>2.4622574999999997E-2</v>
      </c>
      <c r="X231" s="80">
        <v>4.9245149999999994E-2</v>
      </c>
      <c r="Y231" s="80">
        <v>7.7614500000000005E-3</v>
      </c>
    </row>
    <row r="232" spans="2:25" ht="55.2" hidden="1" outlineLevel="3">
      <c r="B232" s="28"/>
      <c r="C232" s="29"/>
      <c r="D232" s="8"/>
      <c r="E232" s="90"/>
      <c r="F232" s="8"/>
      <c r="G232" s="118" t="s">
        <v>27</v>
      </c>
      <c r="H232" s="8"/>
      <c r="I232" s="90"/>
      <c r="J232" s="8"/>
      <c r="K232" s="29" t="s">
        <v>1104</v>
      </c>
      <c r="L232" s="29" t="s">
        <v>1105</v>
      </c>
      <c r="M232" s="29" t="s">
        <v>1106</v>
      </c>
      <c r="N232" s="29" t="s">
        <v>599</v>
      </c>
      <c r="O232" s="8"/>
      <c r="P232" s="90"/>
      <c r="Q232" s="8"/>
      <c r="R232" s="33" t="s">
        <v>27</v>
      </c>
      <c r="S232" s="8"/>
      <c r="T232" s="90"/>
      <c r="U232" s="8"/>
      <c r="V232" s="80">
        <v>1.641505E-2</v>
      </c>
      <c r="W232" s="80">
        <v>2.4622574999999997E-2</v>
      </c>
      <c r="X232" s="80">
        <v>1.641505E-2</v>
      </c>
      <c r="Y232" s="80">
        <v>1.1642174999999999E-2</v>
      </c>
    </row>
    <row r="233" spans="2:25" ht="55.2" hidden="1" outlineLevel="3">
      <c r="B233" s="28"/>
      <c r="C233" s="29"/>
      <c r="D233" s="8"/>
      <c r="E233" s="90"/>
      <c r="F233" s="8"/>
      <c r="G233" s="118" t="s">
        <v>27</v>
      </c>
      <c r="H233" s="8"/>
      <c r="I233" s="90"/>
      <c r="J233" s="8"/>
      <c r="K233" s="29" t="s">
        <v>605</v>
      </c>
      <c r="L233" s="29" t="s">
        <v>1107</v>
      </c>
      <c r="M233" s="29" t="s">
        <v>614</v>
      </c>
      <c r="N233" s="29" t="s">
        <v>602</v>
      </c>
      <c r="O233" s="8"/>
      <c r="P233" s="90"/>
      <c r="Q233" s="8"/>
      <c r="R233" s="33" t="s">
        <v>27</v>
      </c>
      <c r="S233" s="8"/>
      <c r="T233" s="90"/>
      <c r="U233" s="8"/>
      <c r="V233" s="80">
        <v>1.2221101151999999E-2</v>
      </c>
      <c r="W233" s="80">
        <v>2.4622574999999997E-2</v>
      </c>
      <c r="X233" s="80">
        <v>4.9245149999999994E-2</v>
      </c>
      <c r="Y233" s="80">
        <v>7.7614500000000005E-3</v>
      </c>
    </row>
    <row r="234" spans="2:25" ht="55.2" hidden="1" outlineLevel="3">
      <c r="B234" s="28"/>
      <c r="C234" s="29"/>
      <c r="D234" s="8"/>
      <c r="E234" s="90"/>
      <c r="F234" s="8"/>
      <c r="G234" s="118" t="s">
        <v>27</v>
      </c>
      <c r="H234" s="8"/>
      <c r="I234" s="90"/>
      <c r="J234" s="8"/>
      <c r="K234" s="29" t="s">
        <v>606</v>
      </c>
      <c r="L234" s="29" t="s">
        <v>224</v>
      </c>
      <c r="M234" s="29" t="s">
        <v>1108</v>
      </c>
      <c r="N234" s="29" t="s">
        <v>603</v>
      </c>
      <c r="O234" s="8"/>
      <c r="P234" s="90"/>
      <c r="Q234" s="8"/>
      <c r="R234" s="33" t="s">
        <v>27</v>
      </c>
      <c r="S234" s="8"/>
      <c r="T234" s="90"/>
      <c r="U234" s="8"/>
      <c r="V234" s="80">
        <v>1.2221101151999999E-2</v>
      </c>
      <c r="W234" s="80">
        <v>1.2221101151999999E-2</v>
      </c>
      <c r="X234" s="80">
        <v>1.641505E-2</v>
      </c>
      <c r="Y234" s="80">
        <v>2.3284349999999999E-2</v>
      </c>
    </row>
    <row r="235" spans="2:25" ht="27.6" hidden="1" outlineLevel="3">
      <c r="B235" s="28"/>
      <c r="C235" s="29"/>
      <c r="D235" s="8"/>
      <c r="E235" s="90"/>
      <c r="F235" s="8"/>
      <c r="G235" s="118" t="s">
        <v>27</v>
      </c>
      <c r="H235" s="8"/>
      <c r="I235" s="90"/>
      <c r="J235" s="8"/>
      <c r="K235" s="29" t="s">
        <v>1109</v>
      </c>
      <c r="L235" s="29" t="s">
        <v>607</v>
      </c>
      <c r="M235" s="29" t="s">
        <v>616</v>
      </c>
      <c r="N235" s="92"/>
      <c r="O235" s="8"/>
      <c r="P235" s="90"/>
      <c r="Q235" s="8"/>
      <c r="R235" s="33" t="s">
        <v>27</v>
      </c>
      <c r="S235" s="8"/>
      <c r="T235" s="90"/>
      <c r="U235" s="8"/>
      <c r="V235" s="80">
        <v>1.6294801536000002E-2</v>
      </c>
      <c r="W235" s="80">
        <v>1.2221101151999999E-2</v>
      </c>
      <c r="X235" s="80">
        <v>4.9245149999999994E-2</v>
      </c>
      <c r="Y235" s="106"/>
    </row>
    <row r="236" spans="2:25" ht="55.2" hidden="1" outlineLevel="3">
      <c r="B236" s="28"/>
      <c r="C236" s="29"/>
      <c r="D236" s="8"/>
      <c r="E236" s="90"/>
      <c r="F236" s="8"/>
      <c r="G236" s="118" t="s">
        <v>27</v>
      </c>
      <c r="H236" s="8"/>
      <c r="I236" s="90"/>
      <c r="J236" s="8"/>
      <c r="K236" s="29" t="s">
        <v>1110</v>
      </c>
      <c r="L236" s="29" t="s">
        <v>227</v>
      </c>
      <c r="M236" s="29" t="s">
        <v>1111</v>
      </c>
      <c r="N236" s="92"/>
      <c r="O236" s="8"/>
      <c r="P236" s="90"/>
      <c r="Q236" s="8"/>
      <c r="R236" s="33" t="s">
        <v>27</v>
      </c>
      <c r="S236" s="8"/>
      <c r="T236" s="90"/>
      <c r="U236" s="8"/>
      <c r="V236" s="80">
        <v>1.6294801536000002E-2</v>
      </c>
      <c r="W236" s="80">
        <v>1.2221101151999999E-2</v>
      </c>
      <c r="X236" s="80">
        <v>1.641505E-2</v>
      </c>
      <c r="Y236" s="106"/>
    </row>
    <row r="237" spans="2:25" ht="27.6" hidden="1" outlineLevel="3">
      <c r="B237" s="28"/>
      <c r="C237" s="29"/>
      <c r="D237" s="8"/>
      <c r="E237" s="90"/>
      <c r="F237" s="8"/>
      <c r="G237" s="118" t="s">
        <v>27</v>
      </c>
      <c r="H237" s="8"/>
      <c r="I237" s="90"/>
      <c r="J237" s="8"/>
      <c r="K237" s="141"/>
      <c r="L237" s="29" t="s">
        <v>608</v>
      </c>
      <c r="M237" s="29" t="s">
        <v>618</v>
      </c>
      <c r="N237" s="92"/>
      <c r="O237" s="8"/>
      <c r="P237" s="90"/>
      <c r="Q237" s="8"/>
      <c r="R237" s="33" t="s">
        <v>27</v>
      </c>
      <c r="S237" s="8"/>
      <c r="T237" s="90"/>
      <c r="U237" s="8"/>
      <c r="W237" s="80">
        <v>1.2221101151999999E-2</v>
      </c>
      <c r="X237" s="80">
        <v>4.9245149999999994E-2</v>
      </c>
      <c r="Y237" s="106"/>
    </row>
    <row r="238" spans="2:25" ht="27.6" hidden="1" outlineLevel="3">
      <c r="B238" s="28"/>
      <c r="C238" s="29"/>
      <c r="D238" s="8"/>
      <c r="E238" s="90"/>
      <c r="F238" s="8"/>
      <c r="G238" s="118" t="s">
        <v>27</v>
      </c>
      <c r="H238" s="8"/>
      <c r="I238" s="90"/>
      <c r="J238" s="8"/>
      <c r="K238" s="141"/>
      <c r="L238" s="29" t="s">
        <v>609</v>
      </c>
      <c r="M238" s="29" t="s">
        <v>791</v>
      </c>
      <c r="N238" s="29"/>
      <c r="O238" s="8"/>
      <c r="P238" s="90"/>
      <c r="Q238" s="8"/>
      <c r="R238" s="33" t="s">
        <v>27</v>
      </c>
      <c r="S238" s="8"/>
      <c r="T238" s="90"/>
      <c r="U238" s="8"/>
      <c r="W238" s="80">
        <v>0.30995276083200002</v>
      </c>
      <c r="X238" s="80">
        <v>3.6853334887931043E-2</v>
      </c>
      <c r="Y238" s="80"/>
    </row>
    <row r="239" spans="2:25" ht="27.6" hidden="1" outlineLevel="3">
      <c r="B239" s="28"/>
      <c r="C239" s="29"/>
      <c r="D239" s="8"/>
      <c r="E239" s="90"/>
      <c r="F239" s="8"/>
      <c r="G239" s="118" t="s">
        <v>27</v>
      </c>
      <c r="H239" s="8"/>
      <c r="I239" s="90"/>
      <c r="J239" s="8"/>
      <c r="K239" s="141"/>
      <c r="L239" s="29" t="s">
        <v>610</v>
      </c>
      <c r="M239" s="29" t="s">
        <v>178</v>
      </c>
      <c r="N239" s="29"/>
      <c r="O239" s="8"/>
      <c r="P239" s="90"/>
      <c r="Q239" s="8"/>
      <c r="R239" s="33" t="s">
        <v>27</v>
      </c>
      <c r="S239" s="8"/>
      <c r="T239" s="90"/>
      <c r="U239" s="8"/>
      <c r="W239" s="80">
        <v>0.30995276083200002</v>
      </c>
      <c r="X239" s="80">
        <v>1.8969136958321465E-2</v>
      </c>
      <c r="Y239" s="80"/>
    </row>
    <row r="240" spans="2:25" ht="27.6" hidden="1" outlineLevel="3">
      <c r="B240" s="28"/>
      <c r="C240" s="29"/>
      <c r="D240" s="8"/>
      <c r="E240" s="90"/>
      <c r="F240" s="8"/>
      <c r="G240" s="118" t="s">
        <v>27</v>
      </c>
      <c r="H240" s="8"/>
      <c r="I240" s="90"/>
      <c r="J240" s="8"/>
      <c r="K240" s="141"/>
      <c r="L240" s="29" t="s">
        <v>1112</v>
      </c>
      <c r="M240" s="143" t="s">
        <v>107</v>
      </c>
      <c r="N240" s="29"/>
      <c r="O240" s="8"/>
      <c r="P240" s="90"/>
      <c r="Q240" s="8"/>
      <c r="R240" s="33" t="s">
        <v>27</v>
      </c>
      <c r="S240" s="8"/>
      <c r="T240" s="90"/>
      <c r="U240" s="8"/>
      <c r="W240" s="80">
        <v>0.29586399897600002</v>
      </c>
      <c r="X240" s="93">
        <v>5.4197534166632762E-3</v>
      </c>
      <c r="Y240" s="80"/>
    </row>
    <row r="241" spans="2:25" ht="3" hidden="1" customHeight="1" outlineLevel="2">
      <c r="S241" s="5"/>
      <c r="T241" s="26"/>
      <c r="U241" s="5"/>
    </row>
    <row r="242" spans="2:25" s="21" customFormat="1" hidden="1" outlineLevel="2" collapsed="1">
      <c r="B242" s="22" t="s">
        <v>620</v>
      </c>
      <c r="C242" s="22"/>
      <c r="D242" s="8"/>
      <c r="E242" s="90"/>
      <c r="F242" s="8"/>
      <c r="G242" s="124">
        <f>SUM(K242:N242)</f>
        <v>5</v>
      </c>
      <c r="H242" s="8"/>
      <c r="I242" s="90"/>
      <c r="J242" s="8"/>
      <c r="K242" s="71">
        <f>COUNTA(K243:K246)</f>
        <v>3</v>
      </c>
      <c r="L242" s="71">
        <f>COUNTA(L243:L246)</f>
        <v>2</v>
      </c>
      <c r="M242" s="71">
        <f>COUNTA(M243:M246)</f>
        <v>0</v>
      </c>
      <c r="N242" s="71">
        <f>COUNTA(N243:N246)</f>
        <v>0</v>
      </c>
      <c r="O242" s="8"/>
      <c r="P242" s="90"/>
      <c r="Q242" s="8"/>
      <c r="R242" s="23">
        <f>SUM(V242:Y242)</f>
        <v>0.93</v>
      </c>
      <c r="S242" s="8"/>
      <c r="T242" s="90"/>
      <c r="U242" s="8"/>
      <c r="V242" s="71">
        <f>SUM(V243:V246)</f>
        <v>0.84000000000000008</v>
      </c>
      <c r="W242" s="71">
        <f>SUM(W243:W246)</f>
        <v>9.0000000000000011E-2</v>
      </c>
      <c r="X242" s="71">
        <f>SUM(X243:X246)</f>
        <v>0</v>
      </c>
      <c r="Y242" s="71">
        <f>SUM(Y243:Y246)</f>
        <v>0</v>
      </c>
    </row>
    <row r="243" spans="2:25" ht="27.6" hidden="1" outlineLevel="4">
      <c r="B243" s="28"/>
      <c r="C243" s="29"/>
      <c r="D243" s="8"/>
      <c r="E243" s="90"/>
      <c r="F243" s="8"/>
      <c r="G243" s="118" t="s">
        <v>27</v>
      </c>
      <c r="H243" s="8"/>
      <c r="I243" s="90"/>
      <c r="J243" s="8"/>
      <c r="K243" s="29" t="s">
        <v>288</v>
      </c>
      <c r="L243" s="29" t="s">
        <v>106</v>
      </c>
      <c r="M243" s="141"/>
      <c r="N243" s="141"/>
      <c r="O243" s="8"/>
      <c r="P243" s="90"/>
      <c r="Q243" s="8"/>
      <c r="R243" s="33" t="s">
        <v>27</v>
      </c>
      <c r="S243" s="8"/>
      <c r="T243" s="90"/>
      <c r="U243" s="8"/>
      <c r="V243" s="35">
        <v>0.14000000000000001</v>
      </c>
      <c r="W243" s="35">
        <v>7.0000000000000007E-2</v>
      </c>
    </row>
    <row r="244" spans="2:25" ht="27.6" hidden="1" outlineLevel="4">
      <c r="B244" s="28"/>
      <c r="C244" s="29"/>
      <c r="D244" s="8"/>
      <c r="E244" s="90"/>
      <c r="F244" s="8"/>
      <c r="G244" s="118"/>
      <c r="H244" s="8"/>
      <c r="I244" s="90"/>
      <c r="J244" s="8"/>
      <c r="K244" s="29" t="s">
        <v>178</v>
      </c>
      <c r="L244" s="29" t="s">
        <v>88</v>
      </c>
      <c r="M244" s="141"/>
      <c r="N244" s="141"/>
      <c r="O244" s="8"/>
      <c r="P244" s="90"/>
      <c r="Q244" s="8"/>
      <c r="R244" s="33" t="s">
        <v>27</v>
      </c>
      <c r="S244" s="8"/>
      <c r="T244" s="90"/>
      <c r="U244" s="8"/>
      <c r="V244" s="35">
        <v>0.48</v>
      </c>
      <c r="W244" s="35">
        <v>0.02</v>
      </c>
    </row>
    <row r="245" spans="2:25" ht="27.6" hidden="1" outlineLevel="3">
      <c r="B245" s="28"/>
      <c r="C245" s="29"/>
      <c r="D245" s="8"/>
      <c r="E245" s="90"/>
      <c r="F245" s="8"/>
      <c r="G245" s="118"/>
      <c r="H245" s="8"/>
      <c r="I245" s="90"/>
      <c r="J245" s="8"/>
      <c r="K245" s="29" t="s">
        <v>107</v>
      </c>
      <c r="L245" s="141"/>
      <c r="M245" s="141"/>
      <c r="N245" s="141"/>
      <c r="O245" s="8"/>
      <c r="P245" s="90"/>
      <c r="Q245" s="8"/>
      <c r="R245" s="33" t="s">
        <v>27</v>
      </c>
      <c r="S245" s="8"/>
      <c r="T245" s="90"/>
      <c r="U245" s="8"/>
      <c r="V245" s="35">
        <v>0.17</v>
      </c>
    </row>
    <row r="246" spans="2:25" hidden="1" outlineLevel="3">
      <c r="B246" s="28"/>
      <c r="C246" s="29"/>
      <c r="D246" s="8"/>
      <c r="E246" s="90"/>
      <c r="F246" s="8"/>
      <c r="G246" s="118"/>
      <c r="H246" s="8"/>
      <c r="I246" s="90"/>
      <c r="J246" s="8"/>
      <c r="K246" s="141"/>
      <c r="L246" s="29"/>
      <c r="M246" s="141"/>
      <c r="N246" s="141"/>
      <c r="O246" s="8"/>
      <c r="P246" s="90"/>
      <c r="Q246" s="8"/>
      <c r="R246" s="33" t="s">
        <v>27</v>
      </c>
      <c r="S246" s="8"/>
      <c r="T246" s="90"/>
      <c r="U246" s="8"/>
      <c r="V246" s="35">
        <v>0.05</v>
      </c>
      <c r="W246" s="35"/>
    </row>
    <row r="247" spans="2:25" ht="3" hidden="1" customHeight="1" outlineLevel="2">
      <c r="B247" s="28"/>
      <c r="C247" s="29"/>
      <c r="D247" s="8"/>
      <c r="E247" s="90"/>
      <c r="F247" s="8"/>
      <c r="G247" s="118"/>
      <c r="H247" s="8"/>
      <c r="I247" s="90"/>
      <c r="J247" s="8"/>
      <c r="K247" s="75"/>
      <c r="O247" s="8"/>
      <c r="P247" s="90"/>
      <c r="Q247" s="8"/>
      <c r="R247" s="33"/>
      <c r="S247" s="8"/>
      <c r="T247" s="90"/>
      <c r="U247" s="8"/>
      <c r="V247" s="75"/>
    </row>
    <row r="248" spans="2:25" s="21" customFormat="1" hidden="1" outlineLevel="2" collapsed="1">
      <c r="B248" s="22" t="s">
        <v>1113</v>
      </c>
      <c r="C248" s="22"/>
      <c r="D248" s="8"/>
      <c r="E248" s="90"/>
      <c r="F248" s="8"/>
      <c r="G248" s="124">
        <f>SUM(K248:N248)</f>
        <v>4</v>
      </c>
      <c r="H248" s="8"/>
      <c r="I248" s="90"/>
      <c r="J248" s="8"/>
      <c r="K248" s="71">
        <f>COUNTA(K249:K250)</f>
        <v>0</v>
      </c>
      <c r="L248" s="71">
        <f>COUNTA(L249:L250)</f>
        <v>2</v>
      </c>
      <c r="M248" s="71">
        <f>COUNTA(M249:M250)</f>
        <v>2</v>
      </c>
      <c r="N248" s="71">
        <f>COUNTA(N249:N250)</f>
        <v>0</v>
      </c>
      <c r="O248" s="8"/>
      <c r="P248" s="90"/>
      <c r="Q248" s="8"/>
      <c r="R248" s="82">
        <f>SUM(V248:Y248)</f>
        <v>4.2497699999999998</v>
      </c>
      <c r="S248" s="8"/>
      <c r="T248" s="90"/>
      <c r="U248" s="8"/>
      <c r="V248" s="81">
        <f>SUM(V249:V250)</f>
        <v>0</v>
      </c>
      <c r="W248" s="81">
        <f>SUM(W249:W250)</f>
        <v>2.1248849999999999</v>
      </c>
      <c r="X248" s="81">
        <f>SUM(X249:X250)</f>
        <v>2.1248849999999999</v>
      </c>
      <c r="Y248" s="81">
        <f>SUM(Y249:Y250)</f>
        <v>0</v>
      </c>
    </row>
    <row r="249" spans="2:25" hidden="1" outlineLevel="3">
      <c r="B249" s="28"/>
      <c r="C249" s="29"/>
      <c r="D249" s="8"/>
      <c r="E249" s="90"/>
      <c r="F249" s="8"/>
      <c r="G249" s="118" t="s">
        <v>27</v>
      </c>
      <c r="H249" s="8"/>
      <c r="I249" s="90"/>
      <c r="J249" s="8"/>
      <c r="L249" s="99" t="s">
        <v>31</v>
      </c>
      <c r="M249" s="42" t="s">
        <v>632</v>
      </c>
      <c r="N249" s="42"/>
      <c r="O249" s="8"/>
      <c r="P249" s="90"/>
      <c r="Q249" s="8"/>
      <c r="R249" s="33" t="s">
        <v>27</v>
      </c>
      <c r="S249" s="8"/>
      <c r="T249" s="90"/>
      <c r="U249" s="8"/>
      <c r="V249" s="98"/>
      <c r="W249" s="100">
        <v>0.70829500000000001</v>
      </c>
      <c r="X249" s="96">
        <v>1.41659</v>
      </c>
      <c r="Y249" s="96"/>
    </row>
    <row r="250" spans="2:25" ht="27.6" hidden="1" outlineLevel="3">
      <c r="B250" s="28"/>
      <c r="C250" s="29"/>
      <c r="D250" s="8"/>
      <c r="E250" s="90"/>
      <c r="F250" s="8"/>
      <c r="G250" s="118"/>
      <c r="H250" s="8"/>
      <c r="I250" s="90"/>
      <c r="J250" s="8"/>
      <c r="L250" s="42" t="s">
        <v>32</v>
      </c>
      <c r="M250" s="42" t="s">
        <v>170</v>
      </c>
      <c r="N250" s="73"/>
      <c r="O250" s="8"/>
      <c r="P250" s="90"/>
      <c r="Q250" s="8"/>
      <c r="R250" s="33"/>
      <c r="S250" s="8"/>
      <c r="T250" s="90"/>
      <c r="U250" s="8"/>
      <c r="V250" s="98"/>
      <c r="W250" s="96">
        <v>1.41659</v>
      </c>
      <c r="X250" s="96">
        <v>0.70829500000000001</v>
      </c>
      <c r="Y250" s="96"/>
    </row>
    <row r="251" spans="2:25" ht="3" hidden="1" customHeight="1" outlineLevel="2">
      <c r="B251" s="28"/>
      <c r="C251" s="29"/>
      <c r="D251" s="8"/>
      <c r="E251" s="90"/>
      <c r="F251" s="8"/>
      <c r="G251" s="118"/>
      <c r="H251" s="8"/>
      <c r="I251" s="90"/>
      <c r="J251" s="8"/>
      <c r="K251" s="75"/>
      <c r="L251" s="42"/>
      <c r="M251" s="42"/>
      <c r="N251" s="42"/>
      <c r="O251" s="8"/>
      <c r="P251" s="90"/>
      <c r="Q251" s="8"/>
      <c r="R251" s="33"/>
      <c r="S251" s="8"/>
      <c r="T251" s="90"/>
      <c r="U251" s="8"/>
      <c r="V251" s="75"/>
      <c r="W251" s="42"/>
      <c r="X251" s="42"/>
      <c r="Y251" s="42"/>
    </row>
    <row r="252" spans="2:25" s="21" customFormat="1" hidden="1" outlineLevel="2" collapsed="1">
      <c r="B252" s="22" t="s">
        <v>795</v>
      </c>
      <c r="C252" s="22"/>
      <c r="D252" s="8"/>
      <c r="E252" s="90"/>
      <c r="F252" s="8"/>
      <c r="G252" s="124">
        <f>SUM(K252:N252)</f>
        <v>4</v>
      </c>
      <c r="H252" s="8"/>
      <c r="I252" s="90"/>
      <c r="J252" s="8"/>
      <c r="K252" s="71">
        <f>COUNTA(K253:K254)</f>
        <v>0</v>
      </c>
      <c r="L252" s="71">
        <f>COUNTA(L253:L254)</f>
        <v>2</v>
      </c>
      <c r="M252" s="71">
        <f>COUNTA(M253:M254)</f>
        <v>1</v>
      </c>
      <c r="N252" s="71">
        <f>COUNTA(N253:N254)</f>
        <v>1</v>
      </c>
      <c r="O252" s="8"/>
      <c r="P252" s="90"/>
      <c r="Q252" s="8"/>
      <c r="R252" s="82">
        <f>SUM(V252:Y252)</f>
        <v>0.48321000000000003</v>
      </c>
      <c r="S252" s="8"/>
      <c r="T252" s="90"/>
      <c r="U252" s="8"/>
      <c r="V252" s="81">
        <f>SUM(V253:V254)</f>
        <v>0</v>
      </c>
      <c r="W252" s="81">
        <f>SUM(W253:W254)</f>
        <v>0.32214000000000004</v>
      </c>
      <c r="X252" s="81">
        <f>SUM(X253:X254)</f>
        <v>0.16107000000000002</v>
      </c>
      <c r="Y252" s="81">
        <f>SUM(Y253:Y254)</f>
        <v>0</v>
      </c>
    </row>
    <row r="253" spans="2:25" ht="27.6" hidden="1" outlineLevel="3">
      <c r="B253" s="28"/>
      <c r="C253" s="29"/>
      <c r="D253" s="8"/>
      <c r="E253" s="90"/>
      <c r="F253" s="8"/>
      <c r="G253" s="118" t="s">
        <v>27</v>
      </c>
      <c r="H253" s="8"/>
      <c r="I253" s="90"/>
      <c r="J253" s="8"/>
      <c r="K253" s="25"/>
      <c r="L253" s="142" t="s">
        <v>31</v>
      </c>
      <c r="M253" s="139" t="s">
        <v>632</v>
      </c>
      <c r="N253" s="139" t="s">
        <v>170</v>
      </c>
      <c r="O253" s="8"/>
      <c r="P253" s="90"/>
      <c r="Q253" s="8"/>
      <c r="R253" s="33" t="s">
        <v>27</v>
      </c>
      <c r="S253" s="8"/>
      <c r="T253" s="90"/>
      <c r="U253" s="8"/>
      <c r="V253" s="98"/>
      <c r="W253" s="100">
        <v>0.16107000000000002</v>
      </c>
      <c r="X253" s="96">
        <v>0.16107000000000002</v>
      </c>
      <c r="Y253" s="107"/>
    </row>
    <row r="254" spans="2:25" hidden="1" outlineLevel="3">
      <c r="B254" s="28"/>
      <c r="C254" s="29"/>
      <c r="D254" s="8"/>
      <c r="E254" s="90"/>
      <c r="F254" s="8"/>
      <c r="G254" s="118" t="s">
        <v>27</v>
      </c>
      <c r="H254" s="8"/>
      <c r="I254" s="90"/>
      <c r="J254" s="8"/>
      <c r="K254" s="25"/>
      <c r="L254" s="139" t="s">
        <v>32</v>
      </c>
      <c r="M254" s="139"/>
      <c r="N254" s="29"/>
      <c r="O254" s="8"/>
      <c r="P254" s="90"/>
      <c r="Q254" s="8"/>
      <c r="R254" s="33" t="s">
        <v>27</v>
      </c>
      <c r="S254" s="8"/>
      <c r="T254" s="90"/>
      <c r="U254" s="8"/>
      <c r="V254" s="98"/>
      <c r="W254" s="96">
        <v>0.16107000000000002</v>
      </c>
      <c r="X254" s="96"/>
      <c r="Y254" s="107"/>
    </row>
    <row r="255" spans="2:25" ht="3" hidden="1" customHeight="1" outlineLevel="2">
      <c r="B255" s="28"/>
      <c r="C255" s="29"/>
      <c r="D255" s="8"/>
      <c r="E255" s="90"/>
      <c r="F255" s="8"/>
      <c r="G255" s="118"/>
      <c r="H255" s="8"/>
      <c r="I255" s="90"/>
      <c r="J255" s="8"/>
      <c r="K255" s="75"/>
      <c r="L255" s="42"/>
      <c r="M255" s="42"/>
      <c r="O255" s="8"/>
      <c r="P255" s="90"/>
      <c r="Q255" s="8"/>
      <c r="R255" s="33"/>
      <c r="S255" s="8"/>
      <c r="T255" s="90"/>
      <c r="U255" s="8"/>
      <c r="V255" s="75"/>
      <c r="W255" s="42"/>
      <c r="X255" s="42"/>
    </row>
    <row r="256" spans="2:25" s="21" customFormat="1" hidden="1" outlineLevel="2" collapsed="1">
      <c r="B256" s="22" t="s">
        <v>273</v>
      </c>
      <c r="C256" s="22"/>
      <c r="D256" s="8"/>
      <c r="E256" s="90"/>
      <c r="F256" s="8"/>
      <c r="G256" s="124">
        <f>SUM(K256:N256)</f>
        <v>9</v>
      </c>
      <c r="H256" s="8"/>
      <c r="I256" s="90"/>
      <c r="J256" s="8"/>
      <c r="K256" s="71">
        <f>COUNTA(K257:K259)</f>
        <v>3</v>
      </c>
      <c r="L256" s="71">
        <f>COUNTA(L257:L259)</f>
        <v>2</v>
      </c>
      <c r="M256" s="71">
        <f>COUNTA(M257:M259)</f>
        <v>1</v>
      </c>
      <c r="N256" s="71">
        <f>COUNTA(N257:N259)</f>
        <v>3</v>
      </c>
      <c r="O256" s="8"/>
      <c r="P256" s="90"/>
      <c r="Q256" s="8"/>
      <c r="R256" s="82">
        <f>SUM(V256:Y256)</f>
        <v>1.3491771229611276</v>
      </c>
      <c r="S256" s="8"/>
      <c r="T256" s="90"/>
      <c r="U256" s="8"/>
      <c r="V256" s="81">
        <f>SUM(V257:V259)</f>
        <v>0.28925560339382506</v>
      </c>
      <c r="W256" s="81">
        <f>SUM(W257:W259)</f>
        <v>0.28720852476365671</v>
      </c>
      <c r="X256" s="81">
        <f>SUM(X257:X259)</f>
        <v>0.17350895211679071</v>
      </c>
      <c r="Y256" s="81">
        <f>SUM(Y257:Y259)</f>
        <v>0.5992040426868549</v>
      </c>
    </row>
    <row r="257" spans="2:25" ht="27.6" hidden="1" outlineLevel="3">
      <c r="B257" s="28"/>
      <c r="C257" s="29"/>
      <c r="D257" s="8"/>
      <c r="E257" s="90"/>
      <c r="F257" s="8"/>
      <c r="G257" s="118" t="s">
        <v>27</v>
      </c>
      <c r="H257" s="8"/>
      <c r="I257" s="90"/>
      <c r="J257" s="8"/>
      <c r="K257" s="99" t="s">
        <v>31</v>
      </c>
      <c r="L257" s="139" t="s">
        <v>632</v>
      </c>
      <c r="M257" s="40" t="s">
        <v>178</v>
      </c>
      <c r="N257" s="40" t="s">
        <v>106</v>
      </c>
      <c r="O257" s="8"/>
      <c r="P257" s="90"/>
      <c r="Q257" s="8"/>
      <c r="R257" s="33" t="s">
        <v>27</v>
      </c>
      <c r="S257" s="8"/>
      <c r="T257" s="90"/>
      <c r="U257" s="8"/>
      <c r="V257" s="100">
        <v>7.2313900848456264E-2</v>
      </c>
      <c r="W257" s="96">
        <v>0.14462780169691253</v>
      </c>
      <c r="X257" s="111">
        <v>0.17350895211679071</v>
      </c>
      <c r="Y257" s="111">
        <v>7.4360979478624592E-2</v>
      </c>
    </row>
    <row r="258" spans="2:25" ht="27.6" hidden="1" outlineLevel="3">
      <c r="B258" s="28"/>
      <c r="C258" s="29"/>
      <c r="D258" s="8"/>
      <c r="E258" s="90"/>
      <c r="F258" s="8"/>
      <c r="G258" s="118" t="s">
        <v>27</v>
      </c>
      <c r="H258" s="8"/>
      <c r="I258" s="90"/>
      <c r="J258" s="8"/>
      <c r="K258" s="139" t="s">
        <v>32</v>
      </c>
      <c r="L258" s="40" t="s">
        <v>578</v>
      </c>
      <c r="M258" s="92"/>
      <c r="N258" s="40" t="s">
        <v>107</v>
      </c>
      <c r="O258" s="8"/>
      <c r="P258" s="90"/>
      <c r="Q258" s="8"/>
      <c r="R258" s="33" t="s">
        <v>27</v>
      </c>
      <c r="S258" s="8"/>
      <c r="T258" s="90"/>
      <c r="U258" s="8"/>
      <c r="V258" s="96">
        <v>0.14462780169691253</v>
      </c>
      <c r="W258" s="111">
        <v>0.14258072306674419</v>
      </c>
      <c r="X258" s="108"/>
      <c r="Y258" s="111">
        <v>4.9573986319083066E-2</v>
      </c>
    </row>
    <row r="259" spans="2:25" ht="27.6" hidden="1" outlineLevel="3">
      <c r="B259" s="28"/>
      <c r="C259" s="29"/>
      <c r="D259" s="8"/>
      <c r="E259" s="90"/>
      <c r="F259" s="8"/>
      <c r="G259" s="118" t="s">
        <v>27</v>
      </c>
      <c r="H259" s="8"/>
      <c r="I259" s="90"/>
      <c r="J259" s="8"/>
      <c r="K259" s="139" t="s">
        <v>170</v>
      </c>
      <c r="L259" s="139"/>
      <c r="M259" s="41"/>
      <c r="N259" s="40" t="s">
        <v>87</v>
      </c>
      <c r="O259" s="8"/>
      <c r="P259" s="90"/>
      <c r="Q259" s="8"/>
      <c r="R259" s="33" t="s">
        <v>27</v>
      </c>
      <c r="S259" s="8"/>
      <c r="T259" s="90"/>
      <c r="U259" s="8"/>
      <c r="V259" s="96">
        <v>7.2313900848456264E-2</v>
      </c>
      <c r="W259" s="96"/>
      <c r="X259" s="112"/>
      <c r="Y259" s="111">
        <v>0.47526907688914727</v>
      </c>
    </row>
    <row r="260" spans="2:25" ht="3" hidden="1" customHeight="1" outlineLevel="2">
      <c r="B260" s="28"/>
      <c r="C260" s="29"/>
      <c r="D260" s="8"/>
      <c r="E260" s="90"/>
      <c r="F260" s="8"/>
      <c r="G260" s="118"/>
      <c r="H260" s="8"/>
      <c r="I260" s="90"/>
      <c r="J260" s="8"/>
      <c r="K260" s="75"/>
      <c r="L260" s="42"/>
      <c r="M260" s="42"/>
      <c r="N260" s="42"/>
      <c r="O260" s="8"/>
      <c r="P260" s="90"/>
      <c r="Q260" s="8"/>
      <c r="R260" s="33"/>
      <c r="S260" s="8"/>
      <c r="T260" s="90"/>
      <c r="U260" s="8"/>
      <c r="V260" s="75"/>
      <c r="W260" s="42"/>
      <c r="X260" s="42"/>
      <c r="Y260" s="42"/>
    </row>
    <row r="261" spans="2:25" s="21" customFormat="1" hidden="1" outlineLevel="2" collapsed="1">
      <c r="B261" s="22" t="s">
        <v>1004</v>
      </c>
      <c r="C261" s="22"/>
      <c r="D261" s="8"/>
      <c r="E261" s="90"/>
      <c r="F261" s="8"/>
      <c r="G261" s="124">
        <f>SUM(K261:N261)</f>
        <v>4</v>
      </c>
      <c r="H261" s="8"/>
      <c r="I261" s="90"/>
      <c r="J261" s="8"/>
      <c r="K261" s="71">
        <f>COUNTA(K262:K263)</f>
        <v>0</v>
      </c>
      <c r="L261" s="71">
        <f>COUNTA(L262:L263)</f>
        <v>2</v>
      </c>
      <c r="M261" s="71">
        <f>COUNTA(M262:M263)</f>
        <v>1</v>
      </c>
      <c r="N261" s="71">
        <f>COUNTA(N262:N263)</f>
        <v>1</v>
      </c>
      <c r="O261" s="8"/>
      <c r="P261" s="90"/>
      <c r="Q261" s="8"/>
      <c r="R261" s="82">
        <f>SUM(V261:Y261)</f>
        <v>0.59354000000000007</v>
      </c>
      <c r="S261" s="8"/>
      <c r="T261" s="90"/>
      <c r="U261" s="8"/>
      <c r="V261" s="81">
        <f>SUM(V262:V263)</f>
        <v>0</v>
      </c>
      <c r="W261" s="81">
        <f>SUM(W262:W263)</f>
        <v>0.36196500000000004</v>
      </c>
      <c r="X261" s="81">
        <f>SUM(X262:X263)</f>
        <v>0.12065500000000001</v>
      </c>
      <c r="Y261" s="81">
        <f>SUM(Y262:Y263)</f>
        <v>0.11092</v>
      </c>
    </row>
    <row r="262" spans="2:25" ht="27.6" hidden="1" outlineLevel="3">
      <c r="B262" s="28"/>
      <c r="C262" s="29"/>
      <c r="D262" s="8"/>
      <c r="E262" s="90"/>
      <c r="F262" s="8"/>
      <c r="G262" s="118" t="s">
        <v>27</v>
      </c>
      <c r="H262" s="8"/>
      <c r="I262" s="90"/>
      <c r="J262" s="8"/>
      <c r="K262" s="35"/>
      <c r="L262" s="99" t="s">
        <v>31</v>
      </c>
      <c r="M262" s="42" t="s">
        <v>170</v>
      </c>
      <c r="N262" s="42" t="s">
        <v>632</v>
      </c>
      <c r="O262" s="8"/>
      <c r="P262" s="90"/>
      <c r="Q262" s="8"/>
      <c r="R262" s="33" t="s">
        <v>27</v>
      </c>
      <c r="S262" s="8"/>
      <c r="T262" s="90"/>
      <c r="U262" s="8"/>
      <c r="V262" s="102"/>
      <c r="W262" s="100">
        <v>0.12065500000000001</v>
      </c>
      <c r="X262" s="96">
        <v>0.12065500000000001</v>
      </c>
      <c r="Y262" s="96">
        <v>0.11092</v>
      </c>
    </row>
    <row r="263" spans="2:25" hidden="1" outlineLevel="3">
      <c r="B263" s="28"/>
      <c r="C263" s="29"/>
      <c r="D263" s="8"/>
      <c r="E263" s="90"/>
      <c r="F263" s="8"/>
      <c r="G263" s="118" t="s">
        <v>27</v>
      </c>
      <c r="H263" s="8"/>
      <c r="I263" s="90"/>
      <c r="J263" s="8"/>
      <c r="K263" s="35"/>
      <c r="L263" s="42" t="s">
        <v>32</v>
      </c>
      <c r="M263" s="3"/>
      <c r="N263" s="75"/>
      <c r="O263" s="8"/>
      <c r="P263" s="90"/>
      <c r="Q263" s="8"/>
      <c r="R263" s="33" t="s">
        <v>27</v>
      </c>
      <c r="S263" s="8"/>
      <c r="T263" s="90"/>
      <c r="U263" s="8"/>
      <c r="V263" s="102"/>
      <c r="W263" s="96">
        <v>0.24131000000000002</v>
      </c>
      <c r="X263" s="97"/>
      <c r="Y263" s="107"/>
    </row>
    <row r="264" spans="2:25" ht="3" hidden="1" customHeight="1" outlineLevel="2">
      <c r="B264" s="28"/>
      <c r="C264" s="29"/>
      <c r="D264" s="8"/>
      <c r="E264" s="90"/>
      <c r="F264" s="8"/>
      <c r="G264" s="118"/>
      <c r="H264" s="8"/>
      <c r="I264" s="90"/>
      <c r="J264" s="8"/>
      <c r="K264" s="75"/>
      <c r="L264" s="42"/>
      <c r="M264" s="42"/>
      <c r="N264" s="42"/>
      <c r="O264" s="8"/>
      <c r="P264" s="90"/>
      <c r="Q264" s="8"/>
      <c r="R264" s="33"/>
      <c r="S264" s="8"/>
      <c r="T264" s="90"/>
      <c r="U264" s="8"/>
      <c r="V264" s="75"/>
      <c r="W264" s="42"/>
      <c r="X264" s="42"/>
      <c r="Y264" s="42"/>
    </row>
    <row r="265" spans="2:25" s="21" customFormat="1" hidden="1" outlineLevel="2" collapsed="1">
      <c r="B265" s="22" t="s">
        <v>622</v>
      </c>
      <c r="C265" s="22"/>
      <c r="D265" s="8"/>
      <c r="E265" s="90"/>
      <c r="F265" s="8"/>
      <c r="G265" s="124">
        <f>SUM(K265:N265)</f>
        <v>4</v>
      </c>
      <c r="H265" s="8"/>
      <c r="I265" s="90"/>
      <c r="J265" s="8"/>
      <c r="K265" s="71">
        <f>COUNTA(K266:K267)</f>
        <v>0</v>
      </c>
      <c r="L265" s="71">
        <f>COUNTA(L266:L267)</f>
        <v>2</v>
      </c>
      <c r="M265" s="71">
        <f>COUNTA(M266:M267)</f>
        <v>1</v>
      </c>
      <c r="N265" s="71">
        <f>COUNTA(N266:N267)</f>
        <v>1</v>
      </c>
      <c r="O265" s="8"/>
      <c r="P265" s="90"/>
      <c r="Q265" s="8"/>
      <c r="R265" s="82">
        <f>SUM(V265:Y265)</f>
        <v>0.47790000000000005</v>
      </c>
      <c r="S265" s="8"/>
      <c r="T265" s="90"/>
      <c r="U265" s="8"/>
      <c r="V265" s="81">
        <f>SUM(V266:V268)</f>
        <v>0</v>
      </c>
      <c r="W265" s="81">
        <f>SUM(W266:W268)</f>
        <v>0.27523500000000001</v>
      </c>
      <c r="X265" s="81">
        <f>SUM(X266:X268)</f>
        <v>0.11092</v>
      </c>
      <c r="Y265" s="81">
        <f>SUM(Y266:Y268)</f>
        <v>9.1745000000000007E-2</v>
      </c>
    </row>
    <row r="266" spans="2:25" ht="27.6" hidden="1" outlineLevel="3">
      <c r="B266" s="28"/>
      <c r="C266" s="29"/>
      <c r="D266" s="8"/>
      <c r="E266" s="90"/>
      <c r="F266" s="8"/>
      <c r="G266" s="118" t="s">
        <v>27</v>
      </c>
      <c r="H266" s="8"/>
      <c r="I266" s="90"/>
      <c r="J266" s="8"/>
      <c r="K266" s="35"/>
      <c r="L266" s="99" t="s">
        <v>31</v>
      </c>
      <c r="M266" s="42" t="s">
        <v>632</v>
      </c>
      <c r="N266" s="42" t="s">
        <v>170</v>
      </c>
      <c r="O266" s="8"/>
      <c r="P266" s="90"/>
      <c r="Q266" s="8"/>
      <c r="R266" s="33" t="s">
        <v>27</v>
      </c>
      <c r="S266" s="8"/>
      <c r="T266" s="90"/>
      <c r="U266" s="8"/>
      <c r="V266" s="102"/>
      <c r="W266" s="100">
        <v>9.1745000000000007E-2</v>
      </c>
      <c r="X266" s="96">
        <v>0.11092</v>
      </c>
      <c r="Y266" s="96">
        <v>9.1745000000000007E-2</v>
      </c>
    </row>
    <row r="267" spans="2:25" hidden="1" outlineLevel="3">
      <c r="B267" s="28"/>
      <c r="C267" s="29"/>
      <c r="D267" s="8"/>
      <c r="E267" s="90"/>
      <c r="F267" s="8"/>
      <c r="G267" s="118" t="s">
        <v>27</v>
      </c>
      <c r="H267" s="8"/>
      <c r="I267" s="90"/>
      <c r="J267" s="8"/>
      <c r="K267" s="35"/>
      <c r="L267" s="42" t="s">
        <v>32</v>
      </c>
      <c r="M267" s="3"/>
      <c r="N267" s="75"/>
      <c r="O267" s="8"/>
      <c r="P267" s="90"/>
      <c r="Q267" s="8"/>
      <c r="R267" s="33" t="s">
        <v>27</v>
      </c>
      <c r="S267" s="8"/>
      <c r="T267" s="90"/>
      <c r="U267" s="8"/>
      <c r="V267" s="102"/>
      <c r="W267" s="96">
        <v>0.18349000000000001</v>
      </c>
      <c r="X267" s="97"/>
      <c r="Y267" s="107"/>
    </row>
    <row r="268" spans="2:25" ht="3" hidden="1" customHeight="1" outlineLevel="2">
      <c r="B268" s="28"/>
      <c r="C268" s="29"/>
      <c r="D268" s="8"/>
      <c r="E268" s="90"/>
      <c r="F268" s="8"/>
      <c r="G268" s="118"/>
      <c r="H268" s="8"/>
      <c r="I268" s="90"/>
      <c r="J268" s="8"/>
      <c r="K268" s="75"/>
      <c r="L268" s="42"/>
      <c r="M268" s="42"/>
      <c r="N268" s="42"/>
      <c r="O268" s="8"/>
      <c r="P268" s="90"/>
      <c r="Q268" s="8"/>
      <c r="R268" s="33"/>
      <c r="S268" s="8"/>
      <c r="T268" s="90"/>
      <c r="U268" s="8"/>
      <c r="V268" s="75"/>
      <c r="W268" s="42"/>
      <c r="X268" s="42"/>
      <c r="Y268" s="42"/>
    </row>
    <row r="269" spans="2:25" s="21" customFormat="1" hidden="1" outlineLevel="2" collapsed="1">
      <c r="B269" s="22" t="s">
        <v>265</v>
      </c>
      <c r="C269" s="22"/>
      <c r="D269" s="8"/>
      <c r="E269" s="90"/>
      <c r="F269" s="8"/>
      <c r="G269" s="124">
        <f>SUM(K269:N269)</f>
        <v>4</v>
      </c>
      <c r="H269" s="8"/>
      <c r="I269" s="90"/>
      <c r="J269" s="8"/>
      <c r="K269" s="71">
        <f>COUNTA(K270:K271)</f>
        <v>0</v>
      </c>
      <c r="L269" s="71">
        <f>COUNTA(L270:L271)</f>
        <v>2</v>
      </c>
      <c r="M269" s="71">
        <f>COUNTA(M270:M271)</f>
        <v>1</v>
      </c>
      <c r="N269" s="71">
        <f>COUNTA(N270:N271)</f>
        <v>1</v>
      </c>
      <c r="O269" s="8"/>
      <c r="P269" s="90"/>
      <c r="Q269" s="8"/>
      <c r="R269" s="82">
        <f>SUM(V269:Y269)</f>
        <v>0.22654819999999998</v>
      </c>
      <c r="S269" s="152"/>
      <c r="T269" s="154"/>
      <c r="U269" s="152"/>
      <c r="V269" s="81">
        <f>SUM(V270:V272)</f>
        <v>0</v>
      </c>
      <c r="W269" s="81">
        <f>SUM(W270:W272)</f>
        <v>8.6721149999999997E-2</v>
      </c>
      <c r="X269" s="81">
        <f>SUM(X270:X272)</f>
        <v>0.11092</v>
      </c>
      <c r="Y269" s="81">
        <f>SUM(Y270:Y272)</f>
        <v>2.8907049999999997E-2</v>
      </c>
    </row>
    <row r="270" spans="2:25" ht="27.6" hidden="1" outlineLevel="3">
      <c r="B270" s="28"/>
      <c r="C270" s="29"/>
      <c r="D270" s="8"/>
      <c r="E270" s="90"/>
      <c r="F270" s="8"/>
      <c r="G270" s="118" t="s">
        <v>27</v>
      </c>
      <c r="H270" s="8"/>
      <c r="I270" s="90"/>
      <c r="J270" s="8"/>
      <c r="K270" s="35"/>
      <c r="L270" s="99" t="s">
        <v>31</v>
      </c>
      <c r="M270" s="42" t="s">
        <v>632</v>
      </c>
      <c r="N270" s="42" t="s">
        <v>170</v>
      </c>
      <c r="O270" s="8"/>
      <c r="P270" s="90"/>
      <c r="Q270" s="8"/>
      <c r="R270" s="33" t="s">
        <v>27</v>
      </c>
      <c r="S270" s="8"/>
      <c r="T270" s="90"/>
      <c r="U270" s="8"/>
      <c r="V270" s="102"/>
      <c r="W270" s="100">
        <v>2.8907049999999997E-2</v>
      </c>
      <c r="X270" s="96">
        <v>0.11092</v>
      </c>
      <c r="Y270" s="96">
        <v>2.8907049999999997E-2</v>
      </c>
    </row>
    <row r="271" spans="2:25" hidden="1" outlineLevel="3">
      <c r="B271" s="28"/>
      <c r="C271" s="29"/>
      <c r="D271" s="8"/>
      <c r="E271" s="90"/>
      <c r="F271" s="8"/>
      <c r="G271" s="118"/>
      <c r="H271" s="8"/>
      <c r="I271" s="90"/>
      <c r="J271" s="8"/>
      <c r="K271" s="35"/>
      <c r="L271" s="42" t="s">
        <v>32</v>
      </c>
      <c r="M271" s="3"/>
      <c r="N271" s="75"/>
      <c r="O271" s="8"/>
      <c r="P271" s="90"/>
      <c r="Q271" s="8"/>
      <c r="R271" s="33"/>
      <c r="S271" s="8"/>
      <c r="T271" s="90"/>
      <c r="U271" s="8"/>
      <c r="V271" s="102"/>
      <c r="W271" s="96">
        <v>5.7814099999999993E-2</v>
      </c>
      <c r="X271" s="97"/>
      <c r="Y271" s="107"/>
    </row>
    <row r="272" spans="2:25" ht="3" hidden="1" customHeight="1" outlineLevel="2">
      <c r="S272" s="5"/>
      <c r="T272" s="26"/>
      <c r="U272" s="5"/>
    </row>
    <row r="273" spans="2:25" s="21" customFormat="1" hidden="1" outlineLevel="2" collapsed="1">
      <c r="B273" s="22" t="s">
        <v>797</v>
      </c>
      <c r="C273" s="22"/>
      <c r="D273" s="8"/>
      <c r="E273" s="90"/>
      <c r="F273" s="8"/>
      <c r="G273" s="124">
        <f>SUM(K273:N273)</f>
        <v>4</v>
      </c>
      <c r="H273" s="8"/>
      <c r="I273" s="90"/>
      <c r="J273" s="8"/>
      <c r="K273" s="71">
        <f>COUNTA(K274:K275)</f>
        <v>0</v>
      </c>
      <c r="L273" s="71">
        <f>COUNTA(L274:L275)</f>
        <v>0</v>
      </c>
      <c r="M273" s="71">
        <f>COUNTA(M274:M275)</f>
        <v>2</v>
      </c>
      <c r="N273" s="71">
        <f>COUNTA(N274:N275)</f>
        <v>2</v>
      </c>
      <c r="O273" s="8"/>
      <c r="P273" s="90"/>
      <c r="Q273" s="8"/>
      <c r="R273" s="82">
        <f>SUM(V273:Y273)</f>
        <v>0.93456000000000006</v>
      </c>
      <c r="S273" s="8"/>
      <c r="T273" s="90"/>
      <c r="U273" s="8"/>
      <c r="V273" s="81">
        <f>SUM(V274:V275)</f>
        <v>0</v>
      </c>
      <c r="W273" s="81">
        <f>SUM(W274:W275)</f>
        <v>0</v>
      </c>
      <c r="X273" s="81">
        <f>SUM(X274:X275)</f>
        <v>0.62304000000000004</v>
      </c>
      <c r="Y273" s="81">
        <f>SUM(Y274:Y275)</f>
        <v>0.31152000000000002</v>
      </c>
    </row>
    <row r="274" spans="2:25" hidden="1" outlineLevel="3">
      <c r="B274" s="28"/>
      <c r="C274" s="29"/>
      <c r="D274" s="8"/>
      <c r="E274" s="90"/>
      <c r="F274" s="8"/>
      <c r="G274" s="118" t="s">
        <v>27</v>
      </c>
      <c r="H274" s="8"/>
      <c r="I274" s="90"/>
      <c r="J274" s="8"/>
      <c r="K274" s="35"/>
      <c r="M274" s="36" t="s">
        <v>31</v>
      </c>
      <c r="N274" s="36" t="s">
        <v>33</v>
      </c>
      <c r="O274" s="8"/>
      <c r="P274" s="90"/>
      <c r="Q274" s="8"/>
      <c r="R274" s="33" t="s">
        <v>27</v>
      </c>
      <c r="S274" s="8"/>
      <c r="T274" s="90"/>
      <c r="U274" s="8"/>
      <c r="V274" s="102"/>
      <c r="W274" s="102"/>
      <c r="X274" s="103">
        <v>0.31152000000000002</v>
      </c>
      <c r="Y274" s="103">
        <v>0.31152000000000002</v>
      </c>
    </row>
    <row r="275" spans="2:25" hidden="1" outlineLevel="3">
      <c r="B275" s="28"/>
      <c r="C275" s="29"/>
      <c r="D275" s="8"/>
      <c r="E275" s="90"/>
      <c r="F275" s="8"/>
      <c r="G275" s="118" t="s">
        <v>27</v>
      </c>
      <c r="H275" s="8"/>
      <c r="I275" s="90"/>
      <c r="J275" s="8"/>
      <c r="K275" s="113"/>
      <c r="M275" s="73" t="s">
        <v>32</v>
      </c>
      <c r="N275" s="36" t="s">
        <v>326</v>
      </c>
      <c r="O275" s="8"/>
      <c r="P275" s="90"/>
      <c r="Q275" s="8"/>
      <c r="R275" s="33" t="s">
        <v>27</v>
      </c>
      <c r="S275" s="8"/>
      <c r="T275" s="90"/>
      <c r="U275" s="8"/>
      <c r="V275" s="97"/>
      <c r="W275" s="102"/>
      <c r="X275" s="96">
        <v>0.31152000000000002</v>
      </c>
      <c r="Y275" s="103"/>
    </row>
    <row r="276" spans="2:25" ht="3" hidden="1" customHeight="1" outlineLevel="2">
      <c r="B276" s="2"/>
      <c r="C276" s="25"/>
      <c r="D276" s="8"/>
      <c r="E276" s="90"/>
      <c r="F276" s="8"/>
      <c r="G276" s="125"/>
      <c r="H276" s="8"/>
      <c r="I276" s="90"/>
      <c r="J276" s="8"/>
      <c r="K276" s="77"/>
      <c r="L276" s="77"/>
      <c r="M276" s="77"/>
      <c r="N276" s="77"/>
      <c r="O276" s="8"/>
      <c r="P276" s="90"/>
      <c r="Q276" s="8"/>
      <c r="R276" s="30"/>
      <c r="S276" s="8"/>
      <c r="T276" s="90"/>
      <c r="U276" s="8"/>
      <c r="V276" s="77"/>
      <c r="W276" s="77"/>
      <c r="X276" s="77"/>
      <c r="Y276" s="77"/>
    </row>
    <row r="277" spans="2:25" s="21" customFormat="1" hidden="1" outlineLevel="2" collapsed="1">
      <c r="B277" s="22" t="s">
        <v>365</v>
      </c>
      <c r="C277" s="22"/>
      <c r="D277" s="8"/>
      <c r="E277" s="90"/>
      <c r="F277" s="8"/>
      <c r="G277" s="124">
        <f>SUM(K277:N277)</f>
        <v>5</v>
      </c>
      <c r="H277" s="8"/>
      <c r="I277" s="90"/>
      <c r="J277" s="8"/>
      <c r="K277" s="71">
        <f>COUNTA(K278:K279)</f>
        <v>2</v>
      </c>
      <c r="L277" s="71">
        <f>COUNTA(L278:L279)</f>
        <v>1</v>
      </c>
      <c r="M277" s="71">
        <f>COUNTA(M278:M279)</f>
        <v>1</v>
      </c>
      <c r="N277" s="71">
        <f>COUNTA(N278:N279)</f>
        <v>1</v>
      </c>
      <c r="O277" s="8"/>
      <c r="P277" s="90"/>
      <c r="Q277" s="8"/>
      <c r="R277" s="81">
        <f>SUM(V277:Y277)</f>
        <v>1.9621039999999998</v>
      </c>
      <c r="S277" s="8"/>
      <c r="T277" s="90"/>
      <c r="U277" s="8"/>
      <c r="V277" s="81">
        <f>SUM(V278:V279)</f>
        <v>1.2307399999999999</v>
      </c>
      <c r="W277" s="81">
        <f>SUM(W278:W279)</f>
        <v>0.61536999999999997</v>
      </c>
      <c r="X277" s="81">
        <f>SUM(X278:X279)</f>
        <v>0</v>
      </c>
      <c r="Y277" s="81">
        <f>SUM(Y278:Y279)</f>
        <v>0.115994</v>
      </c>
    </row>
    <row r="278" spans="2:25" ht="27.6" hidden="1" outlineLevel="3">
      <c r="B278" s="19"/>
      <c r="C278" s="20"/>
      <c r="D278" s="8"/>
      <c r="E278" s="90"/>
      <c r="F278" s="8"/>
      <c r="G278" s="118" t="s">
        <v>27</v>
      </c>
      <c r="H278" s="8"/>
      <c r="I278" s="90"/>
      <c r="J278" s="8"/>
      <c r="K278" s="36" t="s">
        <v>31</v>
      </c>
      <c r="L278" s="36" t="s">
        <v>33</v>
      </c>
      <c r="M278" s="36" t="s">
        <v>170</v>
      </c>
      <c r="N278" s="104" t="s">
        <v>293</v>
      </c>
      <c r="O278" s="8"/>
      <c r="P278" s="90"/>
      <c r="Q278" s="8"/>
      <c r="R278" s="33" t="s">
        <v>27</v>
      </c>
      <c r="S278" s="8"/>
      <c r="T278" s="90"/>
      <c r="U278" s="8"/>
      <c r="V278" s="103">
        <v>0.61536999999999997</v>
      </c>
      <c r="W278" s="103">
        <v>0.61536999999999997</v>
      </c>
      <c r="X278" s="97"/>
      <c r="Y278" s="105">
        <v>0.115994</v>
      </c>
    </row>
    <row r="279" spans="2:25" hidden="1" outlineLevel="3">
      <c r="B279" s="19"/>
      <c r="C279" s="20"/>
      <c r="D279" s="8"/>
      <c r="E279" s="90"/>
      <c r="F279" s="8"/>
      <c r="G279" s="118" t="s">
        <v>27</v>
      </c>
      <c r="H279" s="8"/>
      <c r="I279" s="90"/>
      <c r="J279" s="8"/>
      <c r="K279" s="36" t="s">
        <v>32</v>
      </c>
      <c r="L279" s="36"/>
      <c r="M279" s="3"/>
      <c r="N279" s="36"/>
      <c r="O279" s="8"/>
      <c r="P279" s="90"/>
      <c r="Q279" s="8"/>
      <c r="R279" s="33" t="s">
        <v>27</v>
      </c>
      <c r="S279" s="8"/>
      <c r="T279" s="90"/>
      <c r="U279" s="8"/>
      <c r="V279" s="103">
        <v>0.61536999999999997</v>
      </c>
      <c r="W279" s="103"/>
      <c r="X279" s="97"/>
      <c r="Y279" s="103"/>
    </row>
    <row r="280" spans="2:25" ht="3" hidden="1" customHeight="1" outlineLevel="2">
      <c r="B280" s="19"/>
      <c r="C280" s="20"/>
      <c r="D280" s="8"/>
      <c r="E280" s="90"/>
      <c r="F280" s="8"/>
      <c r="G280" s="123"/>
      <c r="H280" s="8"/>
      <c r="I280" s="90"/>
      <c r="J280" s="8"/>
      <c r="K280" s="70"/>
      <c r="L280" s="70"/>
      <c r="M280" s="70"/>
      <c r="N280" s="74"/>
      <c r="O280" s="8"/>
      <c r="P280" s="90"/>
      <c r="Q280" s="8"/>
      <c r="R280" s="8"/>
      <c r="S280" s="8"/>
      <c r="T280" s="90"/>
      <c r="U280" s="8"/>
      <c r="V280" s="70"/>
      <c r="W280" s="70"/>
      <c r="X280" s="70"/>
      <c r="Y280" s="74"/>
    </row>
    <row r="281" spans="2:25" s="21" customFormat="1" hidden="1" outlineLevel="2" collapsed="1">
      <c r="B281" s="22" t="s">
        <v>1114</v>
      </c>
      <c r="C281" s="22"/>
      <c r="D281" s="8"/>
      <c r="E281" s="90"/>
      <c r="F281" s="8"/>
      <c r="G281" s="124">
        <f>SUM(K281:N281)</f>
        <v>7</v>
      </c>
      <c r="H281" s="8"/>
      <c r="I281" s="90"/>
      <c r="J281" s="8"/>
      <c r="K281" s="71">
        <f>COUNTA(K282:K284)</f>
        <v>2</v>
      </c>
      <c r="L281" s="71">
        <f>COUNTA(L282:L284)</f>
        <v>1</v>
      </c>
      <c r="M281" s="71">
        <f>COUNTA(M282:M284)</f>
        <v>1</v>
      </c>
      <c r="N281" s="71">
        <f>COUNTA(N282:N284)</f>
        <v>3</v>
      </c>
      <c r="O281" s="8"/>
      <c r="P281" s="90"/>
      <c r="Q281" s="8"/>
      <c r="R281" s="81">
        <f>SUM(V281:Y281)</f>
        <v>1.6963522912500002</v>
      </c>
      <c r="S281" s="8"/>
      <c r="T281" s="90"/>
      <c r="U281" s="8"/>
      <c r="V281" s="81">
        <f>SUM(V282:V284)</f>
        <v>0.46013893500000003</v>
      </c>
      <c r="W281" s="81">
        <f>SUM(W282:W284)</f>
        <v>0.23006946750000001</v>
      </c>
      <c r="X281" s="81">
        <f>SUM(X282:X284)</f>
        <v>0</v>
      </c>
      <c r="Y281" s="81">
        <f>SUM(Y282:Y284)</f>
        <v>1.00614388875</v>
      </c>
    </row>
    <row r="282" spans="2:25" ht="27.6" hidden="1" outlineLevel="3">
      <c r="B282" s="19"/>
      <c r="C282" s="20"/>
      <c r="D282" s="8"/>
      <c r="E282" s="90"/>
      <c r="F282" s="8"/>
      <c r="G282" s="118" t="s">
        <v>27</v>
      </c>
      <c r="H282" s="8"/>
      <c r="I282" s="90"/>
      <c r="J282" s="8"/>
      <c r="K282" s="36" t="s">
        <v>31</v>
      </c>
      <c r="L282" s="36" t="s">
        <v>33</v>
      </c>
      <c r="M282" s="36" t="s">
        <v>170</v>
      </c>
      <c r="N282" s="104" t="s">
        <v>1115</v>
      </c>
      <c r="O282" s="8"/>
      <c r="P282" s="90"/>
      <c r="Q282" s="8"/>
      <c r="R282" s="8"/>
      <c r="S282" s="8"/>
      <c r="T282" s="90"/>
      <c r="U282" s="8"/>
      <c r="V282" s="103">
        <v>0.23006946750000001</v>
      </c>
      <c r="W282" s="103">
        <v>0.23006946750000001</v>
      </c>
      <c r="X282" s="97"/>
      <c r="Y282" s="105">
        <v>0.4643741025</v>
      </c>
    </row>
    <row r="283" spans="2:25" hidden="1" outlineLevel="3">
      <c r="B283" s="19"/>
      <c r="C283" s="20"/>
      <c r="D283" s="8"/>
      <c r="E283" s="90"/>
      <c r="F283" s="8"/>
      <c r="G283" s="118" t="s">
        <v>27</v>
      </c>
      <c r="H283" s="8"/>
      <c r="I283" s="90"/>
      <c r="J283" s="8"/>
      <c r="K283" s="36" t="s">
        <v>32</v>
      </c>
      <c r="L283" s="36"/>
      <c r="M283" s="3"/>
      <c r="N283" s="104" t="s">
        <v>1116</v>
      </c>
      <c r="O283" s="8"/>
      <c r="P283" s="90"/>
      <c r="Q283" s="8"/>
      <c r="R283" s="8"/>
      <c r="S283" s="8"/>
      <c r="T283" s="90"/>
      <c r="U283" s="8"/>
      <c r="V283" s="103">
        <v>0.23006946750000001</v>
      </c>
      <c r="W283" s="97"/>
      <c r="X283" s="108"/>
      <c r="Y283" s="105">
        <v>0.309582735</v>
      </c>
    </row>
    <row r="284" spans="2:25" ht="27.6" hidden="1" outlineLevel="3">
      <c r="B284" s="19"/>
      <c r="C284" s="20"/>
      <c r="D284" s="8"/>
      <c r="E284" s="90"/>
      <c r="F284" s="8"/>
      <c r="G284" s="118" t="s">
        <v>27</v>
      </c>
      <c r="H284" s="8"/>
      <c r="I284" s="90"/>
      <c r="J284" s="8"/>
      <c r="K284" s="3"/>
      <c r="L284" s="36"/>
      <c r="M284" s="74"/>
      <c r="N284" s="104" t="s">
        <v>1117</v>
      </c>
      <c r="O284" s="8"/>
      <c r="P284" s="90"/>
      <c r="Q284" s="8"/>
      <c r="R284" s="8"/>
      <c r="S284" s="8"/>
      <c r="T284" s="90"/>
      <c r="U284" s="8"/>
      <c r="V284" s="103"/>
      <c r="W284" s="97"/>
      <c r="X284" s="108"/>
      <c r="Y284" s="105">
        <v>0.23218705125</v>
      </c>
    </row>
    <row r="285" spans="2:25" ht="3" hidden="1" customHeight="1" outlineLevel="2">
      <c r="B285" s="28"/>
      <c r="C285" s="29"/>
      <c r="D285" s="8"/>
      <c r="E285" s="90"/>
      <c r="F285" s="8"/>
      <c r="G285" s="118"/>
      <c r="H285" s="8"/>
      <c r="I285" s="90"/>
      <c r="J285" s="8"/>
      <c r="K285" s="75"/>
      <c r="O285" s="8"/>
      <c r="P285" s="90"/>
      <c r="Q285" s="8"/>
      <c r="R285" s="26"/>
      <c r="S285" s="8"/>
      <c r="T285" s="90"/>
      <c r="U285" s="8"/>
      <c r="V285" s="75"/>
    </row>
    <row r="286" spans="2:25" s="21" customFormat="1" hidden="1" outlineLevel="2" collapsed="1">
      <c r="B286" s="22" t="s">
        <v>576</v>
      </c>
      <c r="C286" s="22"/>
      <c r="D286" s="8"/>
      <c r="E286" s="90"/>
      <c r="F286" s="8"/>
      <c r="G286" s="124">
        <f>SUM(K286:N286)</f>
        <v>7</v>
      </c>
      <c r="H286" s="8"/>
      <c r="I286" s="90"/>
      <c r="J286" s="8"/>
      <c r="K286" s="71">
        <f>COUNTA(K287:K292)</f>
        <v>5</v>
      </c>
      <c r="L286" s="71">
        <f>COUNTA(L287:L292)</f>
        <v>2</v>
      </c>
      <c r="M286" s="71">
        <f>COUNTA(M287:M292)</f>
        <v>0</v>
      </c>
      <c r="N286" s="71">
        <f>COUNTA(N287:N292)</f>
        <v>0</v>
      </c>
      <c r="O286" s="8"/>
      <c r="P286" s="90"/>
      <c r="Q286" s="8"/>
      <c r="R286" s="82">
        <f>SUM(V286:Y286)</f>
        <v>0.27415205626489164</v>
      </c>
      <c r="S286" s="152"/>
      <c r="T286" s="154"/>
      <c r="U286" s="152"/>
      <c r="V286" s="81">
        <f>SUM(V287:V292)</f>
        <v>0.23193552075597784</v>
      </c>
      <c r="W286" s="81">
        <f>SUM(W287:W292)</f>
        <v>4.2216535508913799E-2</v>
      </c>
      <c r="X286" s="81">
        <f>SUM(X287:X292)</f>
        <v>0</v>
      </c>
      <c r="Y286" s="81">
        <f>SUM(Y287:Y292)</f>
        <v>0</v>
      </c>
    </row>
    <row r="287" spans="2:25" hidden="1" outlineLevel="3">
      <c r="B287" s="24"/>
      <c r="C287" s="25"/>
      <c r="D287" s="8"/>
      <c r="E287" s="90"/>
      <c r="F287" s="8"/>
      <c r="G287" s="118" t="s">
        <v>27</v>
      </c>
      <c r="H287" s="8"/>
      <c r="I287" s="90"/>
      <c r="J287" s="8"/>
      <c r="K287" s="42" t="s">
        <v>87</v>
      </c>
      <c r="L287" s="42" t="s">
        <v>1031</v>
      </c>
      <c r="O287" s="8"/>
      <c r="P287" s="90"/>
      <c r="Q287" s="8"/>
      <c r="R287" s="26"/>
      <c r="S287" s="8"/>
      <c r="T287" s="90"/>
      <c r="U287" s="8"/>
      <c r="V287" s="87">
        <v>7.4218848599999998E-2</v>
      </c>
      <c r="W287" s="87">
        <v>1.2341052200000001E-2</v>
      </c>
    </row>
    <row r="288" spans="2:25" hidden="1" outlineLevel="3">
      <c r="S288" s="5"/>
      <c r="T288" s="26"/>
      <c r="U288" s="5"/>
    </row>
    <row r="289" spans="2:25" hidden="1" outlineLevel="3">
      <c r="B289" s="24"/>
      <c r="C289" s="25"/>
      <c r="D289" s="8"/>
      <c r="E289" s="90"/>
      <c r="F289" s="8"/>
      <c r="G289" s="118" t="s">
        <v>766</v>
      </c>
      <c r="H289" s="8"/>
      <c r="I289" s="90"/>
      <c r="J289" s="8"/>
      <c r="K289" s="74" t="s">
        <v>33</v>
      </c>
      <c r="L289" s="42" t="s">
        <v>1031</v>
      </c>
      <c r="O289" s="8"/>
      <c r="P289" s="90"/>
      <c r="Q289" s="8"/>
      <c r="R289" s="26"/>
      <c r="S289" s="8"/>
      <c r="T289" s="90"/>
      <c r="U289" s="8"/>
      <c r="V289" s="87">
        <v>2.9875483308913799E-2</v>
      </c>
      <c r="W289" s="87"/>
    </row>
    <row r="290" spans="2:25" hidden="1" outlineLevel="3">
      <c r="B290" s="24"/>
      <c r="C290" s="25"/>
      <c r="D290" s="8"/>
      <c r="E290" s="90"/>
      <c r="F290" s="8"/>
      <c r="G290" s="118" t="s">
        <v>766</v>
      </c>
      <c r="H290" s="8"/>
      <c r="I290" s="90"/>
      <c r="J290" s="8"/>
      <c r="K290" s="74" t="s">
        <v>578</v>
      </c>
      <c r="L290" s="42"/>
      <c r="O290" s="8"/>
      <c r="P290" s="90"/>
      <c r="Q290" s="8"/>
      <c r="R290" s="26"/>
      <c r="S290" s="8"/>
      <c r="T290" s="90"/>
      <c r="U290" s="8"/>
      <c r="V290" s="87">
        <v>4.4984631294120017E-2</v>
      </c>
      <c r="W290" s="87">
        <v>2.9875483308913799E-2</v>
      </c>
    </row>
    <row r="291" spans="2:25" hidden="1" outlineLevel="3">
      <c r="B291" s="24"/>
      <c r="C291" s="25"/>
      <c r="D291" s="8"/>
      <c r="E291" s="90"/>
      <c r="F291" s="8"/>
      <c r="G291" s="118" t="s">
        <v>766</v>
      </c>
      <c r="H291" s="8"/>
      <c r="I291" s="90"/>
      <c r="J291" s="8"/>
      <c r="K291" s="42" t="s">
        <v>580</v>
      </c>
      <c r="O291" s="8"/>
      <c r="P291" s="90"/>
      <c r="Q291" s="8"/>
      <c r="R291" s="26"/>
      <c r="S291" s="8"/>
      <c r="T291" s="90"/>
      <c r="U291" s="8"/>
      <c r="V291" s="87">
        <v>5.3981557552944016E-2</v>
      </c>
      <c r="W291" s="74"/>
    </row>
    <row r="292" spans="2:25" ht="27.6" hidden="1" outlineLevel="3">
      <c r="B292" s="24"/>
      <c r="C292" s="25"/>
      <c r="D292" s="8"/>
      <c r="E292" s="90"/>
      <c r="F292" s="8"/>
      <c r="G292" s="118" t="s">
        <v>766</v>
      </c>
      <c r="H292" s="8"/>
      <c r="I292" s="90"/>
      <c r="J292" s="8"/>
      <c r="K292" s="74" t="s">
        <v>108</v>
      </c>
      <c r="O292" s="8"/>
      <c r="P292" s="90"/>
      <c r="Q292" s="8"/>
      <c r="R292" s="26"/>
      <c r="S292" s="8"/>
      <c r="T292" s="90"/>
      <c r="U292" s="8"/>
      <c r="V292" s="87">
        <v>2.8875000000000005E-2</v>
      </c>
    </row>
    <row r="293" spans="2:25" ht="3" hidden="1" customHeight="1" outlineLevel="2">
      <c r="B293" s="2"/>
      <c r="C293" s="25"/>
      <c r="D293" s="8"/>
      <c r="E293" s="90"/>
      <c r="F293" s="8"/>
      <c r="G293" s="125"/>
      <c r="H293" s="8"/>
      <c r="I293" s="90"/>
      <c r="J293" s="8"/>
      <c r="K293" s="77"/>
      <c r="L293" s="77"/>
      <c r="M293" s="77"/>
      <c r="N293" s="77"/>
      <c r="O293" s="8"/>
      <c r="P293" s="90"/>
      <c r="Q293" s="8"/>
      <c r="R293" s="30"/>
      <c r="S293" s="8"/>
      <c r="T293" s="90"/>
      <c r="U293" s="8"/>
      <c r="V293" s="77"/>
      <c r="W293" s="77"/>
      <c r="X293" s="77"/>
      <c r="Y293" s="77"/>
    </row>
    <row r="294" spans="2:25" s="21" customFormat="1" hidden="1" outlineLevel="2" collapsed="1">
      <c r="B294" s="22" t="s">
        <v>695</v>
      </c>
      <c r="C294" s="22"/>
      <c r="D294" s="8"/>
      <c r="E294" s="90"/>
      <c r="F294" s="8"/>
      <c r="G294" s="124">
        <f>SUM(K294:N294)</f>
        <v>6</v>
      </c>
      <c r="H294" s="8"/>
      <c r="I294" s="90"/>
      <c r="J294" s="8"/>
      <c r="K294" s="71">
        <f>COUNTA(K295:K297)</f>
        <v>3</v>
      </c>
      <c r="L294" s="71">
        <f>COUNTA(L295:L297)</f>
        <v>3</v>
      </c>
      <c r="M294" s="71">
        <f>COUNTA(M295:M297)</f>
        <v>0</v>
      </c>
      <c r="N294" s="71">
        <f>COUNTA(N295:N297)</f>
        <v>0</v>
      </c>
      <c r="O294" s="8"/>
      <c r="P294" s="90"/>
      <c r="Q294" s="8"/>
      <c r="R294" s="23">
        <f>SUM(V294:Y294)</f>
        <v>0</v>
      </c>
      <c r="S294" s="8"/>
      <c r="T294" s="90"/>
      <c r="U294" s="8"/>
      <c r="V294" s="71">
        <f>SUM(V295:V297)</f>
        <v>0</v>
      </c>
      <c r="W294" s="71">
        <f>SUM(W295:W297)</f>
        <v>0</v>
      </c>
      <c r="X294" s="71">
        <f>SUM(X295:X297)</f>
        <v>0</v>
      </c>
      <c r="Y294" s="71">
        <f>SUM(Y295:Y297)</f>
        <v>0</v>
      </c>
    </row>
    <row r="295" spans="2:25" ht="27.6" hidden="1" outlineLevel="3">
      <c r="B295" s="19"/>
      <c r="C295" s="20"/>
      <c r="D295" s="8"/>
      <c r="E295" s="90"/>
      <c r="F295" s="8"/>
      <c r="G295" s="118" t="s">
        <v>27</v>
      </c>
      <c r="H295" s="8"/>
      <c r="I295" s="90"/>
      <c r="J295" s="8"/>
      <c r="K295" s="36" t="s">
        <v>1118</v>
      </c>
      <c r="L295" s="36" t="s">
        <v>1119</v>
      </c>
      <c r="M295" s="74"/>
      <c r="N295" s="74"/>
      <c r="O295" s="8"/>
      <c r="P295" s="90"/>
      <c r="Q295" s="8"/>
      <c r="R295" s="8"/>
      <c r="S295" s="8"/>
      <c r="T295" s="90"/>
      <c r="U295" s="8"/>
      <c r="V295" s="36"/>
      <c r="W295" s="74"/>
      <c r="X295" s="74"/>
      <c r="Y295" s="74"/>
    </row>
    <row r="296" spans="2:25" ht="27.6" hidden="1" outlineLevel="3">
      <c r="B296" s="19"/>
      <c r="C296" s="20"/>
      <c r="D296" s="8"/>
      <c r="E296" s="90"/>
      <c r="F296" s="8"/>
      <c r="G296" s="118" t="s">
        <v>27</v>
      </c>
      <c r="H296" s="8"/>
      <c r="I296" s="90"/>
      <c r="J296" s="8"/>
      <c r="K296" s="36" t="s">
        <v>1120</v>
      </c>
      <c r="L296" s="36" t="s">
        <v>1121</v>
      </c>
      <c r="N296" s="74"/>
      <c r="O296" s="8"/>
      <c r="P296" s="90"/>
      <c r="Q296" s="8"/>
      <c r="R296" s="8"/>
      <c r="S296" s="8"/>
      <c r="T296" s="90"/>
      <c r="U296" s="8"/>
      <c r="V296" s="36"/>
      <c r="W296" s="74"/>
      <c r="Y296" s="74"/>
    </row>
    <row r="297" spans="2:25" ht="27.6" hidden="1" outlineLevel="3">
      <c r="B297" s="19"/>
      <c r="C297" s="20"/>
      <c r="D297" s="8"/>
      <c r="E297" s="90"/>
      <c r="F297" s="8"/>
      <c r="G297" s="118" t="s">
        <v>27</v>
      </c>
      <c r="H297" s="8"/>
      <c r="I297" s="90"/>
      <c r="J297" s="8"/>
      <c r="K297" s="36" t="s">
        <v>1122</v>
      </c>
      <c r="L297" s="36" t="s">
        <v>1123</v>
      </c>
      <c r="N297" s="74"/>
      <c r="O297" s="8"/>
      <c r="P297" s="90"/>
      <c r="Q297" s="8"/>
      <c r="R297" s="8"/>
      <c r="S297" s="8"/>
      <c r="T297" s="90"/>
      <c r="U297" s="8"/>
      <c r="V297" s="36"/>
      <c r="W297" s="74"/>
      <c r="Y297" s="74"/>
    </row>
    <row r="298" spans="2:25" ht="3" hidden="1" customHeight="1" outlineLevel="2">
      <c r="B298" s="2"/>
      <c r="C298" s="2"/>
      <c r="D298" s="8"/>
      <c r="E298" s="90"/>
      <c r="F298" s="8"/>
      <c r="G298" s="121"/>
      <c r="H298" s="8"/>
      <c r="I298" s="90"/>
      <c r="J298" s="8"/>
      <c r="O298" s="8"/>
      <c r="P298" s="90"/>
      <c r="Q298" s="8"/>
      <c r="R298" s="114"/>
      <c r="S298" s="8"/>
      <c r="T298" s="90"/>
      <c r="U298" s="8"/>
    </row>
    <row r="299" spans="2:25" s="21" customFormat="1" hidden="1" outlineLevel="2" collapsed="1">
      <c r="B299" s="22" t="s">
        <v>1124</v>
      </c>
      <c r="C299" s="22"/>
      <c r="D299" s="8"/>
      <c r="E299" s="90"/>
      <c r="F299" s="8"/>
      <c r="G299" s="124">
        <f>SUM(K299:N299)</f>
        <v>2</v>
      </c>
      <c r="H299" s="8"/>
      <c r="I299" s="90"/>
      <c r="J299" s="8"/>
      <c r="K299" s="71">
        <f>COUNTA(K300:K300)</f>
        <v>0</v>
      </c>
      <c r="L299" s="71">
        <f>COUNTA(L300:L300)</f>
        <v>1</v>
      </c>
      <c r="M299" s="71">
        <f>COUNTA(M300:M300)</f>
        <v>1</v>
      </c>
      <c r="N299" s="71">
        <f>COUNTA(N300:N300)</f>
        <v>0</v>
      </c>
      <c r="O299" s="8"/>
      <c r="P299" s="90"/>
      <c r="Q299" s="8"/>
      <c r="R299" s="23"/>
      <c r="S299" s="8"/>
      <c r="T299" s="90"/>
      <c r="U299" s="8"/>
      <c r="V299" s="81">
        <f>SUM(V300)</f>
        <v>0</v>
      </c>
      <c r="W299" s="81">
        <f t="shared" ref="W299:Y299" si="6">SUM(W300)</f>
        <v>3.7124999999999998E-2</v>
      </c>
      <c r="X299" s="81">
        <f t="shared" si="6"/>
        <v>3.7124999999999998E-2</v>
      </c>
      <c r="Y299" s="81">
        <f t="shared" si="6"/>
        <v>0</v>
      </c>
    </row>
    <row r="300" spans="2:25" hidden="1" outlineLevel="3">
      <c r="B300" s="19"/>
      <c r="C300" s="20"/>
      <c r="D300" s="8"/>
      <c r="E300" s="90"/>
      <c r="F300" s="8"/>
      <c r="G300" s="118" t="s">
        <v>27</v>
      </c>
      <c r="H300" s="8"/>
      <c r="I300" s="90"/>
      <c r="J300" s="8"/>
      <c r="K300" s="73"/>
      <c r="L300" s="74" t="s">
        <v>631</v>
      </c>
      <c r="M300" s="74" t="s">
        <v>1125</v>
      </c>
      <c r="N300" s="35"/>
      <c r="O300" s="8"/>
      <c r="P300" s="90"/>
      <c r="Q300" s="8"/>
      <c r="R300" s="8"/>
      <c r="S300" s="8"/>
      <c r="T300" s="90"/>
      <c r="U300" s="8"/>
      <c r="V300" s="96"/>
      <c r="W300" s="108">
        <v>3.7124999999999998E-2</v>
      </c>
      <c r="X300" s="108">
        <v>3.7124999999999998E-2</v>
      </c>
      <c r="Y300" s="102"/>
    </row>
    <row r="301" spans="2:25" ht="3" hidden="1" customHeight="1" outlineLevel="2">
      <c r="B301" s="2"/>
      <c r="C301" s="2"/>
      <c r="D301" s="8"/>
      <c r="E301" s="90"/>
      <c r="F301" s="8"/>
      <c r="G301" s="121"/>
      <c r="H301" s="8"/>
      <c r="I301" s="90"/>
      <c r="J301" s="8"/>
      <c r="O301" s="8"/>
      <c r="P301" s="90"/>
      <c r="Q301" s="8"/>
      <c r="R301" s="114"/>
      <c r="S301" s="8"/>
      <c r="T301" s="90"/>
      <c r="U301" s="8"/>
    </row>
    <row r="302" spans="2:25" s="21" customFormat="1" hidden="1" outlineLevel="2" collapsed="1">
      <c r="B302" s="22" t="s">
        <v>582</v>
      </c>
      <c r="C302" s="22"/>
      <c r="D302" s="8"/>
      <c r="E302" s="90"/>
      <c r="F302" s="8"/>
      <c r="G302" s="124">
        <f>SUM(K302:N302)</f>
        <v>4</v>
      </c>
      <c r="H302" s="8"/>
      <c r="I302" s="90"/>
      <c r="J302" s="8"/>
      <c r="K302" s="71">
        <f>COUNTA(K303:K304)</f>
        <v>0</v>
      </c>
      <c r="L302" s="71">
        <f>COUNTA(L303:L304)</f>
        <v>1</v>
      </c>
      <c r="M302" s="71">
        <f>COUNTA(M303:M304)</f>
        <v>2</v>
      </c>
      <c r="N302" s="71">
        <f>COUNTA(N303:N304)</f>
        <v>1</v>
      </c>
      <c r="O302" s="8"/>
      <c r="P302" s="90"/>
      <c r="Q302" s="8"/>
      <c r="R302" s="23">
        <f>SUM(V302:Y302)</f>
        <v>4.3200000000000002E-2</v>
      </c>
      <c r="S302" s="8"/>
      <c r="T302" s="90"/>
      <c r="U302" s="8"/>
      <c r="V302" s="81">
        <f>SUM(V303:V304)</f>
        <v>0</v>
      </c>
      <c r="W302" s="81">
        <f t="shared" ref="W302:Y302" si="7">SUM(W303:W304)</f>
        <v>5.4000000000000003E-3</v>
      </c>
      <c r="X302" s="81">
        <f t="shared" si="7"/>
        <v>2.1600000000000001E-2</v>
      </c>
      <c r="Y302" s="81">
        <f t="shared" si="7"/>
        <v>1.6199999999999999E-2</v>
      </c>
    </row>
    <row r="303" spans="2:25" hidden="1" outlineLevel="3">
      <c r="B303" s="24"/>
      <c r="C303" s="25"/>
      <c r="D303" s="8"/>
      <c r="E303" s="90"/>
      <c r="F303" s="8"/>
      <c r="G303" s="118" t="s">
        <v>27</v>
      </c>
      <c r="H303" s="8"/>
      <c r="I303" s="90"/>
      <c r="J303" s="8"/>
      <c r="K303" s="42"/>
      <c r="L303" s="91" t="s">
        <v>31</v>
      </c>
      <c r="M303" s="92" t="s">
        <v>632</v>
      </c>
      <c r="N303" s="92" t="s">
        <v>1126</v>
      </c>
      <c r="O303" s="8"/>
      <c r="P303" s="90"/>
      <c r="Q303" s="8"/>
      <c r="R303" s="26"/>
      <c r="S303" s="8"/>
      <c r="T303" s="90"/>
      <c r="U303" s="8"/>
      <c r="V303" s="42"/>
      <c r="W303" s="101">
        <v>5.4000000000000003E-3</v>
      </c>
      <c r="X303" s="101">
        <v>1.6199999999999999E-2</v>
      </c>
      <c r="Y303" s="101">
        <v>1.6199999999999999E-2</v>
      </c>
    </row>
    <row r="304" spans="2:25" hidden="1" outlineLevel="3">
      <c r="B304" s="24"/>
      <c r="C304" s="25"/>
      <c r="D304" s="8"/>
      <c r="E304" s="90"/>
      <c r="F304" s="8"/>
      <c r="G304" s="118" t="s">
        <v>27</v>
      </c>
      <c r="H304" s="8"/>
      <c r="I304" s="90"/>
      <c r="J304" s="8"/>
      <c r="K304" s="42"/>
      <c r="M304" s="92" t="s">
        <v>32</v>
      </c>
      <c r="N304" s="92"/>
      <c r="O304" s="8"/>
      <c r="P304" s="90"/>
      <c r="Q304" s="8"/>
      <c r="R304" s="26"/>
      <c r="S304" s="8"/>
      <c r="T304" s="90"/>
      <c r="U304" s="8"/>
      <c r="V304" s="42"/>
      <c r="W304" s="101"/>
      <c r="X304" s="101">
        <v>5.4000000000000003E-3</v>
      </c>
      <c r="Y304" s="101"/>
    </row>
    <row r="305" spans="2:25" ht="3" hidden="1" customHeight="1" outlineLevel="2">
      <c r="S305" s="5"/>
      <c r="T305" s="26"/>
      <c r="U305" s="5"/>
    </row>
    <row r="306" spans="2:25" s="21" customFormat="1" hidden="1" outlineLevel="2" collapsed="1">
      <c r="B306" s="22" t="s">
        <v>1127</v>
      </c>
      <c r="C306" s="22"/>
      <c r="D306" s="8"/>
      <c r="E306" s="90"/>
      <c r="F306" s="8"/>
      <c r="G306" s="124">
        <f>SUM(K306:N306)</f>
        <v>4</v>
      </c>
      <c r="H306" s="8"/>
      <c r="I306" s="90"/>
      <c r="J306" s="8"/>
      <c r="K306" s="71">
        <f>COUNTA(K307:K308)</f>
        <v>0</v>
      </c>
      <c r="L306" s="71">
        <f>COUNTA(L307:L308)</f>
        <v>1</v>
      </c>
      <c r="M306" s="71">
        <f>COUNTA(M307:M308)</f>
        <v>2</v>
      </c>
      <c r="N306" s="71">
        <f>COUNTA(N307:N308)</f>
        <v>1</v>
      </c>
      <c r="O306" s="8"/>
      <c r="P306" s="90"/>
      <c r="Q306" s="8"/>
      <c r="R306" s="23">
        <f>SUM(V306:Y306)</f>
        <v>0</v>
      </c>
      <c r="S306" s="8"/>
      <c r="T306" s="90"/>
      <c r="U306" s="8"/>
      <c r="V306" s="71">
        <f>SUM(V307:V308)</f>
        <v>0</v>
      </c>
      <c r="W306" s="71">
        <f t="shared" ref="W306:Y306" si="8">SUM(W307:W308)</f>
        <v>0</v>
      </c>
      <c r="X306" s="71">
        <f t="shared" si="8"/>
        <v>0</v>
      </c>
      <c r="Y306" s="71">
        <f t="shared" si="8"/>
        <v>0</v>
      </c>
    </row>
    <row r="307" spans="2:25" hidden="1" outlineLevel="3">
      <c r="B307" s="24"/>
      <c r="C307" s="25"/>
      <c r="D307" s="8"/>
      <c r="E307" s="90"/>
      <c r="F307" s="8"/>
      <c r="G307" s="118" t="s">
        <v>27</v>
      </c>
      <c r="H307" s="8"/>
      <c r="I307" s="90"/>
      <c r="J307" s="8"/>
      <c r="L307" s="91" t="s">
        <v>31</v>
      </c>
      <c r="M307" s="92" t="s">
        <v>632</v>
      </c>
      <c r="N307" s="92" t="s">
        <v>1126</v>
      </c>
      <c r="O307" s="8"/>
      <c r="P307" s="90"/>
      <c r="Q307" s="8"/>
      <c r="R307" s="26"/>
      <c r="S307" s="8"/>
      <c r="T307" s="90"/>
      <c r="U307" s="8"/>
      <c r="V307" s="42"/>
    </row>
    <row r="308" spans="2:25" hidden="1" outlineLevel="3">
      <c r="B308" s="24"/>
      <c r="C308" s="25"/>
      <c r="D308" s="8"/>
      <c r="E308" s="90"/>
      <c r="F308" s="8"/>
      <c r="G308" s="118" t="s">
        <v>27</v>
      </c>
      <c r="H308" s="8"/>
      <c r="I308" s="90"/>
      <c r="J308" s="8"/>
      <c r="M308" s="92" t="s">
        <v>32</v>
      </c>
      <c r="N308" s="92"/>
      <c r="O308" s="8"/>
      <c r="P308" s="90"/>
      <c r="Q308" s="8"/>
      <c r="R308" s="26"/>
      <c r="S308" s="8"/>
      <c r="T308" s="90"/>
      <c r="U308" s="8"/>
      <c r="V308" s="42"/>
    </row>
    <row r="309" spans="2:25" ht="3" hidden="1" customHeight="1" outlineLevel="2">
      <c r="B309" s="115"/>
      <c r="C309" s="116"/>
      <c r="D309" s="8"/>
      <c r="E309" s="90"/>
      <c r="F309" s="8"/>
      <c r="G309" s="125"/>
      <c r="H309" s="8"/>
      <c r="I309" s="90"/>
      <c r="J309" s="8"/>
      <c r="K309" s="77"/>
      <c r="L309" s="77"/>
      <c r="M309" s="77"/>
      <c r="N309" s="77"/>
      <c r="O309" s="8"/>
      <c r="P309" s="90"/>
      <c r="Q309" s="8"/>
      <c r="R309" s="30"/>
      <c r="S309" s="8"/>
      <c r="T309" s="90"/>
      <c r="U309" s="8"/>
      <c r="V309" s="77"/>
      <c r="W309" s="77"/>
      <c r="X309" s="77"/>
      <c r="Y309" s="77"/>
    </row>
    <row r="310" spans="2:25" s="21" customFormat="1" hidden="1" outlineLevel="2" collapsed="1">
      <c r="B310" s="22" t="s">
        <v>1128</v>
      </c>
      <c r="C310" s="22"/>
      <c r="D310" s="8"/>
      <c r="E310" s="90"/>
      <c r="F310" s="8"/>
      <c r="G310" s="124">
        <f>SUM(K310:N310)</f>
        <v>4</v>
      </c>
      <c r="H310" s="8"/>
      <c r="I310" s="90"/>
      <c r="J310" s="8"/>
      <c r="K310" s="71">
        <f>COUNTA(K311:K312)</f>
        <v>0</v>
      </c>
      <c r="L310" s="71">
        <f>COUNTA(L311:L312)</f>
        <v>1</v>
      </c>
      <c r="M310" s="71">
        <f>COUNTA(M311:M312)</f>
        <v>2</v>
      </c>
      <c r="N310" s="71">
        <f>COUNTA(N311:N312)</f>
        <v>1</v>
      </c>
      <c r="O310" s="8"/>
      <c r="P310" s="90"/>
      <c r="Q310" s="8"/>
      <c r="R310" s="23">
        <f>SUM(V310:Y310)</f>
        <v>0</v>
      </c>
      <c r="S310" s="8"/>
      <c r="T310" s="90"/>
      <c r="U310" s="8"/>
      <c r="V310" s="71">
        <f>SUM(V311:V312)</f>
        <v>0</v>
      </c>
      <c r="W310" s="71">
        <f t="shared" ref="W310:Y310" si="9">SUM(W311:W312)</f>
        <v>0</v>
      </c>
      <c r="X310" s="71">
        <f t="shared" si="9"/>
        <v>0</v>
      </c>
      <c r="Y310" s="71">
        <f t="shared" si="9"/>
        <v>0</v>
      </c>
    </row>
    <row r="311" spans="2:25" hidden="1" outlineLevel="3">
      <c r="B311" s="24"/>
      <c r="C311" s="25"/>
      <c r="D311" s="8"/>
      <c r="E311" s="90"/>
      <c r="F311" s="8"/>
      <c r="G311" s="118" t="s">
        <v>27</v>
      </c>
      <c r="H311" s="8"/>
      <c r="I311" s="90"/>
      <c r="J311" s="8"/>
      <c r="L311" s="91" t="s">
        <v>31</v>
      </c>
      <c r="M311" s="92" t="s">
        <v>632</v>
      </c>
      <c r="N311" s="92" t="s">
        <v>1126</v>
      </c>
      <c r="O311" s="8"/>
      <c r="P311" s="90"/>
      <c r="Q311" s="8"/>
      <c r="R311" s="26"/>
      <c r="S311" s="8"/>
      <c r="T311" s="90"/>
      <c r="U311" s="8"/>
      <c r="V311" s="42"/>
    </row>
    <row r="312" spans="2:25" hidden="1" outlineLevel="3">
      <c r="B312" s="24"/>
      <c r="C312" s="25"/>
      <c r="D312" s="8"/>
      <c r="E312" s="90"/>
      <c r="F312" s="8"/>
      <c r="G312" s="118" t="s">
        <v>27</v>
      </c>
      <c r="H312" s="8"/>
      <c r="I312" s="90"/>
      <c r="J312" s="8"/>
      <c r="M312" s="92" t="s">
        <v>32</v>
      </c>
      <c r="N312" s="92"/>
      <c r="O312" s="8"/>
      <c r="P312" s="90"/>
      <c r="Q312" s="8"/>
      <c r="R312" s="26"/>
      <c r="S312" s="8"/>
      <c r="T312" s="90"/>
      <c r="U312" s="8"/>
      <c r="V312" s="42"/>
    </row>
    <row r="313" spans="2:25" ht="3" hidden="1" customHeight="1" outlineLevel="2">
      <c r="B313" s="2"/>
      <c r="C313" s="2"/>
      <c r="D313" s="8"/>
      <c r="E313" s="90"/>
      <c r="F313" s="8"/>
      <c r="G313" s="121"/>
      <c r="H313" s="8"/>
      <c r="I313" s="90"/>
      <c r="J313" s="8"/>
      <c r="O313" s="8"/>
      <c r="P313" s="90"/>
      <c r="Q313" s="8"/>
      <c r="R313" s="114"/>
      <c r="S313" s="8"/>
      <c r="T313" s="90"/>
      <c r="U313" s="8"/>
    </row>
    <row r="314" spans="2:25" s="21" customFormat="1" hidden="1" outlineLevel="2" collapsed="1">
      <c r="B314" s="22" t="s">
        <v>996</v>
      </c>
      <c r="C314" s="22"/>
      <c r="D314" s="8"/>
      <c r="E314" s="90"/>
      <c r="F314" s="8"/>
      <c r="G314" s="124">
        <f>SUM(K314:N314)</f>
        <v>4</v>
      </c>
      <c r="H314" s="8"/>
      <c r="I314" s="90"/>
      <c r="J314" s="8"/>
      <c r="K314" s="71">
        <f>COUNTA(K315:K316)</f>
        <v>1</v>
      </c>
      <c r="L314" s="71">
        <f>COUNTA(L315:L316)</f>
        <v>1</v>
      </c>
      <c r="M314" s="71">
        <f>COUNTA(M315:M316)</f>
        <v>1</v>
      </c>
      <c r="N314" s="71">
        <f>COUNTA(N315:N316)</f>
        <v>1</v>
      </c>
      <c r="O314" s="8"/>
      <c r="P314" s="90"/>
      <c r="Q314" s="8"/>
      <c r="R314" s="82">
        <f>SUM(V314:Y314)</f>
        <v>0.33276</v>
      </c>
      <c r="S314" s="8"/>
      <c r="T314" s="90"/>
      <c r="U314" s="8"/>
      <c r="V314" s="81">
        <f>SUM(V315:V316)</f>
        <v>5.5460000000000002E-2</v>
      </c>
      <c r="W314" s="81">
        <f>SUM(W315:W316)</f>
        <v>0.11092</v>
      </c>
      <c r="X314" s="81">
        <f>SUM(X315:X316)</f>
        <v>0.11092</v>
      </c>
      <c r="Y314" s="81">
        <f>SUM(Y315:Y316)</f>
        <v>5.5460000000000002E-2</v>
      </c>
    </row>
    <row r="315" spans="2:25" hidden="1" outlineLevel="3">
      <c r="B315" s="28"/>
      <c r="C315" s="29"/>
      <c r="D315" s="8"/>
      <c r="E315" s="90"/>
      <c r="F315" s="8"/>
      <c r="G315" s="118" t="s">
        <v>27</v>
      </c>
      <c r="H315" s="8"/>
      <c r="I315" s="90"/>
      <c r="J315" s="8"/>
      <c r="K315" s="36" t="s">
        <v>31</v>
      </c>
      <c r="L315" s="3"/>
      <c r="M315" s="36" t="s">
        <v>33</v>
      </c>
      <c r="N315" s="36" t="s">
        <v>326</v>
      </c>
      <c r="O315" s="8"/>
      <c r="P315" s="90"/>
      <c r="Q315" s="8"/>
      <c r="R315" s="33" t="s">
        <v>27</v>
      </c>
      <c r="S315" s="8"/>
      <c r="T315" s="90"/>
      <c r="U315" s="8"/>
      <c r="V315" s="103">
        <v>5.5460000000000002E-2</v>
      </c>
      <c r="W315" s="97"/>
      <c r="X315" s="103">
        <v>0.11092</v>
      </c>
      <c r="Y315" s="103">
        <v>5.5460000000000002E-2</v>
      </c>
    </row>
    <row r="316" spans="2:25" hidden="1" outlineLevel="3">
      <c r="B316" s="28"/>
      <c r="C316" s="29"/>
      <c r="D316" s="8"/>
      <c r="E316" s="90"/>
      <c r="F316" s="8"/>
      <c r="G316" s="118" t="s">
        <v>27</v>
      </c>
      <c r="H316" s="8"/>
      <c r="I316" s="90"/>
      <c r="J316" s="8"/>
      <c r="L316" s="36" t="s">
        <v>32</v>
      </c>
      <c r="M316" s="3"/>
      <c r="N316" s="3"/>
      <c r="O316" s="8"/>
      <c r="P316" s="90"/>
      <c r="Q316" s="8"/>
      <c r="R316" s="33" t="s">
        <v>27</v>
      </c>
      <c r="S316" s="8"/>
      <c r="T316" s="90"/>
      <c r="U316" s="8"/>
      <c r="V316" s="98"/>
      <c r="W316" s="103">
        <v>0.11092</v>
      </c>
      <c r="X316" s="97"/>
      <c r="Y316" s="97"/>
    </row>
    <row r="317" spans="2:25" ht="3" hidden="1" customHeight="1" outlineLevel="2">
      <c r="B317" s="28"/>
      <c r="C317" s="29"/>
      <c r="D317" s="8"/>
      <c r="E317" s="90"/>
      <c r="F317" s="8"/>
      <c r="G317" s="118"/>
      <c r="H317" s="8"/>
      <c r="I317" s="90"/>
      <c r="J317" s="8"/>
      <c r="K317" s="75"/>
      <c r="O317" s="8"/>
      <c r="P317" s="90"/>
      <c r="Q317" s="8"/>
      <c r="R317" s="33"/>
      <c r="S317" s="8"/>
      <c r="T317" s="90"/>
      <c r="U317" s="8"/>
      <c r="V317" s="75"/>
    </row>
    <row r="318" spans="2:25" s="21" customFormat="1" hidden="1" outlineLevel="2" collapsed="1">
      <c r="B318" s="22" t="s">
        <v>891</v>
      </c>
      <c r="C318" s="22"/>
      <c r="D318" s="8"/>
      <c r="E318" s="90"/>
      <c r="F318" s="8"/>
      <c r="G318" s="124">
        <f>SUM(K318:N318)</f>
        <v>4</v>
      </c>
      <c r="H318" s="8"/>
      <c r="I318" s="90"/>
      <c r="J318" s="8"/>
      <c r="K318" s="71">
        <f>COUNTA(K319:K320)</f>
        <v>1</v>
      </c>
      <c r="L318" s="71">
        <f>COUNTA(L319:L320)</f>
        <v>1</v>
      </c>
      <c r="M318" s="71">
        <f>COUNTA(M319:M320)</f>
        <v>1</v>
      </c>
      <c r="N318" s="71">
        <f>COUNTA(N319:N320)</f>
        <v>1</v>
      </c>
      <c r="O318" s="8"/>
      <c r="P318" s="90"/>
      <c r="Q318" s="8"/>
      <c r="R318" s="82">
        <f>SUM(V318:Y318)</f>
        <v>0.20532</v>
      </c>
      <c r="S318" s="8"/>
      <c r="T318" s="90"/>
      <c r="U318" s="8"/>
      <c r="V318" s="81">
        <f>SUM(V319:V320)</f>
        <v>2.3599999999999999E-2</v>
      </c>
      <c r="W318" s="81">
        <f>SUM(W319:W320)</f>
        <v>4.7199999999999999E-2</v>
      </c>
      <c r="X318" s="81">
        <f>SUM(X319:X320)</f>
        <v>0.11092</v>
      </c>
      <c r="Y318" s="81">
        <f>SUM(Y319:Y320)</f>
        <v>2.3599999999999999E-2</v>
      </c>
    </row>
    <row r="319" spans="2:25" hidden="1" outlineLevel="3">
      <c r="B319" s="28"/>
      <c r="C319" s="29"/>
      <c r="D319" s="8"/>
      <c r="E319" s="90"/>
      <c r="F319" s="8"/>
      <c r="G319" s="118" t="s">
        <v>27</v>
      </c>
      <c r="H319" s="8"/>
      <c r="I319" s="90"/>
      <c r="J319" s="8"/>
      <c r="K319" s="36" t="s">
        <v>31</v>
      </c>
      <c r="L319" s="3"/>
      <c r="M319" s="36" t="s">
        <v>33</v>
      </c>
      <c r="N319" s="36" t="s">
        <v>326</v>
      </c>
      <c r="O319" s="8"/>
      <c r="P319" s="90"/>
      <c r="Q319" s="8"/>
      <c r="R319" s="33" t="s">
        <v>27</v>
      </c>
      <c r="S319" s="8"/>
      <c r="T319" s="90"/>
      <c r="U319" s="8"/>
      <c r="V319" s="103">
        <v>2.3599999999999999E-2</v>
      </c>
      <c r="W319" s="97"/>
      <c r="X319" s="103">
        <v>0.11092</v>
      </c>
      <c r="Y319" s="103">
        <v>2.3599999999999999E-2</v>
      </c>
    </row>
    <row r="320" spans="2:25" hidden="1" outlineLevel="3">
      <c r="B320" s="28"/>
      <c r="C320" s="29"/>
      <c r="D320" s="8"/>
      <c r="E320" s="90"/>
      <c r="F320" s="8"/>
      <c r="G320" s="118" t="s">
        <v>27</v>
      </c>
      <c r="H320" s="8"/>
      <c r="I320" s="90"/>
      <c r="J320" s="8"/>
      <c r="L320" s="36" t="s">
        <v>32</v>
      </c>
      <c r="M320" s="3"/>
      <c r="N320" s="3"/>
      <c r="O320" s="8"/>
      <c r="P320" s="90"/>
      <c r="Q320" s="8"/>
      <c r="R320" s="33" t="s">
        <v>27</v>
      </c>
      <c r="S320" s="8"/>
      <c r="T320" s="90"/>
      <c r="U320" s="8"/>
      <c r="V320" s="98"/>
      <c r="W320" s="103">
        <v>4.7199999999999999E-2</v>
      </c>
      <c r="X320" s="97"/>
      <c r="Y320" s="97"/>
    </row>
    <row r="321" spans="1:25" ht="3" hidden="1" customHeight="1" outlineLevel="2">
      <c r="S321" s="5"/>
      <c r="T321" s="26"/>
      <c r="U321" s="5"/>
    </row>
    <row r="322" spans="1:25" s="21" customFormat="1" hidden="1" outlineLevel="2" collapsed="1">
      <c r="A322" s="21">
        <v>1</v>
      </c>
      <c r="B322" s="22" t="s">
        <v>1005</v>
      </c>
      <c r="C322" s="22"/>
      <c r="D322" s="8"/>
      <c r="E322" s="90"/>
      <c r="F322" s="8"/>
      <c r="G322" s="124">
        <f>SUM(K322:N322)</f>
        <v>4</v>
      </c>
      <c r="H322" s="8"/>
      <c r="I322" s="90"/>
      <c r="J322" s="8"/>
      <c r="K322" s="71">
        <f>COUNTA(K323:K324)</f>
        <v>0</v>
      </c>
      <c r="L322" s="71">
        <f>COUNTA(L323:L324)</f>
        <v>0</v>
      </c>
      <c r="M322" s="71">
        <f>COUNTA(M323:M324)</f>
        <v>2</v>
      </c>
      <c r="N322" s="71">
        <f>COUNTA(N323:N324)</f>
        <v>2</v>
      </c>
      <c r="O322" s="8"/>
      <c r="P322" s="90"/>
      <c r="Q322" s="8"/>
      <c r="R322" s="23">
        <f>SUM(V322:Y322)</f>
        <v>1.3664400000000001</v>
      </c>
      <c r="S322" s="8"/>
      <c r="T322" s="90"/>
      <c r="U322" s="8"/>
      <c r="V322" s="71">
        <f>SUM(V323:V324)</f>
        <v>0</v>
      </c>
      <c r="W322" s="71">
        <f>SUM(W323:W324)</f>
        <v>0</v>
      </c>
      <c r="X322" s="71">
        <f>SUM(X323:X324)</f>
        <v>0.79709000000000008</v>
      </c>
      <c r="Y322" s="71">
        <f>SUM(Y323:Y324)</f>
        <v>0.56935000000000002</v>
      </c>
    </row>
    <row r="323" spans="1:25" hidden="1" outlineLevel="3">
      <c r="B323" s="28"/>
      <c r="C323" s="29"/>
      <c r="D323" s="8"/>
      <c r="E323" s="90"/>
      <c r="F323" s="8"/>
      <c r="G323" s="118" t="s">
        <v>27</v>
      </c>
      <c r="H323" s="8"/>
      <c r="I323" s="90"/>
      <c r="J323" s="8"/>
      <c r="K323" s="3"/>
      <c r="M323" s="36" t="s">
        <v>31</v>
      </c>
      <c r="N323" s="36" t="s">
        <v>33</v>
      </c>
      <c r="O323" s="8"/>
      <c r="P323" s="90"/>
      <c r="Q323" s="8"/>
      <c r="R323" s="33"/>
      <c r="S323" s="8"/>
      <c r="T323" s="90"/>
      <c r="U323" s="8"/>
      <c r="V323" s="35"/>
      <c r="X323" s="156">
        <v>0.34161000000000002</v>
      </c>
      <c r="Y323" s="101">
        <v>0.45548000000000005</v>
      </c>
    </row>
    <row r="324" spans="1:25" hidden="1" outlineLevel="3">
      <c r="B324" s="28"/>
      <c r="C324" s="29"/>
      <c r="D324" s="8"/>
      <c r="E324" s="90"/>
      <c r="F324" s="8"/>
      <c r="G324" s="118" t="s">
        <v>27</v>
      </c>
      <c r="H324" s="8"/>
      <c r="I324" s="90"/>
      <c r="J324" s="8"/>
      <c r="K324" s="3"/>
      <c r="M324" s="36" t="s">
        <v>32</v>
      </c>
      <c r="N324" s="3" t="s">
        <v>326</v>
      </c>
      <c r="O324" s="8"/>
      <c r="P324" s="90"/>
      <c r="Q324" s="8"/>
      <c r="R324" s="33"/>
      <c r="S324" s="8"/>
      <c r="T324" s="90"/>
      <c r="U324" s="8"/>
      <c r="V324" s="3"/>
      <c r="W324" s="35"/>
      <c r="X324" s="101">
        <v>0.45548000000000005</v>
      </c>
      <c r="Y324" s="101">
        <v>0.11387000000000001</v>
      </c>
    </row>
    <row r="325" spans="1:25" ht="3" hidden="1" customHeight="1" outlineLevel="2">
      <c r="B325" s="28"/>
      <c r="C325" s="29"/>
      <c r="D325" s="8"/>
      <c r="E325" s="90"/>
      <c r="F325" s="8"/>
      <c r="G325" s="118"/>
      <c r="H325" s="8"/>
      <c r="I325" s="90"/>
      <c r="J325" s="8"/>
      <c r="K325" s="75"/>
      <c r="O325" s="8"/>
      <c r="P325" s="90"/>
      <c r="Q325" s="8"/>
      <c r="R325" s="33"/>
      <c r="S325" s="8"/>
      <c r="T325" s="90"/>
      <c r="U325" s="8"/>
      <c r="V325" s="75"/>
    </row>
    <row r="326" spans="1:25" s="21" customFormat="1" hidden="1" outlineLevel="2" collapsed="1">
      <c r="B326" s="22" t="s">
        <v>379</v>
      </c>
      <c r="C326" s="22"/>
      <c r="D326" s="8"/>
      <c r="E326" s="90"/>
      <c r="F326" s="8"/>
      <c r="G326" s="124">
        <f>SUM(K326:N326)</f>
        <v>5</v>
      </c>
      <c r="H326" s="8"/>
      <c r="I326" s="90"/>
      <c r="J326" s="8"/>
      <c r="K326" s="71">
        <f>COUNTA(K327:K328)</f>
        <v>1</v>
      </c>
      <c r="L326" s="71">
        <f>COUNTA(L327:L328)</f>
        <v>1</v>
      </c>
      <c r="M326" s="71">
        <f>COUNTA(M327:M328)</f>
        <v>2</v>
      </c>
      <c r="N326" s="71">
        <f>COUNTA(N327:N328)</f>
        <v>1</v>
      </c>
      <c r="O326" s="8"/>
      <c r="P326" s="90"/>
      <c r="Q326" s="8"/>
      <c r="R326" s="82">
        <f>SUM(V326:Y326)</f>
        <v>0.52</v>
      </c>
      <c r="S326" s="8"/>
      <c r="T326" s="90"/>
      <c r="U326" s="8"/>
      <c r="V326" s="81">
        <f>SUM(V327:V328)</f>
        <v>0.06</v>
      </c>
      <c r="W326" s="81">
        <f>SUM(W327:W328)</f>
        <v>0.12</v>
      </c>
      <c r="X326" s="81">
        <f>SUM(X327:X328)</f>
        <v>0.18</v>
      </c>
      <c r="Y326" s="81">
        <f>SUM(Y327:Y328)</f>
        <v>0.16</v>
      </c>
    </row>
    <row r="327" spans="1:25" hidden="1" outlineLevel="3">
      <c r="B327" s="28"/>
      <c r="C327" s="29"/>
      <c r="D327" s="8"/>
      <c r="E327" s="90"/>
      <c r="F327" s="8"/>
      <c r="G327" s="118" t="s">
        <v>27</v>
      </c>
      <c r="H327" s="8"/>
      <c r="I327" s="90"/>
      <c r="J327" s="8"/>
      <c r="K327" s="36" t="s">
        <v>31</v>
      </c>
      <c r="L327" s="3"/>
      <c r="M327" s="36" t="s">
        <v>33</v>
      </c>
      <c r="N327" s="36" t="s">
        <v>61</v>
      </c>
      <c r="O327" s="8"/>
      <c r="P327" s="90"/>
      <c r="Q327" s="8"/>
      <c r="R327" s="33" t="s">
        <v>27</v>
      </c>
      <c r="S327" s="8"/>
      <c r="T327" s="90"/>
      <c r="U327" s="8"/>
      <c r="V327" s="36">
        <v>0.06</v>
      </c>
      <c r="W327" s="3"/>
      <c r="X327" s="36">
        <v>0.12</v>
      </c>
      <c r="Y327" s="36">
        <v>0.16</v>
      </c>
    </row>
    <row r="328" spans="1:25" hidden="1" outlineLevel="3">
      <c r="B328" s="28"/>
      <c r="C328" s="29"/>
      <c r="D328" s="8"/>
      <c r="E328" s="90"/>
      <c r="F328" s="8"/>
      <c r="G328" s="118" t="s">
        <v>27</v>
      </c>
      <c r="H328" s="8"/>
      <c r="I328" s="90"/>
      <c r="J328" s="8"/>
      <c r="K328" s="113"/>
      <c r="L328" s="36" t="s">
        <v>32</v>
      </c>
      <c r="M328" s="36" t="s">
        <v>326</v>
      </c>
      <c r="N328" s="36"/>
      <c r="O328" s="8"/>
      <c r="P328" s="90"/>
      <c r="Q328" s="8"/>
      <c r="R328" s="33" t="s">
        <v>27</v>
      </c>
      <c r="S328" s="8"/>
      <c r="T328" s="90"/>
      <c r="U328" s="8"/>
      <c r="V328" s="113"/>
      <c r="W328" s="36">
        <v>0.12</v>
      </c>
      <c r="X328" s="36">
        <v>0.06</v>
      </c>
      <c r="Y328" s="36"/>
    </row>
    <row r="329" spans="1:25" ht="3" hidden="1" customHeight="1" outlineLevel="2">
      <c r="B329" s="28"/>
      <c r="C329" s="29"/>
      <c r="D329" s="8"/>
      <c r="E329" s="90"/>
      <c r="F329" s="8"/>
      <c r="G329" s="118"/>
      <c r="H329" s="8"/>
      <c r="I329" s="90"/>
      <c r="J329" s="8"/>
      <c r="K329" s="75"/>
      <c r="O329" s="8"/>
      <c r="P329" s="90"/>
      <c r="Q329" s="8"/>
      <c r="R329" s="33"/>
      <c r="S329" s="8"/>
      <c r="T329" s="90"/>
      <c r="U329" s="8"/>
      <c r="V329" s="75"/>
    </row>
    <row r="330" spans="1:25" s="21" customFormat="1" hidden="1" outlineLevel="2" collapsed="1">
      <c r="B330" s="22" t="s">
        <v>1006</v>
      </c>
      <c r="C330" s="22"/>
      <c r="D330" s="8"/>
      <c r="E330" s="90"/>
      <c r="F330" s="8"/>
      <c r="G330" s="124">
        <f>SUM(K330:N330)</f>
        <v>3</v>
      </c>
      <c r="H330" s="8"/>
      <c r="I330" s="90"/>
      <c r="J330" s="8"/>
      <c r="K330" s="71">
        <f>COUNTA(K331:K331)</f>
        <v>0</v>
      </c>
      <c r="L330" s="71">
        <f>COUNTA(L331:L331)</f>
        <v>1</v>
      </c>
      <c r="M330" s="71">
        <f>COUNTA(M331:M331)</f>
        <v>1</v>
      </c>
      <c r="N330" s="71">
        <f>COUNTA(N331:N331)</f>
        <v>1</v>
      </c>
      <c r="O330" s="8"/>
      <c r="P330" s="90"/>
      <c r="Q330" s="8"/>
      <c r="R330" s="82">
        <f>SUM(V330:Y330)</f>
        <v>0.38231999999999999</v>
      </c>
      <c r="S330" s="8"/>
      <c r="T330" s="90"/>
      <c r="U330" s="8"/>
      <c r="V330" s="81">
        <f>SUM(V331:V331)</f>
        <v>0</v>
      </c>
      <c r="W330" s="81">
        <f>SUM(W331:W331)</f>
        <v>0.12744</v>
      </c>
      <c r="X330" s="81">
        <f>SUM(X331:X331)</f>
        <v>0.12744</v>
      </c>
      <c r="Y330" s="81">
        <f>SUM(Y331:Y331)</f>
        <v>0.12744</v>
      </c>
    </row>
    <row r="331" spans="1:25" hidden="1" outlineLevel="3">
      <c r="B331" s="28"/>
      <c r="C331" s="29"/>
      <c r="D331" s="8"/>
      <c r="E331" s="90"/>
      <c r="F331" s="8"/>
      <c r="G331" s="118" t="s">
        <v>27</v>
      </c>
      <c r="H331" s="8"/>
      <c r="I331" s="90"/>
      <c r="J331" s="8"/>
      <c r="K331" s="35"/>
      <c r="L331" s="36" t="s">
        <v>31</v>
      </c>
      <c r="M331" s="36" t="s">
        <v>32</v>
      </c>
      <c r="N331" s="36" t="s">
        <v>33</v>
      </c>
      <c r="O331" s="8"/>
      <c r="P331" s="90"/>
      <c r="Q331" s="8"/>
      <c r="R331" s="33" t="s">
        <v>27</v>
      </c>
      <c r="S331" s="8"/>
      <c r="T331" s="90"/>
      <c r="U331" s="8"/>
      <c r="V331" s="102"/>
      <c r="W331" s="103">
        <v>0.12744</v>
      </c>
      <c r="X331" s="103">
        <v>0.12744</v>
      </c>
      <c r="Y331" s="103">
        <v>0.12744</v>
      </c>
    </row>
    <row r="332" spans="1:25" ht="3" hidden="1" customHeight="1" outlineLevel="2">
      <c r="B332" s="28"/>
      <c r="C332" s="29"/>
      <c r="D332" s="8"/>
      <c r="E332" s="90"/>
      <c r="F332" s="8"/>
      <c r="G332" s="118"/>
      <c r="H332" s="8"/>
      <c r="I332" s="90"/>
      <c r="J332" s="8"/>
      <c r="K332" s="75"/>
      <c r="O332" s="8"/>
      <c r="P332" s="90"/>
      <c r="Q332" s="8"/>
      <c r="R332" s="33"/>
      <c r="S332" s="8"/>
      <c r="T332" s="90"/>
      <c r="U332" s="8"/>
      <c r="V332" s="75"/>
    </row>
    <row r="333" spans="1:25" s="21" customFormat="1" hidden="1" outlineLevel="2" collapsed="1">
      <c r="B333" s="22" t="s">
        <v>1007</v>
      </c>
      <c r="C333" s="22"/>
      <c r="D333" s="8"/>
      <c r="E333" s="90"/>
      <c r="F333" s="8"/>
      <c r="G333" s="124">
        <f>SUM(K333:N333)</f>
        <v>3</v>
      </c>
      <c r="H333" s="8"/>
      <c r="I333" s="90"/>
      <c r="J333" s="8"/>
      <c r="K333" s="71">
        <f>COUNTA(K334:K334)</f>
        <v>0</v>
      </c>
      <c r="L333" s="71">
        <f>COUNTA(L334:L334)</f>
        <v>1</v>
      </c>
      <c r="M333" s="71">
        <f>COUNTA(M334:M334)</f>
        <v>1</v>
      </c>
      <c r="N333" s="71">
        <f>COUNTA(N334:N334)</f>
        <v>1</v>
      </c>
      <c r="O333" s="8"/>
      <c r="P333" s="90"/>
      <c r="Q333" s="8"/>
      <c r="R333" s="82">
        <f>SUM(V333:Y333)</f>
        <v>0.70623000000000002</v>
      </c>
      <c r="S333" s="8"/>
      <c r="T333" s="90"/>
      <c r="U333" s="8"/>
      <c r="V333" s="81">
        <f>SUM(V334:V334)</f>
        <v>0</v>
      </c>
      <c r="W333" s="81">
        <f>SUM(W334:W334)</f>
        <v>0.23541000000000001</v>
      </c>
      <c r="X333" s="81">
        <f>SUM(X334:X334)</f>
        <v>0.23541000000000001</v>
      </c>
      <c r="Y333" s="81">
        <f>SUM(Y334:Y334)</f>
        <v>0.23541000000000001</v>
      </c>
    </row>
    <row r="334" spans="1:25" hidden="1" outlineLevel="3">
      <c r="B334" s="36"/>
      <c r="C334" s="29"/>
      <c r="D334" s="8"/>
      <c r="E334" s="90"/>
      <c r="F334" s="8"/>
      <c r="G334" s="118" t="s">
        <v>27</v>
      </c>
      <c r="H334" s="8"/>
      <c r="I334" s="90"/>
      <c r="J334" s="8"/>
      <c r="K334" s="35"/>
      <c r="L334" s="36" t="s">
        <v>31</v>
      </c>
      <c r="M334" s="36" t="s">
        <v>32</v>
      </c>
      <c r="N334" s="36" t="s">
        <v>33</v>
      </c>
      <c r="O334" s="8"/>
      <c r="P334" s="90"/>
      <c r="Q334" s="8"/>
      <c r="R334" s="33" t="s">
        <v>27</v>
      </c>
      <c r="S334" s="8"/>
      <c r="T334" s="90"/>
      <c r="U334" s="8"/>
      <c r="V334" s="102"/>
      <c r="W334" s="103">
        <v>0.23541000000000001</v>
      </c>
      <c r="X334" s="103">
        <v>0.23541000000000001</v>
      </c>
      <c r="Y334" s="103">
        <v>0.23541000000000001</v>
      </c>
    </row>
    <row r="335" spans="1:25" ht="3" hidden="1" customHeight="1" outlineLevel="2">
      <c r="B335" s="28"/>
      <c r="C335" s="29"/>
      <c r="D335" s="8"/>
      <c r="E335" s="90"/>
      <c r="F335" s="8"/>
      <c r="G335" s="118"/>
      <c r="H335" s="8"/>
      <c r="I335" s="90"/>
      <c r="J335" s="8"/>
      <c r="K335" s="75"/>
      <c r="O335" s="8"/>
      <c r="P335" s="90"/>
      <c r="Q335" s="8"/>
      <c r="R335" s="33"/>
      <c r="S335" s="8"/>
      <c r="T335" s="90"/>
      <c r="U335" s="8"/>
      <c r="V335" s="75"/>
    </row>
    <row r="336" spans="1:25" s="21" customFormat="1" hidden="1" outlineLevel="2" collapsed="1">
      <c r="B336" s="22" t="s">
        <v>1008</v>
      </c>
      <c r="C336" s="22"/>
      <c r="D336" s="8"/>
      <c r="E336" s="90"/>
      <c r="F336" s="8"/>
      <c r="G336" s="124">
        <f>SUM(K336:N336)</f>
        <v>3</v>
      </c>
      <c r="H336" s="8"/>
      <c r="I336" s="90"/>
      <c r="J336" s="8"/>
      <c r="K336" s="71">
        <f>COUNTA(K337:K338)</f>
        <v>0</v>
      </c>
      <c r="L336" s="71">
        <f>COUNTA(L337:L338)</f>
        <v>2</v>
      </c>
      <c r="M336" s="71">
        <f>COUNTA(M337:M338)</f>
        <v>1</v>
      </c>
      <c r="N336" s="71">
        <f>COUNTA(N337:N338)</f>
        <v>0</v>
      </c>
      <c r="O336" s="8"/>
      <c r="P336" s="90"/>
      <c r="Q336" s="8"/>
      <c r="R336" s="82">
        <f>SUM(V336:Y336)</f>
        <v>1.08324</v>
      </c>
      <c r="S336" s="8"/>
      <c r="T336" s="90"/>
      <c r="U336" s="8"/>
      <c r="V336" s="81">
        <f>SUM(V337:V338)</f>
        <v>0</v>
      </c>
      <c r="W336" s="81">
        <f>SUM(W337:W338)</f>
        <v>0.72216000000000002</v>
      </c>
      <c r="X336" s="81">
        <f>SUM(X337:X338)</f>
        <v>0.36108000000000001</v>
      </c>
      <c r="Y336" s="81">
        <f>SUM(Y337:Y338)</f>
        <v>0</v>
      </c>
    </row>
    <row r="337" spans="1:25" hidden="1" outlineLevel="3">
      <c r="B337" s="36"/>
      <c r="C337" s="29"/>
      <c r="D337" s="8"/>
      <c r="E337" s="90"/>
      <c r="F337" s="8"/>
      <c r="G337" s="118" t="s">
        <v>27</v>
      </c>
      <c r="H337" s="8"/>
      <c r="I337" s="90"/>
      <c r="J337" s="8"/>
      <c r="K337" s="35"/>
      <c r="L337" s="36" t="s">
        <v>31</v>
      </c>
      <c r="M337" s="36" t="s">
        <v>33</v>
      </c>
      <c r="N337" s="36"/>
      <c r="O337" s="8"/>
      <c r="P337" s="90"/>
      <c r="Q337" s="8"/>
      <c r="R337" s="33" t="s">
        <v>27</v>
      </c>
      <c r="S337" s="8"/>
      <c r="T337" s="90"/>
      <c r="U337" s="8"/>
      <c r="V337" s="102"/>
      <c r="W337" s="103">
        <v>0.36108000000000001</v>
      </c>
      <c r="X337" s="103">
        <v>0.36108000000000001</v>
      </c>
      <c r="Y337" s="103"/>
    </row>
    <row r="338" spans="1:25" hidden="1" outlineLevel="3">
      <c r="B338" s="36"/>
      <c r="C338" s="29"/>
      <c r="D338" s="8"/>
      <c r="E338" s="90"/>
      <c r="F338" s="8"/>
      <c r="G338" s="118" t="s">
        <v>27</v>
      </c>
      <c r="H338" s="8"/>
      <c r="I338" s="90"/>
      <c r="J338" s="8"/>
      <c r="K338" s="113"/>
      <c r="L338" s="36" t="s">
        <v>32</v>
      </c>
      <c r="N338" s="3"/>
      <c r="O338" s="8"/>
      <c r="P338" s="90"/>
      <c r="Q338" s="8"/>
      <c r="R338" s="33" t="s">
        <v>27</v>
      </c>
      <c r="S338" s="8"/>
      <c r="T338" s="90"/>
      <c r="U338" s="8"/>
      <c r="V338" s="117"/>
      <c r="W338" s="103">
        <v>0.36108000000000001</v>
      </c>
      <c r="X338" s="98"/>
      <c r="Y338" s="97"/>
    </row>
    <row r="339" spans="1:25" ht="3" hidden="1" customHeight="1" outlineLevel="2">
      <c r="B339" s="28"/>
      <c r="C339" s="29"/>
      <c r="D339" s="8"/>
      <c r="E339" s="90"/>
      <c r="F339" s="8"/>
      <c r="G339" s="118"/>
      <c r="H339" s="8"/>
      <c r="I339" s="90"/>
      <c r="J339" s="8"/>
      <c r="K339" s="75"/>
      <c r="O339" s="8"/>
      <c r="P339" s="90"/>
      <c r="Q339" s="8"/>
      <c r="R339" s="33"/>
      <c r="S339" s="8"/>
      <c r="T339" s="90"/>
      <c r="U339" s="8"/>
      <c r="V339" s="75"/>
    </row>
    <row r="340" spans="1:25" s="21" customFormat="1" hidden="1" outlineLevel="2" collapsed="1">
      <c r="A340" s="21">
        <v>1</v>
      </c>
      <c r="B340" s="22" t="s">
        <v>360</v>
      </c>
      <c r="C340" s="22"/>
      <c r="D340" s="8"/>
      <c r="E340" s="90"/>
      <c r="F340" s="8"/>
      <c r="G340" s="124">
        <f>SUM(K340:N340)</f>
        <v>4</v>
      </c>
      <c r="H340" s="8"/>
      <c r="I340" s="90"/>
      <c r="J340" s="8"/>
      <c r="K340" s="71">
        <f>COUNTA(K341:K342)</f>
        <v>0</v>
      </c>
      <c r="L340" s="71">
        <f>COUNTA(L341:L342)</f>
        <v>2</v>
      </c>
      <c r="M340" s="71">
        <f>COUNTA(M341:M342)</f>
        <v>1</v>
      </c>
      <c r="N340" s="71">
        <f>COUNTA(N341:N342)</f>
        <v>1</v>
      </c>
      <c r="O340" s="8"/>
      <c r="P340" s="90"/>
      <c r="Q340" s="8"/>
      <c r="R340" s="23">
        <f>SUM(V340:Y340)</f>
        <v>5.4692999999999996</v>
      </c>
      <c r="S340" s="8"/>
      <c r="T340" s="90"/>
      <c r="U340" s="8"/>
      <c r="V340" s="71">
        <f>SUM(V341:V342)</f>
        <v>0</v>
      </c>
      <c r="W340" s="71">
        <f>SUM(W341:W342)</f>
        <v>3.1904249999999998</v>
      </c>
      <c r="X340" s="71">
        <f>SUM(X341:X342)</f>
        <v>0.45577499999999999</v>
      </c>
      <c r="Y340" s="71">
        <f>SUM(Y341:Y342)</f>
        <v>1.8230999999999999</v>
      </c>
    </row>
    <row r="341" spans="1:25" hidden="1" outlineLevel="3">
      <c r="B341" s="36"/>
      <c r="C341" s="29"/>
      <c r="D341" s="8"/>
      <c r="E341" s="90"/>
      <c r="F341" s="8"/>
      <c r="G341" s="118" t="s">
        <v>27</v>
      </c>
      <c r="H341" s="8"/>
      <c r="I341" s="90"/>
      <c r="J341" s="8"/>
      <c r="K341" s="35"/>
      <c r="L341" s="36" t="s">
        <v>31</v>
      </c>
      <c r="M341" s="3" t="s">
        <v>326</v>
      </c>
      <c r="N341" s="36" t="s">
        <v>33</v>
      </c>
      <c r="O341" s="8"/>
      <c r="P341" s="90"/>
      <c r="Q341" s="8"/>
      <c r="R341" s="33"/>
      <c r="S341" s="8"/>
      <c r="T341" s="90"/>
      <c r="U341" s="8"/>
      <c r="V341" s="36"/>
      <c r="W341" s="101">
        <v>1.3673249999999999</v>
      </c>
      <c r="X341" s="101">
        <v>0.45577499999999999</v>
      </c>
      <c r="Y341" s="101">
        <v>1.8230999999999999</v>
      </c>
    </row>
    <row r="342" spans="1:25" hidden="1" outlineLevel="3">
      <c r="B342" s="36"/>
      <c r="C342" s="29"/>
      <c r="D342" s="8"/>
      <c r="E342" s="90"/>
      <c r="F342" s="8"/>
      <c r="G342" s="118" t="s">
        <v>27</v>
      </c>
      <c r="H342" s="8"/>
      <c r="I342" s="90"/>
      <c r="J342" s="8"/>
      <c r="K342" s="113"/>
      <c r="L342" s="36" t="s">
        <v>32</v>
      </c>
      <c r="M342" s="3"/>
      <c r="N342" s="3"/>
      <c r="O342" s="8"/>
      <c r="P342" s="90"/>
      <c r="Q342" s="8"/>
      <c r="R342" s="33"/>
      <c r="S342" s="8"/>
      <c r="T342" s="90"/>
      <c r="U342" s="8"/>
      <c r="V342" s="36"/>
      <c r="W342" s="156">
        <v>1.8230999999999999</v>
      </c>
    </row>
    <row r="343" spans="1:25" ht="3" hidden="1" customHeight="1" outlineLevel="1">
      <c r="B343" s="2"/>
      <c r="C343" s="25"/>
      <c r="D343" s="30"/>
      <c r="E343" s="6"/>
      <c r="F343" s="30"/>
      <c r="G343" s="125"/>
      <c r="H343" s="30"/>
      <c r="I343" s="6"/>
      <c r="J343" s="30"/>
      <c r="K343" s="77"/>
      <c r="L343" s="77"/>
      <c r="M343" s="77"/>
      <c r="N343" s="77"/>
      <c r="O343" s="30"/>
      <c r="P343" s="6"/>
      <c r="Q343" s="30"/>
      <c r="R343" s="30"/>
      <c r="S343" s="30"/>
      <c r="T343" s="6"/>
      <c r="U343" s="30"/>
      <c r="V343" s="77"/>
      <c r="W343" s="77"/>
      <c r="X343" s="77"/>
      <c r="Y343" s="77"/>
    </row>
    <row r="344" spans="1:25" s="48" customFormat="1" ht="20.100000000000001" hidden="1" customHeight="1" outlineLevel="1">
      <c r="A344" s="155"/>
      <c r="B344" s="43" t="s">
        <v>58</v>
      </c>
      <c r="C344" s="44" t="s">
        <v>766</v>
      </c>
      <c r="D344" s="45"/>
      <c r="E344" s="46"/>
      <c r="F344" s="45"/>
      <c r="G344" s="122">
        <f>SUM(K344:N344)</f>
        <v>171</v>
      </c>
      <c r="H344" s="45"/>
      <c r="I344" s="46"/>
      <c r="J344" s="45"/>
      <c r="K344" s="69">
        <f>SUM(K346,K352,K357,K360,K365,K375,K379,K393,K396,K399,K402,K409,K414,K418,K422,K426,K432,K436,K440,K444,K448,K452,K456,K462,K467,,K470,K474,K478,K482,K486,K490,K494,K498,K501,K504,K508)</f>
        <v>39</v>
      </c>
      <c r="L344" s="69">
        <f>SUM(L346,L352,L357,L360,L365,L375,L379,L393,L396,L399,L402,L409,L414,L418,L422,L426,L432,L436,L440,L444,L448,L452,L456,L462,L467,,L470,L474,L478,L482,L486,L490,L494,L498,L501,L504,L508)</f>
        <v>56</v>
      </c>
      <c r="M344" s="69">
        <f>SUM(M346,M352,M357,M360,M365,M375,M379,M393,M396,M399,M402,M409,M414,M418,M422,M426,M432,M436,M440,M444,M448,M452,M456,M462,M467,,M470,M474,M478,M482,M486,M490,M494,M498,M501,M504,M508)</f>
        <v>40</v>
      </c>
      <c r="N344" s="69">
        <f>SUM(N346,N352,N357,N360,N365,N375,N379,N393,N396,N399,N402,N409,N414,N418,N422,N426,N432,N436,N440,N444,N448,N452,N456,N462,N467,,N470,N474,N478,N482,N486,N490,N494,N498,N501,N504,N508)</f>
        <v>36</v>
      </c>
      <c r="O344" s="45"/>
      <c r="P344" s="46"/>
      <c r="Q344" s="45"/>
      <c r="R344" s="122">
        <f>SUM(V344:Y344)</f>
        <v>18.344489042810181</v>
      </c>
      <c r="S344" s="45"/>
      <c r="T344" s="46"/>
      <c r="U344" s="45"/>
      <c r="V344" s="69">
        <f>SUM(V346,V352,V357,V360,V365,V375,V379,V393,V396,V399,V402,V409,V414,V418,V422,V426,V432,V436,V440,V444,V448,V452,V456,V462,V467,,V470,V474,V478,V482,V486,V490,V494,V498,V501,V504,V508)</f>
        <v>2.4931610108099878</v>
      </c>
      <c r="W344" s="69">
        <f>SUM(W346,W352,W357,W360,W365,W375,W379,W393,W396,W399,W402,W409,W414,W418,W422,W426,W432,W436,W440,W444,W448,W452,W456,W462,W467,,W470,W474,W478,W482,W486,W490,W494,W498,W501,W504,W508)</f>
        <v>7.607099601856107</v>
      </c>
      <c r="X344" s="69">
        <f>SUM(X346,X352,X357,X360,X365,X375,X379,X393,X396,X399,X402,X409,X414,X418,X422,X426,X432,X436,X440,X444,X448,X452,X456,X462,X467,,X470,X474,X478,X482,X486,X490,X494,X498,X501,X504,X508)</f>
        <v>3.5924567575476329</v>
      </c>
      <c r="Y344" s="69">
        <f>SUM(Y346,Y352,Y357,Y360,Y365,Y375,Y379,Y393,Y396,Y399,Y402,Y409,Y414,Y418,Y422,Y426,Y432,Y436,Y440,Y444,Y448,Y452,Y456,Y462,Y467,,Y470,Y474,Y478,Y482,Y486,Y490,Y494,Y498,Y501,Y504,Y508)</f>
        <v>4.6517716725964542</v>
      </c>
    </row>
    <row r="345" spans="1:25" ht="3" hidden="1" customHeight="1" outlineLevel="2">
      <c r="B345" s="2"/>
      <c r="C345" s="25"/>
      <c r="D345" s="30"/>
      <c r="E345" s="6"/>
      <c r="F345" s="30"/>
      <c r="G345" s="125"/>
      <c r="H345" s="30"/>
      <c r="I345" s="6"/>
      <c r="J345" s="30"/>
      <c r="K345" s="77"/>
      <c r="L345" s="77"/>
      <c r="M345" s="77"/>
      <c r="N345" s="77"/>
      <c r="O345" s="30"/>
      <c r="P345" s="6"/>
      <c r="Q345" s="30"/>
      <c r="R345" s="30"/>
      <c r="S345" s="30"/>
      <c r="T345" s="6"/>
      <c r="U345" s="30"/>
      <c r="V345" s="77"/>
      <c r="W345" s="77"/>
      <c r="X345" s="77"/>
      <c r="Y345" s="77"/>
    </row>
    <row r="346" spans="1:25" s="21" customFormat="1" hidden="1" outlineLevel="2" collapsed="1">
      <c r="A346" s="21">
        <v>1</v>
      </c>
      <c r="B346" s="22" t="s">
        <v>756</v>
      </c>
      <c r="C346" s="22"/>
      <c r="D346" s="8"/>
      <c r="E346" s="6"/>
      <c r="F346" s="8"/>
      <c r="G346" s="124">
        <f>SUM(K346:N346)</f>
        <v>3</v>
      </c>
      <c r="H346" s="8"/>
      <c r="I346" s="6"/>
      <c r="J346" s="8"/>
      <c r="K346" s="71">
        <f>COUNTA(K347:K350)</f>
        <v>2</v>
      </c>
      <c r="L346" s="71">
        <f>COUNTA(L347:L350)</f>
        <v>1</v>
      </c>
      <c r="M346" s="71">
        <f>COUNTA(M347:M350)</f>
        <v>0</v>
      </c>
      <c r="N346" s="71">
        <f>COUNTA(N347:N350)</f>
        <v>0</v>
      </c>
      <c r="O346" s="8"/>
      <c r="P346" s="6"/>
      <c r="Q346" s="8"/>
      <c r="R346" s="23">
        <f>SUM(V346:Y346)</f>
        <v>0.14738153689424122</v>
      </c>
      <c r="S346" s="8"/>
      <c r="T346" s="6"/>
      <c r="U346" s="8"/>
      <c r="V346" s="71">
        <f>SUM(V347:V350)</f>
        <v>0.13513130209673999</v>
      </c>
      <c r="W346" s="71">
        <f>SUM(W347:W350)</f>
        <v>1.2250234797501244E-2</v>
      </c>
      <c r="X346" s="71">
        <f>SUM(X347:X350)</f>
        <v>0</v>
      </c>
      <c r="Y346" s="71">
        <f>SUM(Y347:Y350)</f>
        <v>0</v>
      </c>
    </row>
    <row r="347" spans="1:25" ht="13.35" hidden="1" customHeight="1" outlineLevel="3">
      <c r="B347" s="24" t="s">
        <v>28</v>
      </c>
      <c r="C347" s="29" t="s">
        <v>639</v>
      </c>
      <c r="D347" s="33"/>
      <c r="E347" s="6"/>
      <c r="G347" s="119" t="s">
        <v>774</v>
      </c>
      <c r="I347" s="6"/>
      <c r="K347" s="35" t="s">
        <v>1129</v>
      </c>
      <c r="P347" s="6"/>
      <c r="R347" s="34" t="s">
        <v>774</v>
      </c>
      <c r="S347" s="5"/>
      <c r="T347" s="6"/>
      <c r="U347" s="5"/>
      <c r="V347" s="135">
        <v>4.2473543000000009E-2</v>
      </c>
      <c r="W347" s="135"/>
    </row>
    <row r="348" spans="1:25" ht="13.35" hidden="1" customHeight="1" outlineLevel="3">
      <c r="B348" s="24" t="s">
        <v>28</v>
      </c>
      <c r="C348" s="29" t="s">
        <v>639</v>
      </c>
      <c r="D348" s="33"/>
      <c r="E348" s="6"/>
      <c r="G348" s="119" t="s">
        <v>774</v>
      </c>
      <c r="I348" s="6"/>
      <c r="K348" s="35" t="s">
        <v>1130</v>
      </c>
      <c r="P348" s="6"/>
      <c r="R348" s="34" t="s">
        <v>774</v>
      </c>
      <c r="S348" s="5"/>
      <c r="T348" s="6"/>
      <c r="U348" s="5"/>
      <c r="V348" s="135">
        <v>9.2657759096739983E-2</v>
      </c>
      <c r="W348" s="135"/>
    </row>
    <row r="349" spans="1:25" ht="13.35" hidden="1" customHeight="1" outlineLevel="3">
      <c r="B349" s="24"/>
      <c r="C349" s="29"/>
      <c r="D349" s="33"/>
      <c r="E349" s="6"/>
      <c r="G349" s="119"/>
      <c r="I349" s="6"/>
      <c r="P349" s="6"/>
      <c r="R349" s="34"/>
      <c r="S349" s="5"/>
      <c r="T349" s="6"/>
      <c r="U349" s="5"/>
      <c r="V349" s="135"/>
      <c r="W349" s="135"/>
    </row>
    <row r="350" spans="1:25" ht="13.35" hidden="1" customHeight="1" outlineLevel="3">
      <c r="B350" s="24" t="s">
        <v>28</v>
      </c>
      <c r="C350" s="29" t="s">
        <v>643</v>
      </c>
      <c r="D350" s="33"/>
      <c r="E350" s="6"/>
      <c r="G350" s="119" t="s">
        <v>774</v>
      </c>
      <c r="I350" s="6"/>
      <c r="L350" s="35" t="s">
        <v>1130</v>
      </c>
      <c r="P350" s="6"/>
      <c r="R350" s="34" t="s">
        <v>774</v>
      </c>
      <c r="S350" s="5"/>
      <c r="T350" s="6"/>
      <c r="U350" s="5"/>
      <c r="V350" s="135"/>
      <c r="W350" s="135">
        <v>1.2250234797501244E-2</v>
      </c>
    </row>
    <row r="351" spans="1:25" ht="3" hidden="1" customHeight="1" outlineLevel="2">
      <c r="B351" s="28"/>
      <c r="C351" s="29"/>
      <c r="D351" s="33"/>
      <c r="E351" s="6"/>
      <c r="G351" s="119"/>
      <c r="I351" s="6"/>
      <c r="P351" s="6"/>
      <c r="R351" s="34"/>
      <c r="S351" s="5"/>
      <c r="T351" s="6"/>
      <c r="U351" s="5"/>
    </row>
    <row r="352" spans="1:25" s="21" customFormat="1" hidden="1" outlineLevel="2" collapsed="1">
      <c r="A352" s="21">
        <v>1</v>
      </c>
      <c r="B352" s="22" t="s">
        <v>690</v>
      </c>
      <c r="C352" s="22"/>
      <c r="D352" s="8"/>
      <c r="E352" s="6"/>
      <c r="F352" s="8"/>
      <c r="G352" s="124">
        <f>SUM(K352:N352)</f>
        <v>4</v>
      </c>
      <c r="H352" s="8"/>
      <c r="I352" s="6"/>
      <c r="J352" s="8"/>
      <c r="K352" s="71">
        <f>COUNTA(K353:K355)</f>
        <v>3</v>
      </c>
      <c r="L352" s="71">
        <f>COUNTA(L353:L355)</f>
        <v>1</v>
      </c>
      <c r="M352" s="71">
        <f>COUNTA(M353:M355)</f>
        <v>0</v>
      </c>
      <c r="N352" s="71">
        <f>COUNTA(N353:N355)</f>
        <v>0</v>
      </c>
      <c r="O352" s="8"/>
      <c r="P352" s="6"/>
      <c r="Q352" s="8"/>
      <c r="R352" s="23">
        <f>SUM(V352:Y352)</f>
        <v>0.19811707215745483</v>
      </c>
      <c r="S352" s="8"/>
      <c r="T352" s="6"/>
      <c r="U352" s="8"/>
      <c r="V352" s="71">
        <f>SUM(V353:V355)</f>
        <v>0.1362054871082502</v>
      </c>
      <c r="W352" s="71">
        <f>SUM(W353:W355)</f>
        <v>6.1911585049204632E-2</v>
      </c>
      <c r="X352" s="71">
        <f>SUM(X353:X355)</f>
        <v>0</v>
      </c>
      <c r="Y352" s="71">
        <f>SUM(Y353:Y355)</f>
        <v>0</v>
      </c>
    </row>
    <row r="353" spans="1:25" ht="26.85" hidden="1" customHeight="1" outlineLevel="3">
      <c r="B353" s="24" t="s">
        <v>28</v>
      </c>
      <c r="C353" s="29" t="s">
        <v>690</v>
      </c>
      <c r="D353" s="33"/>
      <c r="E353" s="6"/>
      <c r="G353" s="119" t="s">
        <v>774</v>
      </c>
      <c r="I353" s="6"/>
      <c r="K353" s="29" t="s">
        <v>769</v>
      </c>
      <c r="L353" s="29" t="s">
        <v>1130</v>
      </c>
      <c r="M353" s="141"/>
      <c r="N353" s="141"/>
      <c r="P353" s="6"/>
      <c r="R353" s="34" t="s">
        <v>774</v>
      </c>
      <c r="S353" s="5"/>
      <c r="T353" s="6"/>
      <c r="U353" s="5"/>
      <c r="V353" s="135">
        <v>3.0733122777398793E-2</v>
      </c>
      <c r="W353" s="135">
        <v>6.1911585049204632E-2</v>
      </c>
    </row>
    <row r="354" spans="1:25" ht="13.35" hidden="1" customHeight="1" outlineLevel="3">
      <c r="B354" s="24" t="s">
        <v>28</v>
      </c>
      <c r="C354" s="29" t="s">
        <v>690</v>
      </c>
      <c r="D354" s="33"/>
      <c r="E354" s="6"/>
      <c r="G354" s="119" t="s">
        <v>774</v>
      </c>
      <c r="I354" s="6"/>
      <c r="K354" s="29" t="s">
        <v>770</v>
      </c>
      <c r="L354" s="141"/>
      <c r="M354" s="141"/>
      <c r="N354" s="141"/>
      <c r="P354" s="6"/>
      <c r="R354" s="34" t="s">
        <v>774</v>
      </c>
      <c r="S354" s="5"/>
      <c r="T354" s="6"/>
      <c r="U354" s="5"/>
      <c r="V354" s="135">
        <v>2.5610935647832327E-2</v>
      </c>
      <c r="W354" s="135"/>
    </row>
    <row r="355" spans="1:25" ht="13.35" hidden="1" customHeight="1" outlineLevel="3">
      <c r="B355" s="24" t="s">
        <v>28</v>
      </c>
      <c r="C355" s="29" t="s">
        <v>690</v>
      </c>
      <c r="D355" s="33"/>
      <c r="E355" s="6"/>
      <c r="G355" s="119" t="s">
        <v>774</v>
      </c>
      <c r="I355" s="6"/>
      <c r="K355" s="29" t="s">
        <v>1131</v>
      </c>
      <c r="L355" s="141"/>
      <c r="M355" s="141"/>
      <c r="N355" s="141"/>
      <c r="P355" s="6"/>
      <c r="R355" s="34" t="s">
        <v>774</v>
      </c>
      <c r="S355" s="5"/>
      <c r="T355" s="6"/>
      <c r="U355" s="5"/>
      <c r="V355" s="135">
        <v>7.9861428683019084E-2</v>
      </c>
      <c r="W355" s="135"/>
    </row>
    <row r="356" spans="1:25" ht="3" hidden="1" customHeight="1" outlineLevel="2">
      <c r="E356" s="6"/>
      <c r="G356" s="14"/>
      <c r="I356" s="6"/>
      <c r="P356" s="6"/>
      <c r="S356" s="5"/>
      <c r="T356" s="6"/>
      <c r="U356" s="5"/>
    </row>
    <row r="357" spans="1:25" s="21" customFormat="1" hidden="1" outlineLevel="2" collapsed="1">
      <c r="A357" s="21">
        <v>1</v>
      </c>
      <c r="B357" s="22" t="s">
        <v>836</v>
      </c>
      <c r="C357" s="22"/>
      <c r="D357" s="8"/>
      <c r="E357" s="6"/>
      <c r="F357" s="8"/>
      <c r="G357" s="124">
        <f>SUM(K357:N357)</f>
        <v>1</v>
      </c>
      <c r="H357" s="8"/>
      <c r="I357" s="6"/>
      <c r="J357" s="8"/>
      <c r="K357" s="71">
        <f>COUNTA(K358:K358)</f>
        <v>1</v>
      </c>
      <c r="L357" s="71">
        <f>COUNTA(L358:L358)</f>
        <v>0</v>
      </c>
      <c r="M357" s="71">
        <f>COUNTA(M358:M358)</f>
        <v>0</v>
      </c>
      <c r="N357" s="71">
        <f>COUNTA(N358:N358)</f>
        <v>0</v>
      </c>
      <c r="O357" s="8"/>
      <c r="P357" s="6"/>
      <c r="Q357" s="8"/>
      <c r="R357" s="82">
        <f>SUM(V357:Y357)</f>
        <v>3.2487230810551999E-2</v>
      </c>
      <c r="S357" s="8"/>
      <c r="T357" s="6"/>
      <c r="U357" s="8"/>
      <c r="V357" s="81">
        <f>SUM(V358:V358)</f>
        <v>3.2487230810551999E-2</v>
      </c>
      <c r="W357" s="81">
        <f>SUM(W358:W358)</f>
        <v>0</v>
      </c>
      <c r="X357" s="81">
        <f>SUM(X358:X358)</f>
        <v>0</v>
      </c>
      <c r="Y357" s="81">
        <f>SUM(Y358:Y358)</f>
        <v>0</v>
      </c>
    </row>
    <row r="358" spans="1:25" ht="13.35" hidden="1" customHeight="1" outlineLevel="3">
      <c r="B358" s="24" t="s">
        <v>28</v>
      </c>
      <c r="C358" s="28" t="s">
        <v>836</v>
      </c>
      <c r="D358" s="33"/>
      <c r="E358" s="6"/>
      <c r="G358" s="119" t="s">
        <v>774</v>
      </c>
      <c r="I358" s="6"/>
      <c r="K358" s="35" t="s">
        <v>1130</v>
      </c>
      <c r="P358" s="6"/>
      <c r="R358" s="34" t="s">
        <v>774</v>
      </c>
      <c r="S358" s="5"/>
      <c r="T358" s="6"/>
      <c r="U358" s="5"/>
      <c r="V358" s="80">
        <v>3.2487230810551999E-2</v>
      </c>
    </row>
    <row r="359" spans="1:25" ht="3" hidden="1" customHeight="1" outlineLevel="2">
      <c r="B359" s="28"/>
      <c r="C359" s="28"/>
      <c r="D359" s="33"/>
      <c r="E359" s="6"/>
      <c r="G359" s="119" t="s">
        <v>204</v>
      </c>
      <c r="I359" s="6"/>
      <c r="P359" s="6"/>
      <c r="R359" s="34" t="s">
        <v>204</v>
      </c>
      <c r="S359" s="5"/>
      <c r="T359" s="6"/>
      <c r="U359" s="5"/>
    </row>
    <row r="360" spans="1:25" s="21" customFormat="1" hidden="1" outlineLevel="2">
      <c r="A360" s="21">
        <v>1</v>
      </c>
      <c r="B360" s="22" t="s">
        <v>594</v>
      </c>
      <c r="C360" s="22"/>
      <c r="D360" s="8"/>
      <c r="E360" s="6"/>
      <c r="F360" s="8"/>
      <c r="G360" s="124">
        <f>SUM(K360:N360)</f>
        <v>6</v>
      </c>
      <c r="H360" s="8"/>
      <c r="I360" s="6"/>
      <c r="J360" s="8"/>
      <c r="K360" s="71">
        <f>COUNTA(K361:K363)</f>
        <v>3</v>
      </c>
      <c r="L360" s="71">
        <f>COUNTA(L361:L363)</f>
        <v>3</v>
      </c>
      <c r="M360" s="71">
        <f>COUNTA(M361:M363)</f>
        <v>0</v>
      </c>
      <c r="N360" s="71">
        <f>COUNTA(N361:N363)</f>
        <v>0</v>
      </c>
      <c r="O360" s="8"/>
      <c r="P360" s="6"/>
      <c r="Q360" s="8"/>
      <c r="R360" s="82">
        <f>SUM(V360:Y360)</f>
        <v>0.16323182611890019</v>
      </c>
      <c r="S360" s="8"/>
      <c r="T360" s="6"/>
      <c r="U360" s="8"/>
      <c r="V360" s="81">
        <f>SUM(V361:V363)</f>
        <v>8.8957368508478768E-2</v>
      </c>
      <c r="W360" s="81">
        <f>SUM(W361:W363)</f>
        <v>7.427445761042141E-2</v>
      </c>
      <c r="X360" s="81">
        <f>SUM(X361:X363)</f>
        <v>0</v>
      </c>
      <c r="Y360" s="81">
        <f>SUM(Y361:Y363)</f>
        <v>0</v>
      </c>
    </row>
    <row r="361" spans="1:25" ht="13.35" hidden="1" customHeight="1" outlineLevel="3">
      <c r="B361" s="24"/>
      <c r="C361" s="28" t="s">
        <v>594</v>
      </c>
      <c r="D361" s="33"/>
      <c r="E361" s="6"/>
      <c r="F361" s="33"/>
      <c r="G361" s="119" t="s">
        <v>774</v>
      </c>
      <c r="H361" s="33"/>
      <c r="I361" s="6"/>
      <c r="J361" s="33"/>
      <c r="K361" s="35" t="s">
        <v>1132</v>
      </c>
      <c r="L361" s="35" t="s">
        <v>1133</v>
      </c>
      <c r="O361" s="33"/>
      <c r="P361" s="6"/>
      <c r="Q361" s="33"/>
      <c r="R361" s="34" t="s">
        <v>774</v>
      </c>
      <c r="S361" s="33"/>
      <c r="T361" s="6"/>
      <c r="U361" s="33"/>
      <c r="V361" s="83">
        <v>2.4769399776581255E-2</v>
      </c>
      <c r="W361" s="83">
        <v>1.7232344500000003E-2</v>
      </c>
    </row>
    <row r="362" spans="1:25" ht="13.35" hidden="1" customHeight="1" outlineLevel="3">
      <c r="B362" s="24"/>
      <c r="C362" s="28" t="s">
        <v>594</v>
      </c>
      <c r="D362" s="33"/>
      <c r="E362" s="6"/>
      <c r="F362" s="33"/>
      <c r="G362" s="119" t="s">
        <v>774</v>
      </c>
      <c r="H362" s="33"/>
      <c r="I362" s="6"/>
      <c r="J362" s="33"/>
      <c r="K362" s="35" t="s">
        <v>1134</v>
      </c>
      <c r="L362" s="35" t="s">
        <v>1135</v>
      </c>
      <c r="O362" s="33"/>
      <c r="P362" s="6"/>
      <c r="Q362" s="33"/>
      <c r="R362" s="34" t="s">
        <v>774</v>
      </c>
      <c r="S362" s="33"/>
      <c r="T362" s="6"/>
      <c r="U362" s="33"/>
      <c r="V362" s="83">
        <v>2.9723279731897506E-2</v>
      </c>
      <c r="W362" s="83">
        <v>4.3080861250000005E-2</v>
      </c>
    </row>
    <row r="363" spans="1:25" ht="13.35" hidden="1" customHeight="1" outlineLevel="3">
      <c r="B363" s="24"/>
      <c r="C363" s="28" t="s">
        <v>594</v>
      </c>
      <c r="D363" s="33"/>
      <c r="E363" s="6"/>
      <c r="F363" s="33"/>
      <c r="G363" s="119" t="s">
        <v>774</v>
      </c>
      <c r="H363" s="33"/>
      <c r="I363" s="6"/>
      <c r="J363" s="33"/>
      <c r="K363" s="35" t="s">
        <v>1136</v>
      </c>
      <c r="L363" s="35" t="s">
        <v>1130</v>
      </c>
      <c r="O363" s="33"/>
      <c r="P363" s="6"/>
      <c r="Q363" s="33"/>
      <c r="R363" s="34" t="s">
        <v>774</v>
      </c>
      <c r="S363" s="33"/>
      <c r="T363" s="6"/>
      <c r="U363" s="33"/>
      <c r="V363" s="83">
        <v>3.4464689000000007E-2</v>
      </c>
      <c r="W363" s="83">
        <v>1.39612518604214E-2</v>
      </c>
    </row>
    <row r="364" spans="1:25" ht="3" hidden="1" customHeight="1" outlineLevel="2">
      <c r="B364" s="28"/>
      <c r="C364" s="28"/>
      <c r="D364" s="33"/>
      <c r="E364" s="6"/>
      <c r="F364" s="33"/>
      <c r="G364" s="119"/>
      <c r="H364" s="33"/>
      <c r="I364" s="6"/>
      <c r="J364" s="33"/>
      <c r="K364" s="75"/>
      <c r="O364" s="33"/>
      <c r="P364" s="6"/>
      <c r="Q364" s="33"/>
      <c r="R364" s="34"/>
      <c r="S364" s="33"/>
      <c r="T364" s="6"/>
      <c r="U364" s="33"/>
      <c r="V364" s="75"/>
    </row>
    <row r="365" spans="1:25" s="21" customFormat="1" hidden="1" outlineLevel="2" collapsed="1">
      <c r="B365" s="22" t="s">
        <v>663</v>
      </c>
      <c r="C365" s="22"/>
      <c r="D365" s="8"/>
      <c r="E365" s="6"/>
      <c r="F365" s="8"/>
      <c r="G365" s="124">
        <f>SUM(K365:N365)</f>
        <v>11</v>
      </c>
      <c r="H365" s="8"/>
      <c r="I365" s="6"/>
      <c r="J365" s="8"/>
      <c r="K365" s="71">
        <f>COUNTA(K366:K373)</f>
        <v>3</v>
      </c>
      <c r="L365" s="71">
        <f>COUNTA(L366:L373)</f>
        <v>7</v>
      </c>
      <c r="M365" s="71">
        <f>COUNTA(M366:M373)</f>
        <v>1</v>
      </c>
      <c r="N365" s="71">
        <f>COUNTA(N366:N373)</f>
        <v>0</v>
      </c>
      <c r="O365" s="8"/>
      <c r="P365" s="6"/>
      <c r="Q365" s="8"/>
      <c r="R365" s="23">
        <f>SUM(V365:Y365)</f>
        <v>0.23400000000000004</v>
      </c>
      <c r="S365" s="8"/>
      <c r="T365" s="6"/>
      <c r="U365" s="8"/>
      <c r="V365" s="81">
        <f>SUM(V366:V373)</f>
        <v>0.08</v>
      </c>
      <c r="W365" s="81">
        <f>SUM(W366:W373)</f>
        <v>0.14400000000000002</v>
      </c>
      <c r="X365" s="81">
        <f>SUM(X366:X373)</f>
        <v>0.01</v>
      </c>
      <c r="Y365" s="81">
        <f>SUM(Y366:Y373)</f>
        <v>0</v>
      </c>
    </row>
    <row r="366" spans="1:25" ht="13.35" hidden="1" customHeight="1" outlineLevel="3">
      <c r="B366" s="24" t="s">
        <v>28</v>
      </c>
      <c r="C366" s="36" t="s">
        <v>663</v>
      </c>
      <c r="D366" s="33"/>
      <c r="E366" s="6"/>
      <c r="F366" s="33"/>
      <c r="G366" s="119" t="s">
        <v>766</v>
      </c>
      <c r="H366" s="33"/>
      <c r="I366" s="6"/>
      <c r="J366" s="33"/>
      <c r="K366" s="35" t="s">
        <v>1137</v>
      </c>
      <c r="L366" s="35" t="s">
        <v>1138</v>
      </c>
      <c r="O366" s="33"/>
      <c r="P366" s="6"/>
      <c r="Q366" s="33"/>
      <c r="R366" s="34" t="s">
        <v>766</v>
      </c>
      <c r="S366" s="33"/>
      <c r="T366" s="6"/>
      <c r="U366" s="33"/>
      <c r="V366" s="35">
        <v>0.04</v>
      </c>
      <c r="W366" s="35">
        <v>7.0000000000000007E-2</v>
      </c>
    </row>
    <row r="367" spans="1:25" ht="13.35" hidden="1" customHeight="1" outlineLevel="3">
      <c r="C367" s="37"/>
      <c r="E367" s="6"/>
      <c r="G367" s="14"/>
      <c r="I367" s="6"/>
      <c r="M367" s="74"/>
      <c r="P367" s="6"/>
      <c r="S367" s="5"/>
      <c r="T367" s="6"/>
      <c r="U367" s="5"/>
      <c r="X367" s="74"/>
    </row>
    <row r="368" spans="1:25" ht="13.35" hidden="1" customHeight="1" outlineLevel="3">
      <c r="B368" s="24" t="s">
        <v>28</v>
      </c>
      <c r="C368" s="36" t="s">
        <v>91</v>
      </c>
      <c r="D368" s="33"/>
      <c r="E368" s="6"/>
      <c r="F368" s="33"/>
      <c r="G368" s="119" t="s">
        <v>766</v>
      </c>
      <c r="H368" s="33"/>
      <c r="I368" s="6"/>
      <c r="J368" s="33"/>
      <c r="K368" s="35"/>
      <c r="L368" s="35" t="s">
        <v>1139</v>
      </c>
      <c r="M368" s="35" t="s">
        <v>1140</v>
      </c>
      <c r="O368" s="33"/>
      <c r="P368" s="6"/>
      <c r="Q368" s="33"/>
      <c r="R368" s="34" t="s">
        <v>766</v>
      </c>
      <c r="S368" s="33"/>
      <c r="T368" s="6"/>
      <c r="U368" s="33"/>
      <c r="V368" s="35"/>
      <c r="W368" s="35">
        <v>1E-3</v>
      </c>
      <c r="X368" s="35">
        <v>0.01</v>
      </c>
    </row>
    <row r="369" spans="2:25" ht="13.35" hidden="1" customHeight="1" outlineLevel="3">
      <c r="B369" s="24" t="s">
        <v>28</v>
      </c>
      <c r="C369" s="36" t="s">
        <v>91</v>
      </c>
      <c r="D369" s="33"/>
      <c r="E369" s="6"/>
      <c r="F369" s="33"/>
      <c r="G369" s="119" t="s">
        <v>766</v>
      </c>
      <c r="H369" s="33"/>
      <c r="I369" s="6"/>
      <c r="J369" s="33"/>
      <c r="K369" s="35"/>
      <c r="L369" s="35" t="s">
        <v>1141</v>
      </c>
      <c r="O369" s="33"/>
      <c r="P369" s="6"/>
      <c r="Q369" s="33"/>
      <c r="R369" s="34" t="s">
        <v>766</v>
      </c>
      <c r="S369" s="33"/>
      <c r="T369" s="6"/>
      <c r="U369" s="33"/>
      <c r="V369" s="35"/>
      <c r="W369" s="35">
        <v>1E-3</v>
      </c>
    </row>
    <row r="370" spans="2:25" ht="13.35" hidden="1" customHeight="1" outlineLevel="3">
      <c r="B370" s="24" t="s">
        <v>28</v>
      </c>
      <c r="C370" s="36" t="s">
        <v>91</v>
      </c>
      <c r="D370" s="33"/>
      <c r="E370" s="6"/>
      <c r="F370" s="33"/>
      <c r="G370" s="119" t="s">
        <v>766</v>
      </c>
      <c r="H370" s="33"/>
      <c r="I370" s="6"/>
      <c r="J370" s="33"/>
      <c r="K370" s="35"/>
      <c r="L370" s="35" t="s">
        <v>1142</v>
      </c>
      <c r="O370" s="33"/>
      <c r="P370" s="6"/>
      <c r="Q370" s="33"/>
      <c r="R370" s="34" t="s">
        <v>766</v>
      </c>
      <c r="S370" s="33"/>
      <c r="T370" s="6"/>
      <c r="U370" s="33"/>
      <c r="V370" s="35"/>
      <c r="W370" s="35">
        <v>1E-3</v>
      </c>
    </row>
    <row r="371" spans="2:25" ht="13.35" hidden="1" customHeight="1" outlineLevel="3">
      <c r="B371" s="24" t="s">
        <v>28</v>
      </c>
      <c r="C371" s="36" t="s">
        <v>91</v>
      </c>
      <c r="D371" s="33"/>
      <c r="E371" s="6"/>
      <c r="F371" s="33"/>
      <c r="G371" s="119" t="s">
        <v>766</v>
      </c>
      <c r="H371" s="33"/>
      <c r="I371" s="6"/>
      <c r="J371" s="33"/>
      <c r="K371" s="35" t="s">
        <v>116</v>
      </c>
      <c r="L371" s="35" t="s">
        <v>1143</v>
      </c>
      <c r="O371" s="33"/>
      <c r="P371" s="6"/>
      <c r="Q371" s="33"/>
      <c r="R371" s="34" t="s">
        <v>766</v>
      </c>
      <c r="S371" s="33"/>
      <c r="T371" s="6"/>
      <c r="U371" s="33"/>
      <c r="V371" s="35">
        <v>0.02</v>
      </c>
      <c r="W371" s="35">
        <v>1E-3</v>
      </c>
    </row>
    <row r="372" spans="2:25" ht="13.35" hidden="1" customHeight="1" outlineLevel="3">
      <c r="B372" s="24" t="s">
        <v>28</v>
      </c>
      <c r="C372" s="36" t="s">
        <v>91</v>
      </c>
      <c r="D372" s="33"/>
      <c r="E372" s="6"/>
      <c r="F372" s="33"/>
      <c r="G372" s="119" t="s">
        <v>766</v>
      </c>
      <c r="H372" s="33"/>
      <c r="I372" s="6"/>
      <c r="J372" s="33"/>
      <c r="K372" s="35" t="s">
        <v>117</v>
      </c>
      <c r="L372" s="35" t="s">
        <v>118</v>
      </c>
      <c r="O372" s="33"/>
      <c r="P372" s="6"/>
      <c r="Q372" s="33"/>
      <c r="R372" s="34" t="s">
        <v>766</v>
      </c>
      <c r="S372" s="33"/>
      <c r="T372" s="6"/>
      <c r="U372" s="33"/>
      <c r="V372" s="35">
        <v>0.02</v>
      </c>
      <c r="W372" s="35">
        <v>0.02</v>
      </c>
    </row>
    <row r="373" spans="2:25" ht="13.35" hidden="1" customHeight="1" outlineLevel="3">
      <c r="B373" s="24" t="s">
        <v>28</v>
      </c>
      <c r="C373" s="36" t="s">
        <v>91</v>
      </c>
      <c r="D373" s="33"/>
      <c r="E373" s="6"/>
      <c r="F373" s="33"/>
      <c r="G373" s="119" t="s">
        <v>766</v>
      </c>
      <c r="H373" s="33"/>
      <c r="I373" s="6"/>
      <c r="J373" s="33"/>
      <c r="K373" s="74"/>
      <c r="L373" s="35" t="s">
        <v>119</v>
      </c>
      <c r="O373" s="33"/>
      <c r="P373" s="6"/>
      <c r="Q373" s="33"/>
      <c r="R373" s="34" t="s">
        <v>766</v>
      </c>
      <c r="S373" s="33"/>
      <c r="T373" s="6"/>
      <c r="U373" s="33"/>
      <c r="V373" s="74"/>
      <c r="W373" s="35">
        <v>0.05</v>
      </c>
    </row>
    <row r="374" spans="2:25" ht="3" hidden="1" customHeight="1" outlineLevel="2">
      <c r="B374" s="28"/>
      <c r="C374" s="29"/>
      <c r="D374" s="26"/>
      <c r="E374" s="6"/>
      <c r="F374" s="26"/>
      <c r="G374" s="119"/>
      <c r="H374" s="26"/>
      <c r="I374" s="6"/>
      <c r="J374" s="26"/>
      <c r="K374" s="75"/>
      <c r="O374" s="26"/>
      <c r="P374" s="6"/>
      <c r="Q374" s="26"/>
      <c r="R374" s="27"/>
      <c r="S374" s="26"/>
      <c r="T374" s="6"/>
      <c r="U374" s="26"/>
      <c r="V374" s="75"/>
    </row>
    <row r="375" spans="2:25" s="21" customFormat="1" hidden="1" outlineLevel="2" collapsed="1">
      <c r="B375" s="22" t="s">
        <v>902</v>
      </c>
      <c r="C375" s="22"/>
      <c r="D375" s="8"/>
      <c r="E375" s="6"/>
      <c r="F375" s="8"/>
      <c r="G375" s="124">
        <f>SUM(K375:N375)</f>
        <v>2</v>
      </c>
      <c r="H375" s="8"/>
      <c r="I375" s="6"/>
      <c r="J375" s="8"/>
      <c r="K375" s="71">
        <f>COUNTA(K376:K377)</f>
        <v>2</v>
      </c>
      <c r="L375" s="71">
        <f>COUNTA(L376:L377)</f>
        <v>0</v>
      </c>
      <c r="M375" s="71">
        <f>COUNTA(M376:M377)</f>
        <v>0</v>
      </c>
      <c r="N375" s="71">
        <f>COUNTA(N376:N377)</f>
        <v>0</v>
      </c>
      <c r="O375" s="8"/>
      <c r="P375" s="6"/>
      <c r="Q375" s="8"/>
      <c r="R375" s="23">
        <f>SUM(V375:Y375)</f>
        <v>0</v>
      </c>
      <c r="S375" s="8"/>
      <c r="T375" s="6"/>
      <c r="U375" s="8"/>
      <c r="V375" s="81">
        <f>SUM(V376:V377)</f>
        <v>0</v>
      </c>
      <c r="W375" s="71">
        <f>SUM(W376:W377)</f>
        <v>0</v>
      </c>
      <c r="X375" s="71">
        <f>SUM(X376:X377)</f>
        <v>0</v>
      </c>
      <c r="Y375" s="71">
        <f>SUM(Y376:Y377)</f>
        <v>0</v>
      </c>
    </row>
    <row r="376" spans="2:25" ht="13.35" hidden="1" customHeight="1" outlineLevel="3">
      <c r="B376" s="24" t="s">
        <v>28</v>
      </c>
      <c r="C376" s="29" t="s">
        <v>1030</v>
      </c>
      <c r="D376" s="33"/>
      <c r="E376" s="6"/>
      <c r="F376" s="33"/>
      <c r="G376" s="119" t="s">
        <v>766</v>
      </c>
      <c r="H376" s="33"/>
      <c r="I376" s="6"/>
      <c r="J376" s="33"/>
      <c r="K376" s="35" t="s">
        <v>1031</v>
      </c>
      <c r="O376" s="33"/>
      <c r="P376" s="6"/>
      <c r="Q376" s="33"/>
      <c r="R376" s="34" t="s">
        <v>766</v>
      </c>
      <c r="S376" s="33"/>
      <c r="T376" s="6"/>
      <c r="U376" s="33"/>
      <c r="V376" s="75"/>
      <c r="W376" s="75"/>
    </row>
    <row r="377" spans="2:25" ht="13.35" hidden="1" customHeight="1" outlineLevel="3">
      <c r="B377" s="24" t="s">
        <v>28</v>
      </c>
      <c r="C377" s="29" t="s">
        <v>1032</v>
      </c>
      <c r="D377" s="33"/>
      <c r="E377" s="6"/>
      <c r="F377" s="33"/>
      <c r="G377" s="119" t="s">
        <v>766</v>
      </c>
      <c r="H377" s="33"/>
      <c r="I377" s="6"/>
      <c r="J377" s="33"/>
      <c r="K377" s="35" t="s">
        <v>1031</v>
      </c>
      <c r="O377" s="33"/>
      <c r="P377" s="6"/>
      <c r="Q377" s="33"/>
      <c r="R377" s="34" t="s">
        <v>766</v>
      </c>
      <c r="S377" s="33"/>
      <c r="T377" s="6"/>
      <c r="U377" s="33"/>
      <c r="V377" s="75"/>
    </row>
    <row r="378" spans="2:25" ht="3" hidden="1" customHeight="1" outlineLevel="2">
      <c r="B378" s="28"/>
      <c r="C378" s="28"/>
      <c r="D378" s="33"/>
      <c r="E378" s="6"/>
      <c r="F378" s="33"/>
      <c r="G378" s="119"/>
      <c r="H378" s="33"/>
      <c r="I378" s="6"/>
      <c r="J378" s="33"/>
      <c r="K378" s="75"/>
      <c r="O378" s="33"/>
      <c r="P378" s="6"/>
      <c r="Q378" s="33"/>
      <c r="R378" s="34"/>
      <c r="S378" s="33"/>
      <c r="T378" s="6"/>
      <c r="U378" s="33"/>
      <c r="V378" s="75"/>
    </row>
    <row r="379" spans="2:25" s="21" customFormat="1" hidden="1" outlineLevel="2" collapsed="1">
      <c r="B379" s="22" t="s">
        <v>555</v>
      </c>
      <c r="C379" s="22"/>
      <c r="D379" s="8"/>
      <c r="E379" s="6"/>
      <c r="F379" s="8"/>
      <c r="G379" s="124">
        <f>SUM(K379:N379)</f>
        <v>14</v>
      </c>
      <c r="H379" s="8"/>
      <c r="I379" s="6"/>
      <c r="J379" s="8"/>
      <c r="K379" s="71">
        <f>COUNTA(K380:K391)</f>
        <v>4</v>
      </c>
      <c r="L379" s="71">
        <f>COUNTA(L380:L391)</f>
        <v>3</v>
      </c>
      <c r="M379" s="71">
        <f>COUNTA(M380:M391)</f>
        <v>2</v>
      </c>
      <c r="N379" s="71">
        <f>COUNTA(N380:N391)</f>
        <v>5</v>
      </c>
      <c r="O379" s="8"/>
      <c r="P379" s="6"/>
      <c r="Q379" s="8"/>
      <c r="R379" s="82">
        <f>SUM(V379:Y379)</f>
        <v>0.64268974663924849</v>
      </c>
      <c r="S379" s="152"/>
      <c r="T379" s="153"/>
      <c r="U379" s="152"/>
      <c r="V379" s="81">
        <f>SUM(V380:V391)</f>
        <v>0.24835150207682696</v>
      </c>
      <c r="W379" s="81">
        <f>SUM(W380:W391)</f>
        <v>8.2120372598242494E-2</v>
      </c>
      <c r="X379" s="81">
        <f>SUM(X380:X391)</f>
        <v>3.0443224782089547E-2</v>
      </c>
      <c r="Y379" s="81">
        <f>SUM(Y380:Y391)</f>
        <v>0.28177464718208955</v>
      </c>
    </row>
    <row r="380" spans="2:25" ht="13.35" hidden="1" customHeight="1" outlineLevel="3">
      <c r="C380" s="25" t="s">
        <v>556</v>
      </c>
      <c r="D380" s="33"/>
      <c r="E380" s="6"/>
      <c r="G380" s="120" t="s">
        <v>766</v>
      </c>
      <c r="I380" s="6"/>
      <c r="K380" s="127"/>
      <c r="L380" s="126" t="s">
        <v>1031</v>
      </c>
      <c r="M380" s="127"/>
      <c r="N380" s="127"/>
      <c r="P380" s="6"/>
      <c r="R380" s="38" t="s">
        <v>766</v>
      </c>
      <c r="S380" s="5"/>
      <c r="T380" s="6"/>
      <c r="U380" s="5"/>
      <c r="V380" s="86"/>
      <c r="W380" s="86">
        <v>5.307726488026402E-2</v>
      </c>
      <c r="X380" s="86"/>
      <c r="Y380" s="86"/>
    </row>
    <row r="381" spans="2:25" ht="13.35" hidden="1" customHeight="1" outlineLevel="3">
      <c r="B381" s="28"/>
      <c r="C381" s="25"/>
      <c r="D381" s="33"/>
      <c r="E381" s="6"/>
      <c r="F381" s="33"/>
      <c r="G381" s="120"/>
      <c r="H381" s="33"/>
      <c r="I381" s="6"/>
      <c r="J381" s="33"/>
      <c r="K381" s="127"/>
      <c r="L381" s="127"/>
      <c r="M381" s="127"/>
      <c r="N381" s="127"/>
      <c r="O381" s="33"/>
      <c r="P381" s="6"/>
      <c r="Q381" s="33"/>
      <c r="R381" s="38"/>
      <c r="S381" s="33"/>
      <c r="T381" s="6"/>
      <c r="U381" s="33"/>
      <c r="V381" s="86"/>
      <c r="W381" s="86"/>
      <c r="X381" s="86"/>
      <c r="Y381" s="86"/>
    </row>
    <row r="382" spans="2:25" ht="13.35" hidden="1" customHeight="1" outlineLevel="3">
      <c r="B382" s="28"/>
      <c r="C382" s="25" t="s">
        <v>558</v>
      </c>
      <c r="D382" s="33"/>
      <c r="E382" s="6"/>
      <c r="F382" s="33"/>
      <c r="G382" s="120" t="s">
        <v>766</v>
      </c>
      <c r="H382" s="33"/>
      <c r="I382" s="6"/>
      <c r="J382" s="33"/>
      <c r="K382" s="128"/>
      <c r="L382" s="126" t="s">
        <v>1031</v>
      </c>
      <c r="M382" s="127"/>
      <c r="N382" s="127"/>
      <c r="O382" s="33"/>
      <c r="P382" s="6"/>
      <c r="Q382" s="33"/>
      <c r="R382" s="38" t="s">
        <v>766</v>
      </c>
      <c r="S382" s="33"/>
      <c r="T382" s="6"/>
      <c r="U382" s="33"/>
      <c r="V382" s="86"/>
      <c r="W382" s="86">
        <v>2.2485241204762269E-2</v>
      </c>
      <c r="X382" s="86"/>
      <c r="Y382" s="86"/>
    </row>
    <row r="383" spans="2:25" ht="13.35" hidden="1" customHeight="1" outlineLevel="3">
      <c r="B383" s="28"/>
      <c r="C383" s="25"/>
      <c r="D383" s="33"/>
      <c r="E383" s="6"/>
      <c r="F383" s="33"/>
      <c r="G383" s="120"/>
      <c r="H383" s="33"/>
      <c r="I383" s="6"/>
      <c r="J383" s="33"/>
      <c r="K383" s="127"/>
      <c r="L383" s="127"/>
      <c r="M383" s="127"/>
      <c r="N383" s="127"/>
      <c r="O383" s="33"/>
      <c r="P383" s="6"/>
      <c r="Q383" s="33"/>
      <c r="R383" s="38"/>
      <c r="S383" s="33"/>
      <c r="T383" s="6"/>
      <c r="U383" s="33"/>
      <c r="V383" s="86"/>
      <c r="W383" s="86"/>
      <c r="X383" s="86"/>
      <c r="Y383" s="86"/>
    </row>
    <row r="384" spans="2:25" ht="13.35" hidden="1" customHeight="1" outlineLevel="3">
      <c r="B384" s="28"/>
      <c r="C384" s="25" t="s">
        <v>559</v>
      </c>
      <c r="D384" s="33"/>
      <c r="E384" s="6"/>
      <c r="F384" s="33"/>
      <c r="G384" s="120" t="s">
        <v>766</v>
      </c>
      <c r="H384" s="33"/>
      <c r="I384" s="6"/>
      <c r="J384" s="33"/>
      <c r="K384" s="126" t="s">
        <v>781</v>
      </c>
      <c r="L384" s="127"/>
      <c r="M384" s="126" t="s">
        <v>1144</v>
      </c>
      <c r="N384" s="127"/>
      <c r="O384" s="33"/>
      <c r="P384" s="6"/>
      <c r="Q384" s="33"/>
      <c r="R384" s="38" t="s">
        <v>766</v>
      </c>
      <c r="S384" s="33"/>
      <c r="T384" s="6"/>
      <c r="U384" s="33"/>
      <c r="V384" s="86">
        <v>6.5578665132162012E-3</v>
      </c>
      <c r="W384" s="86"/>
      <c r="X384" s="86">
        <v>7.8694398158594414E-3</v>
      </c>
      <c r="Y384" s="86"/>
    </row>
    <row r="385" spans="1:25" ht="13.35" hidden="1" customHeight="1" outlineLevel="3">
      <c r="B385" s="28"/>
      <c r="C385" s="25" t="s">
        <v>559</v>
      </c>
      <c r="D385" s="33"/>
      <c r="E385" s="6"/>
      <c r="F385" s="33"/>
      <c r="G385" s="120" t="s">
        <v>766</v>
      </c>
      <c r="H385" s="33"/>
      <c r="I385" s="6"/>
      <c r="J385" s="33"/>
      <c r="K385" s="128"/>
      <c r="L385" s="127"/>
      <c r="M385" s="126" t="s">
        <v>1130</v>
      </c>
      <c r="N385" s="127"/>
      <c r="O385" s="33"/>
      <c r="P385" s="6"/>
      <c r="Q385" s="33"/>
      <c r="R385" s="38" t="s">
        <v>766</v>
      </c>
      <c r="S385" s="33"/>
      <c r="T385" s="6"/>
      <c r="U385" s="33"/>
      <c r="V385" s="86"/>
      <c r="W385" s="86"/>
      <c r="X385" s="86">
        <v>2.2573784966230106E-2</v>
      </c>
      <c r="Y385" s="86"/>
    </row>
    <row r="386" spans="1:25" ht="13.35" hidden="1" customHeight="1" outlineLevel="3">
      <c r="B386" s="28"/>
      <c r="C386" s="25"/>
      <c r="D386" s="33"/>
      <c r="E386" s="6"/>
      <c r="F386" s="33"/>
      <c r="G386" s="120"/>
      <c r="H386" s="33"/>
      <c r="I386" s="6"/>
      <c r="J386" s="33"/>
      <c r="K386" s="127"/>
      <c r="L386" s="127"/>
      <c r="M386" s="127"/>
      <c r="N386" s="127"/>
      <c r="O386" s="33"/>
      <c r="P386" s="6"/>
      <c r="Q386" s="33"/>
      <c r="R386" s="38"/>
      <c r="S386" s="33"/>
      <c r="T386" s="6"/>
      <c r="U386" s="33"/>
      <c r="V386" s="86"/>
      <c r="W386" s="86"/>
      <c r="X386" s="86"/>
      <c r="Y386" s="86"/>
    </row>
    <row r="387" spans="1:25" ht="13.35" hidden="1" customHeight="1" outlineLevel="3">
      <c r="B387" s="28"/>
      <c r="C387" s="89" t="s">
        <v>1036</v>
      </c>
      <c r="D387" s="33"/>
      <c r="E387" s="6"/>
      <c r="F387" s="33"/>
      <c r="G387" s="120" t="s">
        <v>766</v>
      </c>
      <c r="H387" s="33"/>
      <c r="I387" s="6"/>
      <c r="J387" s="33"/>
      <c r="K387" s="126" t="s">
        <v>31</v>
      </c>
      <c r="L387" s="126" t="s">
        <v>33</v>
      </c>
      <c r="M387" s="127"/>
      <c r="N387" s="127" t="s">
        <v>1052</v>
      </c>
      <c r="O387" s="33"/>
      <c r="P387" s="6"/>
      <c r="Q387" s="33"/>
      <c r="R387" s="38" t="s">
        <v>766</v>
      </c>
      <c r="S387" s="33"/>
      <c r="T387" s="6"/>
      <c r="U387" s="33"/>
      <c r="V387" s="86">
        <v>4.5147569932460212E-2</v>
      </c>
      <c r="W387" s="86">
        <v>6.5578665132162012E-3</v>
      </c>
      <c r="X387" s="86"/>
      <c r="Y387" s="86">
        <v>8.3777140799999997E-2</v>
      </c>
    </row>
    <row r="388" spans="1:25" ht="13.35" hidden="1" customHeight="1" outlineLevel="3">
      <c r="B388" s="28"/>
      <c r="C388" s="89" t="s">
        <v>1036</v>
      </c>
      <c r="D388" s="33"/>
      <c r="E388" s="6"/>
      <c r="F388" s="33"/>
      <c r="G388" s="120" t="s">
        <v>766</v>
      </c>
      <c r="H388" s="33"/>
      <c r="I388" s="6"/>
      <c r="J388" s="33"/>
      <c r="K388" s="126" t="s">
        <v>32</v>
      </c>
      <c r="L388" s="127"/>
      <c r="M388" s="127"/>
      <c r="N388" s="127" t="s">
        <v>1055</v>
      </c>
      <c r="O388" s="33"/>
      <c r="P388" s="6"/>
      <c r="Q388" s="33"/>
      <c r="R388" s="38" t="s">
        <v>766</v>
      </c>
      <c r="S388" s="33"/>
      <c r="T388" s="6"/>
      <c r="U388" s="33"/>
      <c r="V388" s="86">
        <v>6.7721354898690314E-2</v>
      </c>
      <c r="W388" s="86"/>
      <c r="X388" s="86"/>
      <c r="Y388" s="86">
        <v>8.3777140799999997E-2</v>
      </c>
    </row>
    <row r="389" spans="1:25" ht="13.35" hidden="1" customHeight="1" outlineLevel="3">
      <c r="B389" s="28"/>
      <c r="C389" s="89" t="s">
        <v>1036</v>
      </c>
      <c r="D389" s="33"/>
      <c r="E389" s="6"/>
      <c r="F389" s="33"/>
      <c r="G389" s="120" t="s">
        <v>766</v>
      </c>
      <c r="H389" s="33"/>
      <c r="I389" s="6"/>
      <c r="J389" s="33"/>
      <c r="K389" s="126" t="s">
        <v>285</v>
      </c>
      <c r="L389" s="127"/>
      <c r="M389" s="127"/>
      <c r="N389" s="127" t="s">
        <v>115</v>
      </c>
      <c r="O389" s="33"/>
      <c r="P389" s="6"/>
      <c r="Q389" s="33"/>
      <c r="R389" s="38" t="s">
        <v>766</v>
      </c>
      <c r="S389" s="33"/>
      <c r="T389" s="6"/>
      <c r="U389" s="33"/>
      <c r="V389" s="86">
        <v>2.2573784966230106E-2</v>
      </c>
      <c r="W389" s="86"/>
      <c r="X389" s="86"/>
      <c r="Y389" s="86">
        <v>8.3777140799999997E-2</v>
      </c>
    </row>
    <row r="390" spans="1:25" ht="13.35" hidden="1" customHeight="1" outlineLevel="3">
      <c r="B390" s="28"/>
      <c r="C390" s="89" t="s">
        <v>1036</v>
      </c>
      <c r="D390" s="33"/>
      <c r="E390" s="6"/>
      <c r="F390" s="33"/>
      <c r="G390" s="120" t="s">
        <v>766</v>
      </c>
      <c r="H390" s="33"/>
      <c r="I390" s="6"/>
      <c r="J390" s="33"/>
      <c r="K390" s="126"/>
      <c r="L390" s="127"/>
      <c r="M390" s="127"/>
      <c r="N390" s="127" t="s">
        <v>1144</v>
      </c>
      <c r="O390" s="33"/>
      <c r="P390" s="6"/>
      <c r="Q390" s="33"/>
      <c r="R390" s="38" t="s">
        <v>766</v>
      </c>
      <c r="S390" s="33"/>
      <c r="T390" s="6"/>
      <c r="U390" s="33"/>
      <c r="V390" s="86">
        <v>8.3777140799999997E-2</v>
      </c>
      <c r="W390" s="86"/>
      <c r="X390" s="86"/>
      <c r="Y390" s="86">
        <v>7.8694398158594414E-3</v>
      </c>
    </row>
    <row r="391" spans="1:25" ht="13.35" hidden="1" customHeight="1" outlineLevel="3">
      <c r="B391" s="28"/>
      <c r="C391" s="89" t="s">
        <v>1036</v>
      </c>
      <c r="D391" s="33"/>
      <c r="E391" s="6"/>
      <c r="F391" s="33"/>
      <c r="G391" s="120" t="s">
        <v>766</v>
      </c>
      <c r="H391" s="33"/>
      <c r="I391" s="6"/>
      <c r="J391" s="33"/>
      <c r="K391" s="127"/>
      <c r="L391" s="127"/>
      <c r="M391" s="127"/>
      <c r="N391" s="127" t="s">
        <v>1145</v>
      </c>
      <c r="O391" s="33"/>
      <c r="P391" s="6"/>
      <c r="Q391" s="33"/>
      <c r="R391" s="38" t="s">
        <v>766</v>
      </c>
      <c r="S391" s="33"/>
      <c r="T391" s="6"/>
      <c r="U391" s="33"/>
      <c r="V391" s="86">
        <v>2.2573784966230106E-2</v>
      </c>
      <c r="W391" s="86"/>
      <c r="X391" s="86"/>
      <c r="Y391" s="86">
        <v>2.2573784966230106E-2</v>
      </c>
    </row>
    <row r="392" spans="1:25" ht="3" hidden="1" customHeight="1" outlineLevel="2">
      <c r="B392" s="28"/>
      <c r="C392" s="28"/>
      <c r="D392" s="33"/>
      <c r="E392" s="6"/>
      <c r="F392" s="33"/>
      <c r="G392" s="118"/>
      <c r="H392" s="33"/>
      <c r="I392" s="6"/>
      <c r="J392" s="33"/>
      <c r="K392" s="75"/>
      <c r="O392" s="33"/>
      <c r="P392" s="6"/>
      <c r="Q392" s="33"/>
      <c r="R392" s="33"/>
      <c r="S392" s="33"/>
      <c r="T392" s="6"/>
      <c r="U392" s="33"/>
      <c r="V392" s="75"/>
    </row>
    <row r="393" spans="1:25" s="21" customFormat="1" hidden="1" outlineLevel="2" collapsed="1">
      <c r="B393" s="22" t="s">
        <v>711</v>
      </c>
      <c r="C393" s="22"/>
      <c r="D393" s="8"/>
      <c r="E393" s="6"/>
      <c r="F393" s="8"/>
      <c r="G393" s="124">
        <f>SUM(K393:N393)</f>
        <v>1</v>
      </c>
      <c r="H393" s="8"/>
      <c r="I393" s="6"/>
      <c r="J393" s="8"/>
      <c r="K393" s="71">
        <f>COUNTA(K394:K394)</f>
        <v>1</v>
      </c>
      <c r="L393" s="71">
        <f>COUNTA(L394:L394)</f>
        <v>0</v>
      </c>
      <c r="M393" s="71">
        <f>COUNTA(M394:M394)</f>
        <v>0</v>
      </c>
      <c r="N393" s="71">
        <f>COUNTA(N394:N394)</f>
        <v>0</v>
      </c>
      <c r="O393" s="8"/>
      <c r="P393" s="6"/>
      <c r="Q393" s="8"/>
      <c r="R393" s="23">
        <f>SUM(V393:Y393)</f>
        <v>0</v>
      </c>
      <c r="S393" s="8"/>
      <c r="T393" s="6"/>
      <c r="U393" s="8"/>
      <c r="V393" s="71">
        <f>SUM(V394:V394)</f>
        <v>0</v>
      </c>
      <c r="W393" s="71">
        <f>SUM(W394:W394)</f>
        <v>0</v>
      </c>
      <c r="X393" s="71">
        <f>SUM(X394:X394)</f>
        <v>0</v>
      </c>
      <c r="Y393" s="71">
        <f>SUM(Y394:Y394)</f>
        <v>0</v>
      </c>
    </row>
    <row r="394" spans="1:25" ht="13.35" hidden="1" customHeight="1" outlineLevel="3">
      <c r="A394" s="21">
        <v>0</v>
      </c>
      <c r="B394" s="28"/>
      <c r="C394" s="29"/>
      <c r="D394" s="33"/>
      <c r="E394" s="6"/>
      <c r="F394" s="33"/>
      <c r="G394" s="118" t="s">
        <v>766</v>
      </c>
      <c r="H394" s="33"/>
      <c r="I394" s="6"/>
      <c r="J394" s="33"/>
      <c r="K394" s="78" t="s">
        <v>785</v>
      </c>
      <c r="L394" s="42"/>
      <c r="M394" s="40"/>
      <c r="N394" s="32"/>
      <c r="O394" s="33"/>
      <c r="P394" s="6"/>
      <c r="Q394" s="33"/>
      <c r="R394" s="33"/>
      <c r="S394" s="33"/>
      <c r="T394" s="6"/>
      <c r="U394" s="33"/>
      <c r="V394" s="42"/>
      <c r="W394" s="42"/>
      <c r="X394" s="40"/>
      <c r="Y394" s="32"/>
    </row>
    <row r="395" spans="1:25" ht="3" hidden="1" customHeight="1" outlineLevel="2">
      <c r="B395" s="28"/>
      <c r="C395" s="28"/>
      <c r="D395" s="33"/>
      <c r="E395" s="6"/>
      <c r="F395" s="33"/>
      <c r="G395" s="118"/>
      <c r="H395" s="33"/>
      <c r="I395" s="6"/>
      <c r="J395" s="33"/>
      <c r="K395" s="75"/>
      <c r="O395" s="33"/>
      <c r="P395" s="6"/>
      <c r="Q395" s="33"/>
      <c r="R395" s="33"/>
      <c r="S395" s="33"/>
      <c r="T395" s="6"/>
      <c r="U395" s="33"/>
      <c r="V395" s="75"/>
    </row>
    <row r="396" spans="1:25" s="21" customFormat="1" hidden="1" outlineLevel="2" collapsed="1">
      <c r="B396" s="22" t="s">
        <v>786</v>
      </c>
      <c r="C396" s="22"/>
      <c r="D396" s="8"/>
      <c r="E396" s="6"/>
      <c r="F396" s="8"/>
      <c r="G396" s="124">
        <f>SUM(K396:N396)</f>
        <v>1</v>
      </c>
      <c r="H396" s="8"/>
      <c r="I396" s="6"/>
      <c r="J396" s="8"/>
      <c r="K396" s="71">
        <f>COUNTA(K397:K397)</f>
        <v>1</v>
      </c>
      <c r="L396" s="71"/>
      <c r="M396" s="71">
        <f>COUNTA(M397:M397)</f>
        <v>0</v>
      </c>
      <c r="N396" s="71">
        <f>COUNTA(N397:N397)</f>
        <v>0</v>
      </c>
      <c r="O396" s="8"/>
      <c r="P396" s="6"/>
      <c r="Q396" s="8"/>
      <c r="R396" s="23">
        <f>SUM(V396:Y396)</f>
        <v>0</v>
      </c>
      <c r="S396" s="8"/>
      <c r="T396" s="6"/>
      <c r="U396" s="8"/>
      <c r="V396" s="71">
        <f>SUM(V397:V397)</f>
        <v>0</v>
      </c>
      <c r="W396" s="71">
        <f>SUM(W397:W397)</f>
        <v>0</v>
      </c>
      <c r="X396" s="71">
        <f>SUM(X397:X397)</f>
        <v>0</v>
      </c>
      <c r="Y396" s="71">
        <f>SUM(Y397:Y397)</f>
        <v>0</v>
      </c>
    </row>
    <row r="397" spans="1:25" ht="13.35" hidden="1" customHeight="1" outlineLevel="3">
      <c r="B397" s="28"/>
      <c r="C397" s="29"/>
      <c r="D397" s="33"/>
      <c r="E397" s="6"/>
      <c r="F397" s="33"/>
      <c r="G397" s="118" t="s">
        <v>766</v>
      </c>
      <c r="H397" s="33"/>
      <c r="I397" s="6"/>
      <c r="J397" s="33"/>
      <c r="K397" s="42" t="s">
        <v>688</v>
      </c>
      <c r="L397" s="42"/>
      <c r="M397" s="42"/>
      <c r="N397" s="42"/>
      <c r="O397" s="33"/>
      <c r="P397" s="6"/>
      <c r="Q397" s="33"/>
      <c r="R397" s="33"/>
      <c r="S397" s="33"/>
      <c r="T397" s="6"/>
      <c r="U397" s="33"/>
      <c r="V397" s="42"/>
      <c r="W397" s="42"/>
      <c r="X397" s="42"/>
      <c r="Y397" s="42"/>
    </row>
    <row r="398" spans="1:25" ht="3" hidden="1" customHeight="1" outlineLevel="2">
      <c r="B398" s="28"/>
      <c r="C398" s="28"/>
      <c r="D398" s="33"/>
      <c r="E398" s="6"/>
      <c r="F398" s="33"/>
      <c r="G398" s="118"/>
      <c r="H398" s="33"/>
      <c r="I398" s="6"/>
      <c r="J398" s="33"/>
      <c r="K398" s="75"/>
      <c r="O398" s="33"/>
      <c r="P398" s="6"/>
      <c r="Q398" s="33"/>
      <c r="R398" s="33"/>
      <c r="S398" s="33"/>
      <c r="T398" s="6"/>
      <c r="U398" s="33"/>
      <c r="V398" s="75"/>
    </row>
    <row r="399" spans="1:25" s="21" customFormat="1" hidden="1" outlineLevel="2" collapsed="1">
      <c r="B399" s="22" t="s">
        <v>788</v>
      </c>
      <c r="C399" s="22"/>
      <c r="D399" s="8"/>
      <c r="E399" s="6"/>
      <c r="F399" s="8"/>
      <c r="G399" s="124">
        <f>SUM(K399:N399)</f>
        <v>1</v>
      </c>
      <c r="H399" s="8"/>
      <c r="I399" s="6"/>
      <c r="J399" s="8"/>
      <c r="K399" s="71">
        <f>COUNTA(K400:K400)</f>
        <v>1</v>
      </c>
      <c r="L399" s="71">
        <f>COUNTA(L400:L400)</f>
        <v>0</v>
      </c>
      <c r="M399" s="71">
        <f>COUNTA(M400:M400)</f>
        <v>0</v>
      </c>
      <c r="N399" s="71">
        <f>COUNTA(N400:N400)</f>
        <v>0</v>
      </c>
      <c r="O399" s="8"/>
      <c r="P399" s="6"/>
      <c r="Q399" s="8"/>
      <c r="R399" s="23">
        <f>SUM(V399:Y399)</f>
        <v>0</v>
      </c>
      <c r="S399" s="8"/>
      <c r="T399" s="6"/>
      <c r="U399" s="8"/>
      <c r="V399" s="71">
        <f>SUM(V400:V400)</f>
        <v>0</v>
      </c>
      <c r="W399" s="71">
        <f>SUM(W400:W400)</f>
        <v>0</v>
      </c>
      <c r="X399" s="71">
        <f>SUM(X400:X400)</f>
        <v>0</v>
      </c>
      <c r="Y399" s="71">
        <f>SUM(Y400:Y400)</f>
        <v>0</v>
      </c>
    </row>
    <row r="400" spans="1:25" ht="13.35" hidden="1" customHeight="1" outlineLevel="3">
      <c r="B400" s="28"/>
      <c r="C400" s="29"/>
      <c r="D400" s="33"/>
      <c r="E400" s="6"/>
      <c r="F400" s="33"/>
      <c r="G400" s="118" t="s">
        <v>766</v>
      </c>
      <c r="H400" s="33"/>
      <c r="I400" s="6"/>
      <c r="J400" s="33"/>
      <c r="K400" s="42" t="s">
        <v>688</v>
      </c>
      <c r="L400" s="42"/>
      <c r="M400" s="42"/>
      <c r="N400" s="42"/>
      <c r="O400" s="33"/>
      <c r="P400" s="6"/>
      <c r="Q400" s="33"/>
      <c r="R400" s="33"/>
      <c r="S400" s="33"/>
      <c r="T400" s="6"/>
      <c r="U400" s="33"/>
      <c r="V400" s="42"/>
      <c r="W400" s="42"/>
      <c r="X400" s="42"/>
      <c r="Y400" s="42"/>
    </row>
    <row r="401" spans="2:25" ht="3" hidden="1" customHeight="1" outlineLevel="2">
      <c r="S401" s="5"/>
      <c r="T401" s="26"/>
      <c r="U401" s="5"/>
    </row>
    <row r="402" spans="2:25" s="21" customFormat="1" hidden="1" outlineLevel="2" collapsed="1">
      <c r="B402" s="22" t="s">
        <v>648</v>
      </c>
      <c r="C402" s="22"/>
      <c r="D402" s="8"/>
      <c r="E402" s="90"/>
      <c r="F402" s="8"/>
      <c r="G402" s="124">
        <f>SUM(K402:N402)</f>
        <v>12</v>
      </c>
      <c r="H402" s="8"/>
      <c r="I402" s="90"/>
      <c r="J402" s="8"/>
      <c r="K402" s="71">
        <f>COUNTA(K403:K407)</f>
        <v>0</v>
      </c>
      <c r="L402" s="71">
        <f>COUNTA(L403:L407)</f>
        <v>3</v>
      </c>
      <c r="M402" s="71">
        <f>COUNTA(M403:M407)</f>
        <v>5</v>
      </c>
      <c r="N402" s="71">
        <f>COUNTA(N403:N407)</f>
        <v>4</v>
      </c>
      <c r="O402" s="8"/>
      <c r="P402" s="90"/>
      <c r="Q402" s="8"/>
      <c r="R402" s="23">
        <f>SUM(V402:Y402)</f>
        <v>0.15556230323526479</v>
      </c>
      <c r="S402" s="8"/>
      <c r="T402" s="90"/>
      <c r="U402" s="8"/>
      <c r="V402" s="71">
        <f>SUM(V403:V407)</f>
        <v>0</v>
      </c>
      <c r="W402" s="71">
        <f>SUM(W403:W407)</f>
        <v>7.2075381264796873E-2</v>
      </c>
      <c r="X402" s="71">
        <f>SUM(X403:X407)</f>
        <v>7.8241198920343563E-2</v>
      </c>
      <c r="Y402" s="71">
        <f>SUM(Y403:Y407)</f>
        <v>5.2457230501243689E-3</v>
      </c>
    </row>
    <row r="403" spans="2:25" ht="41.4" hidden="1" outlineLevel="3">
      <c r="B403" s="28"/>
      <c r="C403" s="29" t="s">
        <v>757</v>
      </c>
      <c r="D403" s="8"/>
      <c r="E403" s="90"/>
      <c r="F403" s="8"/>
      <c r="G403" s="118"/>
      <c r="H403" s="8"/>
      <c r="I403" s="90"/>
      <c r="J403" s="8"/>
      <c r="K403" s="144"/>
      <c r="L403" s="144" t="s">
        <v>1146</v>
      </c>
      <c r="M403" s="144" t="s">
        <v>1147</v>
      </c>
      <c r="N403" s="144" t="s">
        <v>1148</v>
      </c>
      <c r="O403" s="8"/>
      <c r="P403" s="90"/>
      <c r="Q403" s="8"/>
      <c r="R403" s="33"/>
      <c r="S403" s="8"/>
      <c r="T403" s="90"/>
      <c r="U403" s="8"/>
      <c r="V403" s="136"/>
      <c r="W403" s="136">
        <v>4.3245228758878124E-2</v>
      </c>
      <c r="X403" s="136">
        <v>1.7008956249999992E-2</v>
      </c>
      <c r="Y403" s="136">
        <v>1.2342877764998513E-3</v>
      </c>
    </row>
    <row r="404" spans="2:25" ht="41.4" hidden="1" outlineLevel="3">
      <c r="B404" s="28"/>
      <c r="C404" s="29" t="s">
        <v>757</v>
      </c>
      <c r="D404" s="8"/>
      <c r="E404" s="90"/>
      <c r="F404" s="8"/>
      <c r="G404" s="118"/>
      <c r="H404" s="8"/>
      <c r="I404" s="90"/>
      <c r="J404" s="8"/>
      <c r="K404" s="144"/>
      <c r="L404" s="144" t="s">
        <v>1149</v>
      </c>
      <c r="M404" s="144" t="s">
        <v>1150</v>
      </c>
      <c r="N404" s="144" t="s">
        <v>1151</v>
      </c>
      <c r="O404" s="8"/>
      <c r="P404" s="90"/>
      <c r="Q404" s="8"/>
      <c r="R404" s="33"/>
      <c r="S404" s="8"/>
      <c r="T404" s="90"/>
      <c r="U404" s="8"/>
      <c r="V404" s="136"/>
      <c r="W404" s="136">
        <v>1.4415076252959375E-2</v>
      </c>
      <c r="X404" s="136">
        <v>2.0410747499999989E-2</v>
      </c>
      <c r="Y404" s="136">
        <v>1.2342877764998513E-3</v>
      </c>
    </row>
    <row r="405" spans="2:25" ht="41.4" hidden="1" outlineLevel="3">
      <c r="B405" s="28"/>
      <c r="C405" s="29" t="s">
        <v>757</v>
      </c>
      <c r="D405" s="8"/>
      <c r="E405" s="90"/>
      <c r="F405" s="8"/>
      <c r="G405" s="118"/>
      <c r="H405" s="8"/>
      <c r="I405" s="90"/>
      <c r="J405" s="8"/>
      <c r="K405" s="145"/>
      <c r="L405" s="144" t="s">
        <v>1152</v>
      </c>
      <c r="M405" s="144" t="s">
        <v>1153</v>
      </c>
      <c r="N405" s="144" t="s">
        <v>1154</v>
      </c>
      <c r="O405" s="8"/>
      <c r="P405" s="90"/>
      <c r="Q405" s="8"/>
      <c r="R405" s="33"/>
      <c r="S405" s="8"/>
      <c r="T405" s="90"/>
      <c r="U405" s="8"/>
      <c r="V405" s="136"/>
      <c r="W405" s="136">
        <v>1.4415076252959375E-2</v>
      </c>
      <c r="X405" s="136">
        <v>2.0410747499999989E-2</v>
      </c>
      <c r="Y405" s="136">
        <v>6.1714388824992566E-4</v>
      </c>
    </row>
    <row r="406" spans="2:25" ht="41.4" hidden="1" outlineLevel="3">
      <c r="B406" s="28"/>
      <c r="C406" s="29" t="s">
        <v>757</v>
      </c>
      <c r="D406" s="8"/>
      <c r="E406" s="90"/>
      <c r="F406" s="8"/>
      <c r="G406" s="118"/>
      <c r="H406" s="8"/>
      <c r="I406" s="90"/>
      <c r="J406" s="8"/>
      <c r="K406" s="138"/>
      <c r="L406" s="138"/>
      <c r="M406" s="144" t="s">
        <v>768</v>
      </c>
      <c r="N406" s="144" t="s">
        <v>1155</v>
      </c>
      <c r="O406" s="8"/>
      <c r="P406" s="90"/>
      <c r="Q406" s="8"/>
      <c r="R406" s="33"/>
      <c r="S406" s="8"/>
      <c r="T406" s="90"/>
      <c r="U406" s="8"/>
      <c r="V406" s="136"/>
      <c r="W406" s="136"/>
      <c r="X406" s="136">
        <v>2.0410747499999989E-2</v>
      </c>
      <c r="Y406" s="136">
        <v>2.1600036088747403E-3</v>
      </c>
    </row>
    <row r="407" spans="2:25" ht="27.6" hidden="1" outlineLevel="3">
      <c r="B407" s="28"/>
      <c r="C407" s="29" t="s">
        <v>757</v>
      </c>
      <c r="D407" s="8"/>
      <c r="E407" s="90"/>
      <c r="F407" s="8"/>
      <c r="G407" s="118"/>
      <c r="H407" s="8"/>
      <c r="I407" s="90"/>
      <c r="J407" s="8"/>
      <c r="K407" s="138"/>
      <c r="L407" s="138"/>
      <c r="M407" s="144" t="s">
        <v>769</v>
      </c>
      <c r="N407" s="144"/>
      <c r="O407" s="8"/>
      <c r="P407" s="90"/>
      <c r="Q407" s="8"/>
      <c r="R407" s="33"/>
      <c r="S407" s="8"/>
      <c r="T407" s="90"/>
      <c r="U407" s="8"/>
      <c r="V407" s="136"/>
      <c r="W407" s="136"/>
      <c r="X407" s="136">
        <v>1.7034360118010938E-10</v>
      </c>
      <c r="Y407" s="136"/>
    </row>
    <row r="408" spans="2:25" ht="3" hidden="1" customHeight="1" outlineLevel="2">
      <c r="B408" s="28"/>
      <c r="C408" s="29"/>
      <c r="D408" s="8"/>
      <c r="E408" s="90"/>
      <c r="F408" s="8"/>
      <c r="G408" s="118"/>
      <c r="H408" s="8"/>
      <c r="I408" s="90"/>
      <c r="J408" s="8"/>
      <c r="O408" s="8"/>
      <c r="P408" s="90"/>
      <c r="Q408" s="8"/>
      <c r="R408" s="33"/>
      <c r="S408" s="8"/>
      <c r="T408" s="90"/>
      <c r="U408" s="8"/>
    </row>
    <row r="409" spans="2:25" s="21" customFormat="1" hidden="1" outlineLevel="2" collapsed="1">
      <c r="B409" s="22" t="s">
        <v>182</v>
      </c>
      <c r="C409" s="22"/>
      <c r="D409" s="8"/>
      <c r="E409" s="90"/>
      <c r="F409" s="8"/>
      <c r="G409" s="124">
        <f>SUM(K409:N409)</f>
        <v>10</v>
      </c>
      <c r="H409" s="8"/>
      <c r="I409" s="90"/>
      <c r="J409" s="8"/>
      <c r="K409" s="71">
        <f>COUNTA(K410:K412)</f>
        <v>2</v>
      </c>
      <c r="L409" s="71">
        <f>COUNTA(L410:L412)</f>
        <v>3</v>
      </c>
      <c r="M409" s="71">
        <f>COUNTA(M410:M412)</f>
        <v>2</v>
      </c>
      <c r="N409" s="71">
        <f>COUNTA(N410:N412)</f>
        <v>3</v>
      </c>
      <c r="O409" s="8"/>
      <c r="P409" s="90"/>
      <c r="Q409" s="8"/>
      <c r="R409" s="82">
        <f>SUM(V409:Y409)</f>
        <v>0.70480240454726018</v>
      </c>
      <c r="S409" s="8"/>
      <c r="T409" s="90"/>
      <c r="U409" s="8"/>
      <c r="V409" s="81">
        <f>SUM(V410:V412)</f>
        <v>0.13212344685342467</v>
      </c>
      <c r="W409" s="81">
        <f>SUM(W410:W412)</f>
        <v>0.23124077798439452</v>
      </c>
      <c r="X409" s="81">
        <f>SUM(X410:X412)</f>
        <v>0.14469917259520049</v>
      </c>
      <c r="Y409" s="81">
        <f>SUM(Y410:Y412)</f>
        <v>0.19673900711424055</v>
      </c>
    </row>
    <row r="410" spans="2:25" ht="27.6" hidden="1" outlineLevel="3">
      <c r="B410" s="28"/>
      <c r="C410" s="29"/>
      <c r="D410" s="8"/>
      <c r="E410" s="90"/>
      <c r="F410" s="8"/>
      <c r="G410" s="118" t="s">
        <v>766</v>
      </c>
      <c r="H410" s="8"/>
      <c r="I410" s="90"/>
      <c r="J410" s="8"/>
      <c r="K410" s="29" t="s">
        <v>33</v>
      </c>
      <c r="L410" s="29" t="s">
        <v>609</v>
      </c>
      <c r="M410" s="29" t="s">
        <v>44</v>
      </c>
      <c r="N410" s="29" t="s">
        <v>66</v>
      </c>
      <c r="O410" s="8"/>
      <c r="P410" s="90"/>
      <c r="Q410" s="8"/>
      <c r="R410" s="33" t="s">
        <v>766</v>
      </c>
      <c r="S410" s="8"/>
      <c r="T410" s="90"/>
      <c r="U410" s="8"/>
      <c r="V410" s="80">
        <v>6.6061723426712335E-2</v>
      </c>
      <c r="W410" s="80">
        <v>7.9883177849154469E-2</v>
      </c>
      <c r="X410" s="80">
        <v>0.10269917259520048</v>
      </c>
      <c r="Y410" s="80">
        <v>0.12323900711424056</v>
      </c>
    </row>
    <row r="411" spans="2:25" ht="27.6" hidden="1" outlineLevel="3">
      <c r="B411" s="28"/>
      <c r="C411" s="29"/>
      <c r="D411" s="8"/>
      <c r="E411" s="90"/>
      <c r="F411" s="8"/>
      <c r="G411" s="118" t="s">
        <v>766</v>
      </c>
      <c r="H411" s="8"/>
      <c r="I411" s="90"/>
      <c r="J411" s="8"/>
      <c r="K411" s="29" t="s">
        <v>1156</v>
      </c>
      <c r="L411" s="29" t="s">
        <v>610</v>
      </c>
      <c r="M411" s="143" t="s">
        <v>107</v>
      </c>
      <c r="N411" s="29" t="s">
        <v>106</v>
      </c>
      <c r="O411" s="8"/>
      <c r="P411" s="90"/>
      <c r="Q411" s="8"/>
      <c r="R411" s="33" t="s">
        <v>766</v>
      </c>
      <c r="S411" s="8"/>
      <c r="T411" s="90"/>
      <c r="U411" s="8"/>
      <c r="V411" s="80">
        <v>6.6061723426712335E-2</v>
      </c>
      <c r="W411" s="80">
        <v>7.5678800067620025E-2</v>
      </c>
      <c r="X411" s="93">
        <v>4.2000000000000003E-2</v>
      </c>
      <c r="Y411" s="80">
        <v>2.1000000000000001E-2</v>
      </c>
    </row>
    <row r="412" spans="2:25" ht="27.6" hidden="1" outlineLevel="3">
      <c r="B412" s="28"/>
      <c r="C412" s="29"/>
      <c r="D412" s="8"/>
      <c r="E412" s="90"/>
      <c r="F412" s="8"/>
      <c r="G412" s="118" t="s">
        <v>766</v>
      </c>
      <c r="H412" s="8"/>
      <c r="I412" s="90"/>
      <c r="J412" s="8"/>
      <c r="K412" s="29"/>
      <c r="L412" s="29" t="s">
        <v>1112</v>
      </c>
      <c r="M412" s="141"/>
      <c r="N412" s="143" t="s">
        <v>595</v>
      </c>
      <c r="O412" s="8"/>
      <c r="P412" s="90"/>
      <c r="Q412" s="8"/>
      <c r="R412" s="33" t="s">
        <v>766</v>
      </c>
      <c r="S412" s="8"/>
      <c r="T412" s="90"/>
      <c r="U412" s="8"/>
      <c r="V412" s="80"/>
      <c r="W412" s="80">
        <v>7.5678800067620025E-2</v>
      </c>
      <c r="X412" s="95"/>
      <c r="Y412" s="93">
        <v>5.2499999999999998E-2</v>
      </c>
    </row>
    <row r="413" spans="2:25" ht="3" hidden="1" customHeight="1" outlineLevel="2">
      <c r="B413" s="28"/>
      <c r="C413" s="29"/>
      <c r="D413" s="8"/>
      <c r="E413" s="90"/>
      <c r="F413" s="8"/>
      <c r="G413" s="118"/>
      <c r="H413" s="8"/>
      <c r="I413" s="90"/>
      <c r="J413" s="8"/>
      <c r="K413" s="75"/>
      <c r="O413" s="8"/>
      <c r="P413" s="90"/>
      <c r="Q413" s="8"/>
      <c r="R413" s="33"/>
      <c r="S413" s="8"/>
      <c r="T413" s="90"/>
      <c r="U413" s="8"/>
      <c r="V413" s="75"/>
    </row>
    <row r="414" spans="2:25" s="21" customFormat="1" hidden="1" outlineLevel="2" collapsed="1">
      <c r="B414" s="22" t="s">
        <v>620</v>
      </c>
      <c r="C414" s="22"/>
      <c r="D414" s="8"/>
      <c r="E414" s="90"/>
      <c r="F414" s="8"/>
      <c r="G414" s="124">
        <f>SUM(K414:N414)</f>
        <v>3</v>
      </c>
      <c r="H414" s="8"/>
      <c r="I414" s="90"/>
      <c r="J414" s="8"/>
      <c r="K414" s="71">
        <f>COUNTA(K415:K416)</f>
        <v>1</v>
      </c>
      <c r="L414" s="71">
        <f>COUNTA(L415:L416)</f>
        <v>2</v>
      </c>
      <c r="M414" s="71">
        <f>COUNTA(M415:M416)</f>
        <v>0</v>
      </c>
      <c r="N414" s="71">
        <f>COUNTA(N415:N416)</f>
        <v>0</v>
      </c>
      <c r="O414" s="8"/>
      <c r="P414" s="90"/>
      <c r="Q414" s="8"/>
      <c r="R414" s="23">
        <f>SUM(V414:Y414)</f>
        <v>0.16999999999999998</v>
      </c>
      <c r="S414" s="8"/>
      <c r="T414" s="90"/>
      <c r="U414" s="8"/>
      <c r="V414" s="71">
        <f>SUM(V415:V416)</f>
        <v>0.06</v>
      </c>
      <c r="W414" s="71">
        <f>SUM(W415:W416)</f>
        <v>0.11</v>
      </c>
      <c r="X414" s="71">
        <f>SUM(X415:X416)</f>
        <v>0</v>
      </c>
      <c r="Y414" s="71">
        <f>SUM(Y415:Y416)</f>
        <v>0</v>
      </c>
    </row>
    <row r="415" spans="2:25" ht="27.6" hidden="1" outlineLevel="3">
      <c r="B415" s="28"/>
      <c r="C415" s="29"/>
      <c r="D415" s="8"/>
      <c r="E415" s="90"/>
      <c r="F415" s="8"/>
      <c r="G415" s="118" t="s">
        <v>766</v>
      </c>
      <c r="H415" s="8"/>
      <c r="I415" s="90"/>
      <c r="J415" s="8"/>
      <c r="K415" s="29" t="s">
        <v>107</v>
      </c>
      <c r="L415" s="29" t="s">
        <v>106</v>
      </c>
      <c r="M415" s="141"/>
      <c r="N415" s="141"/>
      <c r="O415" s="8"/>
      <c r="P415" s="90"/>
      <c r="Q415" s="8"/>
      <c r="R415" s="33" t="s">
        <v>766</v>
      </c>
      <c r="S415" s="8"/>
      <c r="T415" s="90"/>
      <c r="U415" s="8"/>
      <c r="V415" s="35">
        <v>0.06</v>
      </c>
      <c r="W415" s="35">
        <v>0.03</v>
      </c>
    </row>
    <row r="416" spans="2:25" ht="27.6" hidden="1" outlineLevel="3">
      <c r="B416" s="28"/>
      <c r="C416" s="29"/>
      <c r="D416" s="8"/>
      <c r="E416" s="90"/>
      <c r="F416" s="8"/>
      <c r="G416" s="118"/>
      <c r="H416" s="8"/>
      <c r="I416" s="90"/>
      <c r="J416" s="8"/>
      <c r="K416" s="92"/>
      <c r="L416" s="29" t="s">
        <v>108</v>
      </c>
      <c r="M416" s="141"/>
      <c r="N416" s="141"/>
      <c r="O416" s="8"/>
      <c r="P416" s="90"/>
      <c r="Q416" s="8"/>
      <c r="R416" s="33" t="s">
        <v>766</v>
      </c>
      <c r="S416" s="8"/>
      <c r="T416" s="90"/>
      <c r="U416" s="8"/>
      <c r="V416" s="74"/>
      <c r="W416" s="35">
        <v>0.08</v>
      </c>
    </row>
    <row r="417" spans="2:25" ht="3" hidden="1" customHeight="1" outlineLevel="2">
      <c r="S417" s="5"/>
      <c r="T417" s="26"/>
      <c r="U417" s="5"/>
    </row>
    <row r="418" spans="2:25" s="21" customFormat="1" hidden="1" outlineLevel="2" collapsed="1">
      <c r="B418" s="22" t="s">
        <v>571</v>
      </c>
      <c r="C418" s="22"/>
      <c r="D418" s="8"/>
      <c r="E418" s="90"/>
      <c r="F418" s="8"/>
      <c r="G418" s="124">
        <f>SUM(K418:N418)</f>
        <v>5</v>
      </c>
      <c r="H418" s="8"/>
      <c r="I418" s="90"/>
      <c r="J418" s="8"/>
      <c r="K418" s="71">
        <f>COUNTA(K419:K420)</f>
        <v>0</v>
      </c>
      <c r="L418" s="71">
        <f>COUNTA(L419:L420)</f>
        <v>2</v>
      </c>
      <c r="M418" s="71">
        <f>COUNTA(M419:M420)</f>
        <v>2</v>
      </c>
      <c r="N418" s="71">
        <f>COUNTA(N419:N420)</f>
        <v>1</v>
      </c>
      <c r="O418" s="8"/>
      <c r="P418" s="90"/>
      <c r="Q418" s="8"/>
      <c r="R418" s="82">
        <f>SUM(V418:Y418)</f>
        <v>3.1693200000000004</v>
      </c>
      <c r="S418" s="8"/>
      <c r="T418" s="90"/>
      <c r="U418" s="8"/>
      <c r="V418" s="81">
        <f>SUM(V419:V420)</f>
        <v>0</v>
      </c>
      <c r="W418" s="81">
        <f>SUM(W419:W420)</f>
        <v>1.9808250000000003</v>
      </c>
      <c r="X418" s="81">
        <f>SUM(X419:X420)</f>
        <v>0.79233000000000009</v>
      </c>
      <c r="Y418" s="81">
        <f>SUM(Y419:Y420)</f>
        <v>0.39616500000000004</v>
      </c>
    </row>
    <row r="419" spans="2:25" hidden="1" outlineLevel="3">
      <c r="B419" s="28"/>
      <c r="C419" s="29"/>
      <c r="D419" s="8"/>
      <c r="E419" s="90"/>
      <c r="F419" s="8"/>
      <c r="G419" s="118" t="s">
        <v>766</v>
      </c>
      <c r="H419" s="8"/>
      <c r="I419" s="90"/>
      <c r="J419" s="8"/>
      <c r="L419" s="99" t="s">
        <v>31</v>
      </c>
      <c r="M419" s="42" t="s">
        <v>632</v>
      </c>
      <c r="N419" s="42" t="s">
        <v>285</v>
      </c>
      <c r="O419" s="8"/>
      <c r="P419" s="90"/>
      <c r="Q419" s="8"/>
      <c r="R419" s="33" t="s">
        <v>766</v>
      </c>
      <c r="S419" s="8"/>
      <c r="T419" s="90"/>
      <c r="U419" s="8"/>
      <c r="V419" s="98"/>
      <c r="W419" s="100">
        <v>0.79233000000000009</v>
      </c>
      <c r="X419" s="96">
        <v>0.39616500000000004</v>
      </c>
      <c r="Y419" s="96">
        <v>0.39616500000000004</v>
      </c>
    </row>
    <row r="420" spans="2:25" ht="27.6" hidden="1" outlineLevel="3">
      <c r="B420" s="28"/>
      <c r="C420" s="29"/>
      <c r="D420" s="8"/>
      <c r="E420" s="90"/>
      <c r="F420" s="8"/>
      <c r="G420" s="118"/>
      <c r="H420" s="8"/>
      <c r="I420" s="90"/>
      <c r="J420" s="8"/>
      <c r="L420" s="42" t="s">
        <v>32</v>
      </c>
      <c r="M420" s="42" t="s">
        <v>170</v>
      </c>
      <c r="N420" s="73"/>
      <c r="O420" s="8"/>
      <c r="P420" s="90"/>
      <c r="Q420" s="8"/>
      <c r="R420" s="33"/>
      <c r="S420" s="8"/>
      <c r="T420" s="90"/>
      <c r="U420" s="8"/>
      <c r="V420" s="98"/>
      <c r="W420" s="96">
        <v>1.1884950000000001</v>
      </c>
      <c r="X420" s="96">
        <v>0.39616500000000004</v>
      </c>
      <c r="Y420" s="96"/>
    </row>
    <row r="421" spans="2:25" ht="3" hidden="1" customHeight="1" outlineLevel="2">
      <c r="B421" s="28"/>
      <c r="C421" s="29"/>
      <c r="D421" s="8"/>
      <c r="E421" s="90"/>
      <c r="F421" s="8"/>
      <c r="G421" s="118"/>
      <c r="H421" s="8"/>
      <c r="I421" s="90"/>
      <c r="J421" s="8"/>
      <c r="K421" s="75"/>
      <c r="L421" s="42"/>
      <c r="M421" s="42"/>
      <c r="N421" s="42"/>
      <c r="O421" s="8"/>
      <c r="P421" s="90"/>
      <c r="Q421" s="8"/>
      <c r="R421" s="33"/>
      <c r="S421" s="8"/>
      <c r="T421" s="90"/>
      <c r="U421" s="8"/>
      <c r="V421" s="75"/>
      <c r="W421" s="42"/>
      <c r="X421" s="42"/>
      <c r="Y421" s="42"/>
    </row>
    <row r="422" spans="2:25" s="21" customFormat="1" hidden="1" outlineLevel="2" collapsed="1">
      <c r="B422" s="22" t="s">
        <v>795</v>
      </c>
      <c r="C422" s="22"/>
      <c r="D422" s="8"/>
      <c r="E422" s="90"/>
      <c r="F422" s="8"/>
      <c r="G422" s="124">
        <f>SUM(K422:N422)</f>
        <v>4</v>
      </c>
      <c r="H422" s="8"/>
      <c r="I422" s="90"/>
      <c r="J422" s="8"/>
      <c r="K422" s="71">
        <f>COUNTA(K423:K424)</f>
        <v>0</v>
      </c>
      <c r="L422" s="71">
        <f>COUNTA(L423:L424)</f>
        <v>2</v>
      </c>
      <c r="M422" s="71">
        <f>COUNTA(M423:M424)</f>
        <v>1</v>
      </c>
      <c r="N422" s="71">
        <f>COUNTA(N423:N424)</f>
        <v>1</v>
      </c>
      <c r="O422" s="8"/>
      <c r="P422" s="90"/>
      <c r="Q422" s="8"/>
      <c r="R422" s="82">
        <f>SUM(V422:Y422)</f>
        <v>0.36036000000000001</v>
      </c>
      <c r="S422" s="8"/>
      <c r="T422" s="90"/>
      <c r="U422" s="8"/>
      <c r="V422" s="81">
        <f>SUM(V423:V424)</f>
        <v>0</v>
      </c>
      <c r="W422" s="81">
        <f>SUM(W423:W424)</f>
        <v>0.18018000000000001</v>
      </c>
      <c r="X422" s="81">
        <f>SUM(X423:X424)</f>
        <v>0.13513500000000001</v>
      </c>
      <c r="Y422" s="81">
        <f>SUM(Y423:Y424)</f>
        <v>4.5045000000000002E-2</v>
      </c>
    </row>
    <row r="423" spans="2:25" ht="27.6" hidden="1" outlineLevel="3">
      <c r="B423" s="28"/>
      <c r="C423" s="29"/>
      <c r="D423" s="8"/>
      <c r="E423" s="90"/>
      <c r="F423" s="8"/>
      <c r="G423" s="118" t="s">
        <v>766</v>
      </c>
      <c r="H423" s="8"/>
      <c r="I423" s="90"/>
      <c r="J423" s="8"/>
      <c r="K423" s="25"/>
      <c r="L423" s="142" t="s">
        <v>31</v>
      </c>
      <c r="M423" s="139" t="s">
        <v>632</v>
      </c>
      <c r="N423" s="139" t="s">
        <v>170</v>
      </c>
      <c r="O423" s="8"/>
      <c r="P423" s="90"/>
      <c r="Q423" s="8"/>
      <c r="R423" s="33" t="s">
        <v>766</v>
      </c>
      <c r="S423" s="8"/>
      <c r="T423" s="90"/>
      <c r="U423" s="8"/>
      <c r="V423" s="98"/>
      <c r="W423" s="100">
        <v>0.13513500000000001</v>
      </c>
      <c r="X423" s="96">
        <v>0.13513500000000001</v>
      </c>
      <c r="Y423" s="96">
        <v>4.5045000000000002E-2</v>
      </c>
    </row>
    <row r="424" spans="2:25" hidden="1" outlineLevel="3">
      <c r="B424" s="28"/>
      <c r="C424" s="29"/>
      <c r="D424" s="8"/>
      <c r="E424" s="90"/>
      <c r="F424" s="8"/>
      <c r="G424" s="118" t="s">
        <v>766</v>
      </c>
      <c r="H424" s="8"/>
      <c r="I424" s="90"/>
      <c r="J424" s="8"/>
      <c r="K424" s="25"/>
      <c r="L424" s="139" t="s">
        <v>32</v>
      </c>
      <c r="M424" s="139"/>
      <c r="N424" s="25"/>
      <c r="O424" s="8"/>
      <c r="P424" s="90"/>
      <c r="Q424" s="8"/>
      <c r="R424" s="33" t="s">
        <v>766</v>
      </c>
      <c r="S424" s="8"/>
      <c r="T424" s="90"/>
      <c r="U424" s="8"/>
      <c r="V424" s="98"/>
      <c r="W424" s="96">
        <v>4.5045000000000002E-2</v>
      </c>
      <c r="X424" s="96"/>
      <c r="Y424" s="108"/>
    </row>
    <row r="425" spans="2:25" ht="3" hidden="1" customHeight="1" outlineLevel="2">
      <c r="B425" s="28"/>
      <c r="C425" s="29"/>
      <c r="D425" s="8"/>
      <c r="E425" s="90"/>
      <c r="F425" s="8"/>
      <c r="G425" s="118"/>
      <c r="H425" s="8"/>
      <c r="I425" s="90"/>
      <c r="J425" s="8"/>
      <c r="K425" s="75"/>
      <c r="L425" s="42"/>
      <c r="M425" s="42"/>
      <c r="O425" s="8"/>
      <c r="P425" s="90"/>
      <c r="Q425" s="8"/>
      <c r="R425" s="33"/>
      <c r="S425" s="8"/>
      <c r="T425" s="90"/>
      <c r="U425" s="8"/>
      <c r="V425" s="75"/>
      <c r="W425" s="42"/>
      <c r="X425" s="42"/>
    </row>
    <row r="426" spans="2:25" s="21" customFormat="1" hidden="1" outlineLevel="2" collapsed="1">
      <c r="B426" s="22" t="s">
        <v>273</v>
      </c>
      <c r="C426" s="22"/>
      <c r="D426" s="8"/>
      <c r="E426" s="90"/>
      <c r="F426" s="8"/>
      <c r="G426" s="124">
        <f>SUM(K426:N426)</f>
        <v>8</v>
      </c>
      <c r="H426" s="8"/>
      <c r="I426" s="90"/>
      <c r="J426" s="8"/>
      <c r="K426" s="71">
        <f>COUNTA(K427:K430)</f>
        <v>4</v>
      </c>
      <c r="L426" s="71">
        <f>COUNTA(L427:L430)</f>
        <v>2</v>
      </c>
      <c r="M426" s="71">
        <f>COUNTA(M427:M430)</f>
        <v>0</v>
      </c>
      <c r="N426" s="71">
        <f>COUNTA(N427:N430)</f>
        <v>2</v>
      </c>
      <c r="O426" s="8"/>
      <c r="P426" s="90"/>
      <c r="Q426" s="8"/>
      <c r="R426" s="82">
        <f>SUM(V426:Y426)</f>
        <v>0.60680105319236921</v>
      </c>
      <c r="S426" s="8"/>
      <c r="T426" s="90"/>
      <c r="U426" s="8"/>
      <c r="V426" s="81">
        <f>SUM(V427:V430)</f>
        <v>0.31800215619973726</v>
      </c>
      <c r="W426" s="81">
        <f>SUM(W427:W430)</f>
        <v>0.19144517549263196</v>
      </c>
      <c r="X426" s="81">
        <f>SUM(X427:X430)</f>
        <v>0</v>
      </c>
      <c r="Y426" s="81">
        <f>SUM(Y427:Y430)</f>
        <v>9.7353721500000018E-2</v>
      </c>
    </row>
    <row r="427" spans="2:25" ht="27.6" hidden="1" outlineLevel="3">
      <c r="B427" s="28"/>
      <c r="C427" s="29"/>
      <c r="D427" s="8"/>
      <c r="E427" s="90"/>
      <c r="F427" s="8"/>
      <c r="G427" s="118" t="s">
        <v>766</v>
      </c>
      <c r="H427" s="8"/>
      <c r="I427" s="90"/>
      <c r="J427" s="8"/>
      <c r="K427" s="99" t="s">
        <v>31</v>
      </c>
      <c r="L427" s="139" t="s">
        <v>632</v>
      </c>
      <c r="M427" s="92"/>
      <c r="N427" s="40" t="s">
        <v>106</v>
      </c>
      <c r="O427" s="8"/>
      <c r="P427" s="90"/>
      <c r="Q427" s="8"/>
      <c r="R427" s="33" t="s">
        <v>766</v>
      </c>
      <c r="S427" s="8"/>
      <c r="T427" s="90"/>
      <c r="U427" s="8"/>
      <c r="V427" s="100">
        <v>9.0857758914210648E-2</v>
      </c>
      <c r="W427" s="96">
        <v>4.5428879457105324E-2</v>
      </c>
      <c r="X427" s="108"/>
      <c r="Y427" s="111">
        <v>3.2451240500000006E-2</v>
      </c>
    </row>
    <row r="428" spans="2:25" ht="27.6" hidden="1" outlineLevel="3">
      <c r="B428" s="28"/>
      <c r="C428" s="29"/>
      <c r="D428" s="8"/>
      <c r="E428" s="90"/>
      <c r="F428" s="8"/>
      <c r="G428" s="118" t="s">
        <v>766</v>
      </c>
      <c r="H428" s="8"/>
      <c r="I428" s="90"/>
      <c r="J428" s="8"/>
      <c r="K428" s="139" t="s">
        <v>32</v>
      </c>
      <c r="L428" s="40" t="s">
        <v>578</v>
      </c>
      <c r="M428" s="141"/>
      <c r="N428" s="40" t="s">
        <v>107</v>
      </c>
      <c r="O428" s="8"/>
      <c r="P428" s="90"/>
      <c r="Q428" s="8"/>
      <c r="R428" s="33" t="s">
        <v>766</v>
      </c>
      <c r="S428" s="8"/>
      <c r="T428" s="90"/>
      <c r="U428" s="8"/>
      <c r="V428" s="96">
        <v>0.13628663837131597</v>
      </c>
      <c r="W428" s="111">
        <v>0.14601629603552663</v>
      </c>
      <c r="X428" s="98"/>
      <c r="Y428" s="111">
        <v>6.4902481000000012E-2</v>
      </c>
    </row>
    <row r="429" spans="2:25" hidden="1" outlineLevel="3">
      <c r="B429" s="28"/>
      <c r="C429" s="29"/>
      <c r="D429" s="8"/>
      <c r="E429" s="90"/>
      <c r="F429" s="8"/>
      <c r="G429" s="118" t="s">
        <v>766</v>
      </c>
      <c r="H429" s="8"/>
      <c r="I429" s="90"/>
      <c r="J429" s="8"/>
      <c r="K429" s="139" t="s">
        <v>285</v>
      </c>
      <c r="L429" s="139"/>
      <c r="M429" s="141"/>
      <c r="N429" s="40"/>
      <c r="O429" s="8"/>
      <c r="P429" s="90"/>
      <c r="Q429" s="8"/>
      <c r="R429" s="33" t="s">
        <v>766</v>
      </c>
      <c r="S429" s="8"/>
      <c r="T429" s="90"/>
      <c r="U429" s="8"/>
      <c r="V429" s="96">
        <v>4.5428879457105324E-2</v>
      </c>
      <c r="W429" s="96"/>
      <c r="X429" s="98"/>
      <c r="Y429" s="111"/>
    </row>
    <row r="430" spans="2:25" ht="27.6" hidden="1" outlineLevel="3">
      <c r="B430" s="28"/>
      <c r="C430" s="29"/>
      <c r="D430" s="8"/>
      <c r="E430" s="90"/>
      <c r="F430" s="8"/>
      <c r="G430" s="118" t="s">
        <v>766</v>
      </c>
      <c r="H430" s="8"/>
      <c r="I430" s="90"/>
      <c r="J430" s="8"/>
      <c r="K430" s="139" t="s">
        <v>170</v>
      </c>
      <c r="L430" s="92"/>
      <c r="M430" s="141"/>
      <c r="N430" s="141"/>
      <c r="O430" s="8"/>
      <c r="P430" s="90"/>
      <c r="Q430" s="8"/>
      <c r="R430" s="33" t="s">
        <v>766</v>
      </c>
      <c r="S430" s="8"/>
      <c r="T430" s="90"/>
      <c r="U430" s="8"/>
      <c r="V430" s="96">
        <v>4.5428879457105324E-2</v>
      </c>
      <c r="W430" s="108"/>
      <c r="X430" s="98"/>
      <c r="Y430" s="98"/>
    </row>
    <row r="431" spans="2:25" ht="3" hidden="1" customHeight="1" outlineLevel="2">
      <c r="B431" s="28"/>
      <c r="C431" s="29"/>
      <c r="D431" s="8"/>
      <c r="E431" s="90"/>
      <c r="F431" s="8"/>
      <c r="G431" s="118"/>
      <c r="H431" s="8"/>
      <c r="I431" s="90"/>
      <c r="J431" s="8"/>
      <c r="K431" s="75"/>
      <c r="L431" s="42"/>
      <c r="M431" s="42"/>
      <c r="N431" s="42"/>
      <c r="O431" s="8"/>
      <c r="P431" s="90"/>
      <c r="Q431" s="8"/>
      <c r="R431" s="33"/>
      <c r="S431" s="8"/>
      <c r="T431" s="90"/>
      <c r="U431" s="8"/>
      <c r="V431" s="75"/>
      <c r="W431" s="42"/>
      <c r="X431" s="42"/>
      <c r="Y431" s="42"/>
    </row>
    <row r="432" spans="2:25" s="21" customFormat="1" hidden="1" outlineLevel="2" collapsed="1">
      <c r="B432" s="22" t="s">
        <v>1004</v>
      </c>
      <c r="C432" s="22"/>
      <c r="D432" s="8"/>
      <c r="E432" s="90"/>
      <c r="F432" s="8"/>
      <c r="G432" s="124">
        <f>SUM(K432:N432)</f>
        <v>5</v>
      </c>
      <c r="H432" s="8"/>
      <c r="I432" s="90"/>
      <c r="J432" s="8"/>
      <c r="K432" s="71">
        <f>COUNTA(K433:K434)</f>
        <v>0</v>
      </c>
      <c r="L432" s="71">
        <f>COUNTA(L433:L434)</f>
        <v>2</v>
      </c>
      <c r="M432" s="71">
        <f>COUNTA(M433:M434)</f>
        <v>2</v>
      </c>
      <c r="N432" s="71">
        <f>COUNTA(N433:N434)</f>
        <v>1</v>
      </c>
      <c r="O432" s="8"/>
      <c r="P432" s="90"/>
      <c r="Q432" s="8"/>
      <c r="R432" s="82">
        <f>SUM(V432:Y432)</f>
        <v>0.53988000000000003</v>
      </c>
      <c r="S432" s="8"/>
      <c r="T432" s="90"/>
      <c r="U432" s="8"/>
      <c r="V432" s="81">
        <f>SUM(V433:V434)</f>
        <v>0</v>
      </c>
      <c r="W432" s="81">
        <f>SUM(W433:W434)</f>
        <v>0.33742499999999997</v>
      </c>
      <c r="X432" s="81">
        <f>SUM(X433:X434)</f>
        <v>0.13497000000000001</v>
      </c>
      <c r="Y432" s="81">
        <f>SUM(Y433:Y434)</f>
        <v>6.7485000000000003E-2</v>
      </c>
    </row>
    <row r="433" spans="2:25" ht="27.6" hidden="1" outlineLevel="3">
      <c r="B433" s="28"/>
      <c r="C433" s="29"/>
      <c r="D433" s="8"/>
      <c r="E433" s="90"/>
      <c r="F433" s="8"/>
      <c r="G433" s="118" t="s">
        <v>766</v>
      </c>
      <c r="H433" s="8"/>
      <c r="I433" s="90"/>
      <c r="J433" s="8"/>
      <c r="K433" s="35"/>
      <c r="L433" s="99" t="s">
        <v>31</v>
      </c>
      <c r="M433" s="42" t="s">
        <v>170</v>
      </c>
      <c r="N433" s="42" t="s">
        <v>632</v>
      </c>
      <c r="O433" s="8"/>
      <c r="P433" s="90"/>
      <c r="Q433" s="8"/>
      <c r="R433" s="33" t="s">
        <v>766</v>
      </c>
      <c r="S433" s="8"/>
      <c r="T433" s="90"/>
      <c r="U433" s="8"/>
      <c r="V433" s="102"/>
      <c r="W433" s="100">
        <v>0.13497000000000001</v>
      </c>
      <c r="X433" s="96">
        <v>6.7485000000000003E-2</v>
      </c>
      <c r="Y433" s="96">
        <v>6.7485000000000003E-2</v>
      </c>
    </row>
    <row r="434" spans="2:25" hidden="1" outlineLevel="3">
      <c r="B434" s="28"/>
      <c r="C434" s="29"/>
      <c r="D434" s="8"/>
      <c r="E434" s="90"/>
      <c r="F434" s="8"/>
      <c r="G434" s="118" t="s">
        <v>766</v>
      </c>
      <c r="H434" s="8"/>
      <c r="I434" s="90"/>
      <c r="J434" s="8"/>
      <c r="K434" s="35"/>
      <c r="L434" s="42" t="s">
        <v>32</v>
      </c>
      <c r="M434" s="42" t="s">
        <v>285</v>
      </c>
      <c r="N434" s="3"/>
      <c r="O434" s="8"/>
      <c r="P434" s="90"/>
      <c r="Q434" s="8"/>
      <c r="R434" s="33" t="s">
        <v>766</v>
      </c>
      <c r="S434" s="8"/>
      <c r="T434" s="90"/>
      <c r="U434" s="8"/>
      <c r="V434" s="102"/>
      <c r="W434" s="96">
        <v>0.20245499999999997</v>
      </c>
      <c r="X434" s="96">
        <v>6.7485000000000003E-2</v>
      </c>
      <c r="Y434" s="97"/>
    </row>
    <row r="435" spans="2:25" ht="3" hidden="1" customHeight="1" outlineLevel="2">
      <c r="B435" s="28"/>
      <c r="C435" s="29"/>
      <c r="D435" s="8"/>
      <c r="E435" s="90"/>
      <c r="F435" s="8"/>
      <c r="G435" s="118"/>
      <c r="H435" s="8"/>
      <c r="I435" s="90"/>
      <c r="J435" s="8"/>
      <c r="K435" s="75"/>
      <c r="L435" s="42"/>
      <c r="M435" s="42"/>
      <c r="N435" s="42"/>
      <c r="O435" s="8"/>
      <c r="P435" s="90"/>
      <c r="Q435" s="8"/>
      <c r="R435" s="33"/>
      <c r="S435" s="8"/>
      <c r="T435" s="90"/>
      <c r="U435" s="8"/>
      <c r="V435" s="75"/>
      <c r="W435" s="42"/>
      <c r="X435" s="42"/>
      <c r="Y435" s="42"/>
    </row>
    <row r="436" spans="2:25" s="21" customFormat="1" hidden="1" outlineLevel="2" collapsed="1">
      <c r="B436" s="22" t="s">
        <v>622</v>
      </c>
      <c r="C436" s="22"/>
      <c r="D436" s="8"/>
      <c r="E436" s="90"/>
      <c r="F436" s="8"/>
      <c r="G436" s="124">
        <f>SUM(K436:N436)</f>
        <v>5</v>
      </c>
      <c r="H436" s="8"/>
      <c r="I436" s="90"/>
      <c r="J436" s="8"/>
      <c r="K436" s="71">
        <f>COUNTA(K437:K438)</f>
        <v>0</v>
      </c>
      <c r="L436" s="71">
        <f>COUNTA(L437:L438)</f>
        <v>2</v>
      </c>
      <c r="M436" s="71">
        <f>COUNTA(M437:M438)</f>
        <v>2</v>
      </c>
      <c r="N436" s="71">
        <f>COUNTA(N437:N438)</f>
        <v>1</v>
      </c>
      <c r="O436" s="8"/>
      <c r="P436" s="90"/>
      <c r="Q436" s="8"/>
      <c r="R436" s="82">
        <f>SUM(V436:Y436)</f>
        <v>0.41052</v>
      </c>
      <c r="S436" s="8"/>
      <c r="T436" s="90"/>
      <c r="U436" s="8"/>
      <c r="V436" s="81">
        <f>SUM(V437:V439)</f>
        <v>0</v>
      </c>
      <c r="W436" s="81">
        <f>SUM(W437:W439)</f>
        <v>0.256575</v>
      </c>
      <c r="X436" s="81">
        <f>SUM(X437:X439)</f>
        <v>0.10263</v>
      </c>
      <c r="Y436" s="81">
        <f>SUM(Y437:Y439)</f>
        <v>5.1315E-2</v>
      </c>
    </row>
    <row r="437" spans="2:25" ht="27.6" hidden="1" outlineLevel="3">
      <c r="B437" s="28"/>
      <c r="C437" s="29"/>
      <c r="D437" s="8"/>
      <c r="E437" s="90"/>
      <c r="F437" s="8"/>
      <c r="G437" s="118" t="s">
        <v>766</v>
      </c>
      <c r="H437" s="8"/>
      <c r="I437" s="90"/>
      <c r="J437" s="8"/>
      <c r="K437" s="35"/>
      <c r="L437" s="99" t="s">
        <v>31</v>
      </c>
      <c r="M437" s="42" t="s">
        <v>632</v>
      </c>
      <c r="N437" s="42" t="s">
        <v>170</v>
      </c>
      <c r="O437" s="8"/>
      <c r="P437" s="90"/>
      <c r="Q437" s="8"/>
      <c r="R437" s="33" t="s">
        <v>766</v>
      </c>
      <c r="S437" s="8"/>
      <c r="T437" s="90"/>
      <c r="U437" s="8"/>
      <c r="V437" s="102"/>
      <c r="W437" s="100">
        <v>0.10263</v>
      </c>
      <c r="X437" s="96">
        <v>5.1315E-2</v>
      </c>
      <c r="Y437" s="96">
        <v>5.1315E-2</v>
      </c>
    </row>
    <row r="438" spans="2:25" hidden="1" outlineLevel="3">
      <c r="B438" s="28"/>
      <c r="C438" s="29"/>
      <c r="D438" s="8"/>
      <c r="E438" s="90"/>
      <c r="F438" s="8"/>
      <c r="G438" s="118" t="s">
        <v>766</v>
      </c>
      <c r="H438" s="8"/>
      <c r="I438" s="90"/>
      <c r="J438" s="8"/>
      <c r="K438" s="35"/>
      <c r="L438" s="42" t="s">
        <v>32</v>
      </c>
      <c r="M438" s="42" t="s">
        <v>285</v>
      </c>
      <c r="N438" s="3"/>
      <c r="O438" s="8"/>
      <c r="P438" s="90"/>
      <c r="Q438" s="8"/>
      <c r="R438" s="33" t="s">
        <v>766</v>
      </c>
      <c r="S438" s="8"/>
      <c r="T438" s="90"/>
      <c r="U438" s="8"/>
      <c r="V438" s="102"/>
      <c r="W438" s="96">
        <v>0.153945</v>
      </c>
      <c r="X438" s="96">
        <v>5.1315E-2</v>
      </c>
      <c r="Y438" s="97"/>
    </row>
    <row r="439" spans="2:25" ht="3" hidden="1" customHeight="1" outlineLevel="2">
      <c r="B439" s="28"/>
      <c r="C439" s="29"/>
      <c r="D439" s="8"/>
      <c r="E439" s="90"/>
      <c r="F439" s="8"/>
      <c r="G439" s="118"/>
      <c r="H439" s="8"/>
      <c r="I439" s="90"/>
      <c r="J439" s="8"/>
      <c r="K439" s="75"/>
      <c r="L439" s="42"/>
      <c r="M439" s="42"/>
      <c r="N439" s="42"/>
      <c r="O439" s="8"/>
      <c r="P439" s="90"/>
      <c r="Q439" s="8"/>
      <c r="R439" s="33"/>
      <c r="S439" s="8"/>
      <c r="T439" s="90"/>
      <c r="U439" s="8"/>
      <c r="V439" s="75"/>
      <c r="W439" s="42"/>
      <c r="X439" s="42"/>
      <c r="Y439" s="42"/>
    </row>
    <row r="440" spans="2:25" s="21" customFormat="1" hidden="1" outlineLevel="2" collapsed="1">
      <c r="B440" s="22" t="s">
        <v>265</v>
      </c>
      <c r="C440" s="22"/>
      <c r="D440" s="8"/>
      <c r="E440" s="90"/>
      <c r="F440" s="8"/>
      <c r="G440" s="124">
        <f>SUM(K440:N440)</f>
        <v>5</v>
      </c>
      <c r="H440" s="8"/>
      <c r="I440" s="90"/>
      <c r="J440" s="8"/>
      <c r="K440" s="71">
        <f>COUNTA(K441:K442)</f>
        <v>0</v>
      </c>
      <c r="L440" s="71">
        <f>COUNTA(L441:L442)</f>
        <v>2</v>
      </c>
      <c r="M440" s="71">
        <f>COUNTA(M441:M442)</f>
        <v>2</v>
      </c>
      <c r="N440" s="71">
        <f>COUNTA(N441:N442)</f>
        <v>1</v>
      </c>
      <c r="O440" s="8"/>
      <c r="P440" s="90"/>
      <c r="Q440" s="8"/>
      <c r="R440" s="82">
        <f>SUM(V440:Y440)</f>
        <v>0.12934679999999998</v>
      </c>
      <c r="S440" s="152"/>
      <c r="T440" s="154"/>
      <c r="U440" s="152"/>
      <c r="V440" s="81">
        <f>SUM(V441:V443)</f>
        <v>0</v>
      </c>
      <c r="W440" s="81">
        <f>SUM(W441:W443)</f>
        <v>8.084174999999999E-2</v>
      </c>
      <c r="X440" s="81">
        <f>SUM(X441:X443)</f>
        <v>3.2336699999999996E-2</v>
      </c>
      <c r="Y440" s="81">
        <f>SUM(Y441:Y443)</f>
        <v>1.6168349999999998E-2</v>
      </c>
    </row>
    <row r="441" spans="2:25" ht="27.6" hidden="1" outlineLevel="3">
      <c r="B441" s="28"/>
      <c r="C441" s="29"/>
      <c r="D441" s="8"/>
      <c r="E441" s="90"/>
      <c r="F441" s="8"/>
      <c r="G441" s="118" t="s">
        <v>766</v>
      </c>
      <c r="H441" s="8"/>
      <c r="I441" s="90"/>
      <c r="J441" s="8"/>
      <c r="K441" s="35"/>
      <c r="L441" s="99" t="s">
        <v>31</v>
      </c>
      <c r="M441" s="42" t="s">
        <v>632</v>
      </c>
      <c r="N441" s="42" t="s">
        <v>170</v>
      </c>
      <c r="O441" s="8"/>
      <c r="P441" s="90"/>
      <c r="Q441" s="8"/>
      <c r="R441" s="33" t="s">
        <v>766</v>
      </c>
      <c r="S441" s="8"/>
      <c r="T441" s="90"/>
      <c r="U441" s="8"/>
      <c r="V441" s="102"/>
      <c r="W441" s="100">
        <v>3.2336699999999996E-2</v>
      </c>
      <c r="X441" s="96">
        <v>1.6168349999999998E-2</v>
      </c>
      <c r="Y441" s="96">
        <v>1.6168349999999998E-2</v>
      </c>
    </row>
    <row r="442" spans="2:25" hidden="1" outlineLevel="3">
      <c r="B442" s="28"/>
      <c r="C442" s="29"/>
      <c r="D442" s="8"/>
      <c r="E442" s="90"/>
      <c r="F442" s="8"/>
      <c r="G442" s="118"/>
      <c r="H442" s="8"/>
      <c r="I442" s="90"/>
      <c r="J442" s="8"/>
      <c r="K442" s="35"/>
      <c r="L442" s="42" t="s">
        <v>32</v>
      </c>
      <c r="M442" s="42" t="s">
        <v>285</v>
      </c>
      <c r="N442" s="3"/>
      <c r="O442" s="8"/>
      <c r="P442" s="90"/>
      <c r="Q442" s="8"/>
      <c r="R442" s="33"/>
      <c r="S442" s="8"/>
      <c r="T442" s="90"/>
      <c r="U442" s="8"/>
      <c r="V442" s="102"/>
      <c r="W442" s="96">
        <v>4.8505049999999994E-2</v>
      </c>
      <c r="X442" s="96">
        <v>1.6168349999999998E-2</v>
      </c>
      <c r="Y442" s="97"/>
    </row>
    <row r="443" spans="2:25" ht="3" hidden="1" customHeight="1" outlineLevel="2">
      <c r="B443" s="28"/>
      <c r="C443" s="29"/>
      <c r="D443" s="8"/>
      <c r="E443" s="90"/>
      <c r="F443" s="8"/>
      <c r="G443" s="118"/>
      <c r="H443" s="8"/>
      <c r="I443" s="90"/>
      <c r="J443" s="8"/>
      <c r="K443" s="75"/>
      <c r="O443" s="8"/>
      <c r="P443" s="90"/>
      <c r="Q443" s="8"/>
      <c r="R443" s="33"/>
      <c r="S443" s="8"/>
      <c r="T443" s="90"/>
      <c r="U443" s="8"/>
      <c r="V443" s="75"/>
    </row>
    <row r="444" spans="2:25" s="21" customFormat="1" hidden="1" outlineLevel="2" collapsed="1">
      <c r="B444" s="22" t="s">
        <v>797</v>
      </c>
      <c r="C444" s="22"/>
      <c r="D444" s="8"/>
      <c r="E444" s="90"/>
      <c r="F444" s="8"/>
      <c r="G444" s="124">
        <f>SUM(K444:N444)</f>
        <v>4</v>
      </c>
      <c r="H444" s="8"/>
      <c r="I444" s="90"/>
      <c r="J444" s="8"/>
      <c r="K444" s="71">
        <f>COUNTA(K445:K446)</f>
        <v>0</v>
      </c>
      <c r="L444" s="71">
        <f>COUNTA(L445:L446)</f>
        <v>0</v>
      </c>
      <c r="M444" s="71">
        <f>COUNTA(M445:M446)</f>
        <v>2</v>
      </c>
      <c r="N444" s="71">
        <f>COUNTA(N445:N446)</f>
        <v>2</v>
      </c>
      <c r="O444" s="8"/>
      <c r="P444" s="90"/>
      <c r="Q444" s="8"/>
      <c r="R444" s="82">
        <f>SUM(V444:Y444)</f>
        <v>0.69696000000000002</v>
      </c>
      <c r="S444" s="8"/>
      <c r="T444" s="90"/>
      <c r="U444" s="8"/>
      <c r="V444" s="81">
        <f>SUM(V445:V446)</f>
        <v>0</v>
      </c>
      <c r="W444" s="81">
        <f>SUM(W445:W446)</f>
        <v>0</v>
      </c>
      <c r="X444" s="81">
        <f>SUM(X445:X446)</f>
        <v>0.34848000000000001</v>
      </c>
      <c r="Y444" s="81">
        <f>SUM(Y445:Y446)</f>
        <v>0.34848000000000001</v>
      </c>
    </row>
    <row r="445" spans="2:25" hidden="1" outlineLevel="3">
      <c r="B445" s="28"/>
      <c r="C445" s="29"/>
      <c r="D445" s="8"/>
      <c r="E445" s="90"/>
      <c r="F445" s="8"/>
      <c r="G445" s="118" t="s">
        <v>766</v>
      </c>
      <c r="H445" s="8"/>
      <c r="I445" s="90"/>
      <c r="J445" s="8"/>
      <c r="K445" s="74"/>
      <c r="M445" s="36" t="s">
        <v>31</v>
      </c>
      <c r="N445" s="36" t="s">
        <v>33</v>
      </c>
      <c r="O445" s="8"/>
      <c r="P445" s="90"/>
      <c r="Q445" s="8"/>
      <c r="R445" s="33" t="s">
        <v>766</v>
      </c>
      <c r="S445" s="8"/>
      <c r="T445" s="90"/>
      <c r="U445" s="8"/>
      <c r="V445" s="102"/>
      <c r="W445" s="102"/>
      <c r="X445" s="103">
        <v>0.26135999999999998</v>
      </c>
      <c r="Y445" s="103">
        <v>0.26135999999999998</v>
      </c>
    </row>
    <row r="446" spans="2:25" hidden="1" outlineLevel="3">
      <c r="B446" s="28"/>
      <c r="C446" s="29"/>
      <c r="D446" s="8"/>
      <c r="E446" s="90"/>
      <c r="F446" s="8"/>
      <c r="G446" s="118" t="s">
        <v>766</v>
      </c>
      <c r="H446" s="8"/>
      <c r="I446" s="90"/>
      <c r="J446" s="8"/>
      <c r="K446" s="74"/>
      <c r="M446" s="73" t="s">
        <v>32</v>
      </c>
      <c r="N446" s="36" t="s">
        <v>326</v>
      </c>
      <c r="O446" s="8"/>
      <c r="P446" s="90"/>
      <c r="Q446" s="8"/>
      <c r="R446" s="33" t="s">
        <v>766</v>
      </c>
      <c r="S446" s="8"/>
      <c r="T446" s="90"/>
      <c r="U446" s="8"/>
      <c r="V446" s="97"/>
      <c r="W446" s="102"/>
      <c r="X446" s="96">
        <v>8.7120000000000003E-2</v>
      </c>
      <c r="Y446" s="103">
        <v>8.7120000000000003E-2</v>
      </c>
    </row>
    <row r="447" spans="2:25" ht="3" hidden="1" customHeight="1" outlineLevel="2">
      <c r="B447" s="2"/>
      <c r="C447" s="25"/>
      <c r="D447" s="8"/>
      <c r="E447" s="90"/>
      <c r="F447" s="8"/>
      <c r="G447" s="125"/>
      <c r="H447" s="8"/>
      <c r="I447" s="90"/>
      <c r="J447" s="8"/>
      <c r="K447" s="77"/>
      <c r="L447" s="77"/>
      <c r="M447" s="77"/>
      <c r="N447" s="77"/>
      <c r="O447" s="8"/>
      <c r="P447" s="90"/>
      <c r="Q447" s="8"/>
      <c r="R447" s="30"/>
      <c r="S447" s="8"/>
      <c r="T447" s="90"/>
      <c r="U447" s="8"/>
      <c r="V447" s="77"/>
      <c r="W447" s="77"/>
      <c r="X447" s="77"/>
      <c r="Y447" s="77"/>
    </row>
    <row r="448" spans="2:25" s="21" customFormat="1" hidden="1" outlineLevel="2" collapsed="1">
      <c r="B448" s="22" t="s">
        <v>365</v>
      </c>
      <c r="C448" s="22"/>
      <c r="D448" s="8"/>
      <c r="E448" s="90"/>
      <c r="F448" s="8"/>
      <c r="G448" s="124">
        <f>SUM(K448:N448)</f>
        <v>4</v>
      </c>
      <c r="H448" s="8"/>
      <c r="I448" s="90"/>
      <c r="J448" s="8"/>
      <c r="K448" s="71">
        <f>COUNTA(K449:K450)</f>
        <v>2</v>
      </c>
      <c r="L448" s="71">
        <f>COUNTA(L449:L450)</f>
        <v>1</v>
      </c>
      <c r="M448" s="71">
        <f>COUNTA(M449:M450)</f>
        <v>1</v>
      </c>
      <c r="N448" s="71">
        <f>COUNTA(N449:N450)</f>
        <v>0</v>
      </c>
      <c r="O448" s="8"/>
      <c r="P448" s="90"/>
      <c r="Q448" s="8"/>
      <c r="R448" s="81">
        <f>SUM(V448:Y448)</f>
        <v>1.37676</v>
      </c>
      <c r="S448" s="8"/>
      <c r="T448" s="90"/>
      <c r="U448" s="8"/>
      <c r="V448" s="81">
        <f>SUM(V449:V450)</f>
        <v>0.68837999999999999</v>
      </c>
      <c r="W448" s="81">
        <f>SUM(W449:W450)</f>
        <v>0.51628499999999999</v>
      </c>
      <c r="X448" s="81">
        <f>SUM(X449:X450)</f>
        <v>0.172095</v>
      </c>
      <c r="Y448" s="81">
        <f>SUM(Y449:Y450)</f>
        <v>0</v>
      </c>
    </row>
    <row r="449" spans="1:25" ht="27.6" hidden="1" outlineLevel="3">
      <c r="A449" s="18"/>
      <c r="B449" s="19"/>
      <c r="C449" s="20"/>
      <c r="D449" s="8"/>
      <c r="E449" s="90"/>
      <c r="F449" s="8"/>
      <c r="G449" s="118" t="s">
        <v>766</v>
      </c>
      <c r="H449" s="8"/>
      <c r="I449" s="90"/>
      <c r="J449" s="8"/>
      <c r="K449" s="36" t="s">
        <v>31</v>
      </c>
      <c r="L449" s="36" t="s">
        <v>33</v>
      </c>
      <c r="M449" s="36" t="s">
        <v>170</v>
      </c>
      <c r="N449" s="36"/>
      <c r="O449" s="8"/>
      <c r="P449" s="90"/>
      <c r="Q449" s="8"/>
      <c r="R449" s="33" t="s">
        <v>766</v>
      </c>
      <c r="S449" s="8"/>
      <c r="T449" s="90"/>
      <c r="U449" s="8"/>
      <c r="V449" s="103">
        <v>0.51628499999999999</v>
      </c>
      <c r="W449" s="103">
        <v>0.51628499999999999</v>
      </c>
      <c r="X449" s="103">
        <v>0.172095</v>
      </c>
      <c r="Y449" s="103"/>
    </row>
    <row r="450" spans="1:25" hidden="1" outlineLevel="3">
      <c r="A450" s="18"/>
      <c r="B450" s="19"/>
      <c r="C450" s="20"/>
      <c r="D450" s="8"/>
      <c r="E450" s="90"/>
      <c r="F450" s="8"/>
      <c r="G450" s="118" t="s">
        <v>766</v>
      </c>
      <c r="H450" s="8"/>
      <c r="I450" s="90"/>
      <c r="J450" s="8"/>
      <c r="K450" s="36" t="s">
        <v>32</v>
      </c>
      <c r="L450" s="36"/>
      <c r="M450" s="36"/>
      <c r="N450" s="3"/>
      <c r="O450" s="8"/>
      <c r="P450" s="90"/>
      <c r="Q450" s="8"/>
      <c r="R450" s="33" t="s">
        <v>766</v>
      </c>
      <c r="S450" s="8"/>
      <c r="T450" s="90"/>
      <c r="U450" s="8"/>
      <c r="V450" s="103">
        <v>0.172095</v>
      </c>
      <c r="W450" s="103"/>
      <c r="X450" s="103"/>
      <c r="Y450" s="97"/>
    </row>
    <row r="451" spans="1:25" ht="3" hidden="1" customHeight="1" outlineLevel="2">
      <c r="A451" s="18"/>
      <c r="B451" s="19"/>
      <c r="C451" s="20"/>
      <c r="D451" s="8"/>
      <c r="E451" s="90"/>
      <c r="F451" s="8"/>
      <c r="G451" s="123"/>
      <c r="H451" s="8"/>
      <c r="I451" s="90"/>
      <c r="J451" s="8"/>
      <c r="K451" s="70"/>
      <c r="L451" s="70"/>
      <c r="M451" s="70"/>
      <c r="N451" s="74"/>
      <c r="O451" s="8"/>
      <c r="P451" s="90"/>
      <c r="Q451" s="8"/>
      <c r="R451" s="8"/>
      <c r="S451" s="8"/>
      <c r="T451" s="90"/>
      <c r="U451" s="8"/>
      <c r="V451" s="70"/>
      <c r="W451" s="70"/>
      <c r="X451" s="70"/>
      <c r="Y451" s="74"/>
    </row>
    <row r="452" spans="1:25" s="21" customFormat="1" hidden="1" outlineLevel="2" collapsed="1">
      <c r="B452" s="22" t="s">
        <v>1114</v>
      </c>
      <c r="C452" s="22"/>
      <c r="D452" s="8"/>
      <c r="E452" s="90"/>
      <c r="F452" s="8"/>
      <c r="G452" s="124">
        <f>SUM(K452:N452)</f>
        <v>5</v>
      </c>
      <c r="H452" s="8"/>
      <c r="I452" s="90"/>
      <c r="J452" s="8"/>
      <c r="K452" s="71">
        <f>COUNTA(K453:K454)</f>
        <v>2</v>
      </c>
      <c r="L452" s="71">
        <f>COUNTA(L453:L454)</f>
        <v>1</v>
      </c>
      <c r="M452" s="71">
        <f>COUNTA(M453:M454)</f>
        <v>1</v>
      </c>
      <c r="N452" s="71">
        <f>COUNTA(N453:N454)</f>
        <v>1</v>
      </c>
      <c r="O452" s="8"/>
      <c r="P452" s="90"/>
      <c r="Q452" s="8"/>
      <c r="R452" s="81">
        <f>SUM(V452:Y452)</f>
        <v>0.99091191374999998</v>
      </c>
      <c r="S452" s="8"/>
      <c r="T452" s="90"/>
      <c r="U452" s="8"/>
      <c r="V452" s="81">
        <f>SUM(V453:V454)</f>
        <v>0.25736584499999998</v>
      </c>
      <c r="W452" s="81">
        <f>SUM(W453:W454)</f>
        <v>0.19302438375</v>
      </c>
      <c r="X452" s="81">
        <f>SUM(X453:X454)</f>
        <v>6.4341461249999995E-2</v>
      </c>
      <c r="Y452" s="81">
        <f>SUM(Y453:Y454)</f>
        <v>0.47618022375000002</v>
      </c>
    </row>
    <row r="453" spans="1:25" ht="27.6" hidden="1" outlineLevel="3">
      <c r="A453" s="18"/>
      <c r="B453" s="19"/>
      <c r="C453" s="20"/>
      <c r="D453" s="8"/>
      <c r="E453" s="90"/>
      <c r="F453" s="8"/>
      <c r="G453" s="118" t="s">
        <v>766</v>
      </c>
      <c r="H453" s="8"/>
      <c r="I453" s="90"/>
      <c r="J453" s="8"/>
      <c r="K453" s="36" t="s">
        <v>31</v>
      </c>
      <c r="L453" s="36" t="s">
        <v>33</v>
      </c>
      <c r="M453" s="36" t="s">
        <v>170</v>
      </c>
      <c r="N453" s="104" t="s">
        <v>1117</v>
      </c>
      <c r="O453" s="8"/>
      <c r="P453" s="90"/>
      <c r="Q453" s="8"/>
      <c r="R453" s="8"/>
      <c r="S453" s="8"/>
      <c r="T453" s="90"/>
      <c r="U453" s="8"/>
      <c r="V453" s="103">
        <v>0.19302438375</v>
      </c>
      <c r="W453" s="103">
        <v>0.19302438375</v>
      </c>
      <c r="X453" s="103">
        <v>6.4341461249999995E-2</v>
      </c>
      <c r="Y453" s="105">
        <v>0.47618022375000002</v>
      </c>
    </row>
    <row r="454" spans="1:25" hidden="1" outlineLevel="3">
      <c r="A454" s="18"/>
      <c r="B454" s="19"/>
      <c r="C454" s="20"/>
      <c r="D454" s="8"/>
      <c r="E454" s="90"/>
      <c r="F454" s="8"/>
      <c r="G454" s="118" t="s">
        <v>766</v>
      </c>
      <c r="H454" s="8"/>
      <c r="I454" s="90"/>
      <c r="J454" s="8"/>
      <c r="K454" s="36" t="s">
        <v>32</v>
      </c>
      <c r="L454" s="36"/>
      <c r="M454" s="74"/>
      <c r="N454" s="104"/>
      <c r="O454" s="8"/>
      <c r="P454" s="90"/>
      <c r="Q454" s="8"/>
      <c r="R454" s="8"/>
      <c r="S454" s="8"/>
      <c r="T454" s="90"/>
      <c r="U454" s="8"/>
      <c r="V454" s="103">
        <v>6.4341461249999995E-2</v>
      </c>
      <c r="W454" s="97"/>
      <c r="X454" s="108"/>
      <c r="Y454" s="105"/>
    </row>
    <row r="455" spans="1:25" ht="3" hidden="1" customHeight="1" outlineLevel="2">
      <c r="B455" s="28"/>
      <c r="C455" s="29"/>
      <c r="D455" s="8"/>
      <c r="E455" s="90"/>
      <c r="F455" s="8"/>
      <c r="G455" s="118"/>
      <c r="H455" s="8"/>
      <c r="I455" s="90"/>
      <c r="J455" s="8"/>
      <c r="K455" s="75"/>
      <c r="O455" s="8"/>
      <c r="P455" s="90"/>
      <c r="Q455" s="8"/>
      <c r="R455" s="26"/>
      <c r="S455" s="8"/>
      <c r="T455" s="90"/>
      <c r="U455" s="8"/>
      <c r="V455" s="75"/>
    </row>
    <row r="456" spans="1:25" s="21" customFormat="1" hidden="1" outlineLevel="2" collapsed="1">
      <c r="B456" s="22" t="s">
        <v>576</v>
      </c>
      <c r="C456" s="22"/>
      <c r="D456" s="8"/>
      <c r="E456" s="90"/>
      <c r="F456" s="8"/>
      <c r="G456" s="124">
        <f>SUM(K456:N456)</f>
        <v>5</v>
      </c>
      <c r="H456" s="8"/>
      <c r="I456" s="90"/>
      <c r="J456" s="8"/>
      <c r="K456" s="71">
        <f>COUNTA(K457:K460)</f>
        <v>4</v>
      </c>
      <c r="L456" s="71">
        <f>COUNTA(L457:L460)</f>
        <v>1</v>
      </c>
      <c r="M456" s="71">
        <f>COUNTA(M457:M460)</f>
        <v>0</v>
      </c>
      <c r="N456" s="71">
        <f>COUNTA(N457:N460)</f>
        <v>0</v>
      </c>
      <c r="O456" s="8"/>
      <c r="P456" s="90"/>
      <c r="Q456" s="8"/>
      <c r="R456" s="82">
        <f>SUM(V456:Y456)</f>
        <v>0.18759215546489164</v>
      </c>
      <c r="S456" s="152"/>
      <c r="T456" s="154"/>
      <c r="U456" s="152"/>
      <c r="V456" s="81">
        <f>SUM(V457:V460)</f>
        <v>0.15771667215597784</v>
      </c>
      <c r="W456" s="81">
        <f>SUM(W457:W460)</f>
        <v>2.9875483308913799E-2</v>
      </c>
      <c r="X456" s="81">
        <f>SUM(X457:X460)</f>
        <v>0</v>
      </c>
      <c r="Y456" s="81">
        <f>SUM(Y457:Y460)</f>
        <v>0</v>
      </c>
    </row>
    <row r="457" spans="1:25" hidden="1" outlineLevel="3">
      <c r="B457" s="24"/>
      <c r="C457" s="25"/>
      <c r="D457" s="8"/>
      <c r="E457" s="90"/>
      <c r="F457" s="8"/>
      <c r="G457" s="118" t="s">
        <v>766</v>
      </c>
      <c r="H457" s="8"/>
      <c r="I457" s="90"/>
      <c r="J457" s="8"/>
      <c r="K457" s="74" t="s">
        <v>33</v>
      </c>
      <c r="L457" s="42" t="s">
        <v>1031</v>
      </c>
      <c r="O457" s="8"/>
      <c r="P457" s="90"/>
      <c r="Q457" s="8"/>
      <c r="R457" s="26"/>
      <c r="S457" s="8"/>
      <c r="T457" s="90"/>
      <c r="U457" s="8"/>
      <c r="V457" s="87">
        <v>2.9875483308913799E-2</v>
      </c>
      <c r="W457" s="87"/>
    </row>
    <row r="458" spans="1:25" hidden="1" outlineLevel="3">
      <c r="B458" s="24"/>
      <c r="C458" s="25"/>
      <c r="D458" s="8"/>
      <c r="E458" s="90"/>
      <c r="F458" s="8"/>
      <c r="G458" s="118" t="s">
        <v>766</v>
      </c>
      <c r="H458" s="8"/>
      <c r="I458" s="90"/>
      <c r="J458" s="8"/>
      <c r="K458" s="74" t="s">
        <v>578</v>
      </c>
      <c r="L458" s="42"/>
      <c r="O458" s="8"/>
      <c r="P458" s="90"/>
      <c r="Q458" s="8"/>
      <c r="R458" s="26"/>
      <c r="S458" s="8"/>
      <c r="T458" s="90"/>
      <c r="U458" s="8"/>
      <c r="V458" s="87">
        <v>4.4984631294120017E-2</v>
      </c>
      <c r="W458" s="87">
        <v>2.9875483308913799E-2</v>
      </c>
    </row>
    <row r="459" spans="1:25" hidden="1" outlineLevel="3">
      <c r="B459" s="24"/>
      <c r="C459" s="25"/>
      <c r="D459" s="8"/>
      <c r="E459" s="90"/>
      <c r="F459" s="8"/>
      <c r="G459" s="118" t="s">
        <v>766</v>
      </c>
      <c r="H459" s="8"/>
      <c r="I459" s="90"/>
      <c r="J459" s="8"/>
      <c r="K459" s="42" t="s">
        <v>580</v>
      </c>
      <c r="O459" s="8"/>
      <c r="P459" s="90"/>
      <c r="Q459" s="8"/>
      <c r="R459" s="26"/>
      <c r="S459" s="8"/>
      <c r="T459" s="90"/>
      <c r="U459" s="8"/>
      <c r="V459" s="87">
        <v>5.3981557552944016E-2</v>
      </c>
      <c r="W459" s="74"/>
    </row>
    <row r="460" spans="1:25" ht="27.6" hidden="1" outlineLevel="3">
      <c r="B460" s="24"/>
      <c r="C460" s="25"/>
      <c r="D460" s="8"/>
      <c r="E460" s="90"/>
      <c r="F460" s="8"/>
      <c r="G460" s="118" t="s">
        <v>766</v>
      </c>
      <c r="H460" s="8"/>
      <c r="I460" s="90"/>
      <c r="J460" s="8"/>
      <c r="K460" s="74" t="s">
        <v>108</v>
      </c>
      <c r="O460" s="8"/>
      <c r="P460" s="90"/>
      <c r="Q460" s="8"/>
      <c r="R460" s="26"/>
      <c r="S460" s="8"/>
      <c r="T460" s="90"/>
      <c r="U460" s="8"/>
      <c r="V460" s="87">
        <v>2.8875000000000005E-2</v>
      </c>
    </row>
    <row r="461" spans="1:25" ht="3" hidden="1" customHeight="1" outlineLevel="2">
      <c r="B461" s="2"/>
      <c r="C461" s="25"/>
      <c r="D461" s="8"/>
      <c r="E461" s="90"/>
      <c r="F461" s="8"/>
      <c r="G461" s="125"/>
      <c r="H461" s="8"/>
      <c r="I461" s="90"/>
      <c r="J461" s="8"/>
      <c r="K461" s="77"/>
      <c r="L461" s="77"/>
      <c r="M461" s="77"/>
      <c r="N461" s="77"/>
      <c r="O461" s="8"/>
      <c r="P461" s="90"/>
      <c r="Q461" s="8"/>
      <c r="R461" s="30"/>
      <c r="S461" s="8"/>
      <c r="T461" s="90"/>
      <c r="U461" s="8"/>
      <c r="V461" s="77"/>
      <c r="W461" s="77"/>
      <c r="X461" s="77"/>
      <c r="Y461" s="77"/>
    </row>
    <row r="462" spans="1:25" s="21" customFormat="1" hidden="1" outlineLevel="2" collapsed="1">
      <c r="A462" s="21">
        <v>0</v>
      </c>
      <c r="B462" s="22" t="s">
        <v>695</v>
      </c>
      <c r="C462" s="22"/>
      <c r="D462" s="8"/>
      <c r="E462" s="90"/>
      <c r="F462" s="8"/>
      <c r="G462" s="124">
        <f>SUM(K462:N462)</f>
        <v>3</v>
      </c>
      <c r="H462" s="8"/>
      <c r="I462" s="90"/>
      <c r="J462" s="8"/>
      <c r="K462" s="71">
        <f>COUNTA(K463:K465)</f>
        <v>0</v>
      </c>
      <c r="L462" s="71">
        <f>COUNTA(L463:L465)</f>
        <v>3</v>
      </c>
      <c r="M462" s="71">
        <f>COUNTA(M463:M465)</f>
        <v>0</v>
      </c>
      <c r="N462" s="71">
        <f>COUNTA(N463:N465)</f>
        <v>0</v>
      </c>
      <c r="O462" s="8"/>
      <c r="P462" s="90"/>
      <c r="Q462" s="8"/>
      <c r="R462" s="23">
        <f>SUM(V462:Y462)</f>
        <v>0</v>
      </c>
      <c r="S462" s="8"/>
      <c r="T462" s="90"/>
      <c r="U462" s="8"/>
      <c r="V462" s="81">
        <f>SUM(V463:V465)</f>
        <v>0</v>
      </c>
      <c r="W462" s="81">
        <f t="shared" ref="W462:Y462" si="10">SUM(W463:W465)</f>
        <v>0</v>
      </c>
      <c r="X462" s="81">
        <f t="shared" si="10"/>
        <v>0</v>
      </c>
      <c r="Y462" s="81">
        <f t="shared" si="10"/>
        <v>0</v>
      </c>
    </row>
    <row r="463" spans="1:25" s="143" customFormat="1" ht="27.6" hidden="1" outlineLevel="3">
      <c r="A463" s="146"/>
      <c r="B463" s="19"/>
      <c r="C463" s="20"/>
      <c r="D463" s="147"/>
      <c r="E463" s="148"/>
      <c r="F463" s="147"/>
      <c r="G463" s="118" t="s">
        <v>766</v>
      </c>
      <c r="H463" s="147"/>
      <c r="I463" s="148"/>
      <c r="J463" s="147"/>
      <c r="K463" s="36"/>
      <c r="L463" s="36" t="s">
        <v>1119</v>
      </c>
      <c r="M463" s="141"/>
      <c r="N463" s="92"/>
      <c r="O463" s="147"/>
      <c r="P463" s="148"/>
      <c r="Q463" s="147"/>
      <c r="R463" s="147"/>
      <c r="S463" s="147"/>
      <c r="T463" s="148"/>
      <c r="U463" s="147"/>
      <c r="V463" s="36"/>
      <c r="W463" s="92"/>
      <c r="X463" s="141"/>
      <c r="Y463" s="92"/>
    </row>
    <row r="464" spans="1:25" s="143" customFormat="1" ht="27.6" hidden="1" outlineLevel="3">
      <c r="A464" s="146"/>
      <c r="B464" s="19"/>
      <c r="C464" s="20"/>
      <c r="D464" s="147"/>
      <c r="E464" s="148"/>
      <c r="F464" s="147"/>
      <c r="G464" s="118" t="s">
        <v>766</v>
      </c>
      <c r="H464" s="147"/>
      <c r="I464" s="148"/>
      <c r="J464" s="147"/>
      <c r="K464" s="36"/>
      <c r="L464" s="36" t="s">
        <v>1121</v>
      </c>
      <c r="M464" s="141"/>
      <c r="N464" s="92"/>
      <c r="O464" s="147"/>
      <c r="P464" s="148"/>
      <c r="Q464" s="147"/>
      <c r="R464" s="147"/>
      <c r="S464" s="147"/>
      <c r="T464" s="148"/>
      <c r="U464" s="147"/>
      <c r="V464" s="36"/>
      <c r="W464" s="92"/>
      <c r="X464" s="141"/>
      <c r="Y464" s="92"/>
    </row>
    <row r="465" spans="1:25" s="143" customFormat="1" ht="27.6" hidden="1" outlineLevel="3">
      <c r="A465" s="146"/>
      <c r="B465" s="19"/>
      <c r="C465" s="20"/>
      <c r="D465" s="147"/>
      <c r="E465" s="148"/>
      <c r="F465" s="147"/>
      <c r="G465" s="118" t="s">
        <v>766</v>
      </c>
      <c r="H465" s="147"/>
      <c r="I465" s="148"/>
      <c r="J465" s="147"/>
      <c r="K465" s="36"/>
      <c r="L465" s="36" t="s">
        <v>1123</v>
      </c>
      <c r="M465" s="141"/>
      <c r="N465" s="92"/>
      <c r="O465" s="147"/>
      <c r="P465" s="148"/>
      <c r="Q465" s="147"/>
      <c r="R465" s="147"/>
      <c r="S465" s="147"/>
      <c r="T465" s="148"/>
      <c r="U465" s="147"/>
      <c r="V465" s="36"/>
      <c r="W465" s="92"/>
      <c r="X465" s="141"/>
      <c r="Y465" s="92"/>
    </row>
    <row r="466" spans="1:25" ht="3" hidden="1" customHeight="1" outlineLevel="2">
      <c r="B466" s="2"/>
      <c r="C466" s="2"/>
      <c r="D466" s="8"/>
      <c r="E466" s="90"/>
      <c r="F466" s="8"/>
      <c r="G466" s="121"/>
      <c r="H466" s="8"/>
      <c r="I466" s="90"/>
      <c r="J466" s="8"/>
      <c r="O466" s="8"/>
      <c r="P466" s="90"/>
      <c r="Q466" s="8"/>
      <c r="R466" s="114"/>
      <c r="S466" s="8"/>
      <c r="T466" s="90"/>
      <c r="U466" s="8"/>
    </row>
    <row r="467" spans="1:25" s="21" customFormat="1" hidden="1" outlineLevel="2" collapsed="1">
      <c r="A467" s="21">
        <v>1</v>
      </c>
      <c r="B467" s="22" t="s">
        <v>1124</v>
      </c>
      <c r="C467" s="22"/>
      <c r="D467" s="8"/>
      <c r="E467" s="90"/>
      <c r="F467" s="8"/>
      <c r="G467" s="124">
        <f>SUM(K467:N467)</f>
        <v>3</v>
      </c>
      <c r="H467" s="8"/>
      <c r="I467" s="90"/>
      <c r="J467" s="8"/>
      <c r="K467" s="71">
        <f>COUNTA(K468:K468)</f>
        <v>0</v>
      </c>
      <c r="L467" s="71">
        <f>COUNTA(L468:L468)</f>
        <v>1</v>
      </c>
      <c r="M467" s="71">
        <f>COUNTA(M468:M468)</f>
        <v>1</v>
      </c>
      <c r="N467" s="71">
        <f>COUNTA(N468:N468)</f>
        <v>1</v>
      </c>
      <c r="O467" s="8"/>
      <c r="P467" s="90"/>
      <c r="Q467" s="8"/>
      <c r="R467" s="23"/>
      <c r="S467" s="8"/>
      <c r="T467" s="90"/>
      <c r="U467" s="8"/>
      <c r="V467" s="81">
        <f>SUM(V468)</f>
        <v>0</v>
      </c>
      <c r="W467" s="81">
        <f>SUM(W468)</f>
        <v>2.0625000000000001E-2</v>
      </c>
      <c r="X467" s="81">
        <f>SUM(X468)</f>
        <v>8.2500000000000004E-3</v>
      </c>
      <c r="Y467" s="81">
        <f>SUM(Y468)</f>
        <v>2.0625000000000001E-2</v>
      </c>
    </row>
    <row r="468" spans="1:25" hidden="1" outlineLevel="3">
      <c r="A468" s="18"/>
      <c r="B468" s="19"/>
      <c r="C468" s="20"/>
      <c r="D468" s="8"/>
      <c r="E468" s="90"/>
      <c r="F468" s="8"/>
      <c r="G468" s="118" t="s">
        <v>766</v>
      </c>
      <c r="H468" s="8"/>
      <c r="I468" s="90"/>
      <c r="J468" s="8"/>
      <c r="K468" s="73"/>
      <c r="L468" s="74" t="s">
        <v>631</v>
      </c>
      <c r="M468" s="35" t="s">
        <v>32</v>
      </c>
      <c r="N468" s="35" t="s">
        <v>1157</v>
      </c>
      <c r="O468" s="8"/>
      <c r="P468" s="90"/>
      <c r="Q468" s="8"/>
      <c r="R468" s="8"/>
      <c r="S468" s="8"/>
      <c r="T468" s="90"/>
      <c r="U468" s="8"/>
      <c r="V468" s="96"/>
      <c r="W468" s="108">
        <v>2.0625000000000001E-2</v>
      </c>
      <c r="X468" s="107">
        <v>8.2500000000000004E-3</v>
      </c>
      <c r="Y468" s="108">
        <v>2.0625000000000001E-2</v>
      </c>
    </row>
    <row r="469" spans="1:25" ht="3" hidden="1" customHeight="1" outlineLevel="2">
      <c r="B469" s="2"/>
      <c r="C469" s="2"/>
      <c r="D469" s="8"/>
      <c r="E469" s="90"/>
      <c r="F469" s="8"/>
      <c r="G469" s="121"/>
      <c r="H469" s="8"/>
      <c r="I469" s="90"/>
      <c r="J469" s="8"/>
      <c r="O469" s="8"/>
      <c r="P469" s="90"/>
      <c r="Q469" s="8"/>
      <c r="R469" s="114"/>
      <c r="S469" s="8"/>
      <c r="T469" s="90"/>
      <c r="U469" s="8"/>
    </row>
    <row r="470" spans="1:25" s="21" customFormat="1" hidden="1" outlineLevel="2" collapsed="1">
      <c r="A470" s="21">
        <v>1</v>
      </c>
      <c r="B470" s="22" t="s">
        <v>582</v>
      </c>
      <c r="C470" s="22"/>
      <c r="D470" s="8"/>
      <c r="E470" s="90"/>
      <c r="F470" s="8"/>
      <c r="G470" s="124">
        <f>SUM(K470:N470)</f>
        <v>4</v>
      </c>
      <c r="H470" s="8"/>
      <c r="I470" s="90"/>
      <c r="J470" s="8"/>
      <c r="K470" s="71">
        <f>COUNTA(K471:K472)</f>
        <v>0</v>
      </c>
      <c r="L470" s="71">
        <f>COUNTA(L471:L472)</f>
        <v>1</v>
      </c>
      <c r="M470" s="71">
        <f>COUNTA(M471:M472)</f>
        <v>2</v>
      </c>
      <c r="N470" s="71">
        <f>COUNTA(N471:N472)</f>
        <v>1</v>
      </c>
      <c r="O470" s="8"/>
      <c r="P470" s="90"/>
      <c r="Q470" s="8"/>
      <c r="R470" s="23">
        <f>SUM(V470:Y470)</f>
        <v>2.8499999999999998E-2</v>
      </c>
      <c r="S470" s="8"/>
      <c r="T470" s="90"/>
      <c r="U470" s="8"/>
      <c r="V470" s="81">
        <f>SUM(V471:V472)</f>
        <v>0</v>
      </c>
      <c r="W470" s="81">
        <f>SUM(W471:W472)</f>
        <v>7.4999999999999997E-3</v>
      </c>
      <c r="X470" s="81">
        <f>SUM(X471:X472)</f>
        <v>1.0499999999999999E-2</v>
      </c>
      <c r="Y470" s="81">
        <f>SUM(Y471:Y472)</f>
        <v>1.0500000000000001E-2</v>
      </c>
    </row>
    <row r="471" spans="1:25" hidden="1" outlineLevel="3">
      <c r="B471" s="24"/>
      <c r="C471" s="25"/>
      <c r="D471" s="8"/>
      <c r="E471" s="90"/>
      <c r="F471" s="8"/>
      <c r="G471" s="118" t="s">
        <v>766</v>
      </c>
      <c r="H471" s="8"/>
      <c r="I471" s="90"/>
      <c r="J471" s="8"/>
      <c r="K471" s="42"/>
      <c r="L471" s="91" t="s">
        <v>31</v>
      </c>
      <c r="M471" s="92" t="s">
        <v>632</v>
      </c>
      <c r="N471" s="92" t="s">
        <v>1126</v>
      </c>
      <c r="O471" s="8"/>
      <c r="P471" s="90"/>
      <c r="Q471" s="8"/>
      <c r="R471" s="26"/>
      <c r="S471" s="8"/>
      <c r="T471" s="90"/>
      <c r="U471" s="8"/>
      <c r="V471" s="96"/>
      <c r="W471" s="98">
        <v>7.4999999999999997E-3</v>
      </c>
      <c r="X471" s="98">
        <v>7.4999999999999997E-3</v>
      </c>
      <c r="Y471" s="98">
        <v>1.0500000000000001E-2</v>
      </c>
    </row>
    <row r="472" spans="1:25" hidden="1" outlineLevel="3">
      <c r="B472" s="24"/>
      <c r="C472" s="25"/>
      <c r="D472" s="8"/>
      <c r="E472" s="90"/>
      <c r="F472" s="8"/>
      <c r="G472" s="118" t="s">
        <v>766</v>
      </c>
      <c r="H472" s="8"/>
      <c r="I472" s="90"/>
      <c r="J472" s="8"/>
      <c r="K472" s="42"/>
      <c r="M472" s="92" t="s">
        <v>32</v>
      </c>
      <c r="N472" s="92"/>
      <c r="O472" s="8"/>
      <c r="P472" s="90"/>
      <c r="Q472" s="8"/>
      <c r="R472" s="26"/>
      <c r="S472" s="8"/>
      <c r="T472" s="90"/>
      <c r="U472" s="8"/>
      <c r="V472" s="96"/>
      <c r="W472" s="98"/>
      <c r="X472" s="98">
        <v>3.0000000000000001E-3</v>
      </c>
      <c r="Y472" s="98"/>
    </row>
    <row r="473" spans="1:25" ht="3" hidden="1" customHeight="1" outlineLevel="2">
      <c r="B473" s="2"/>
      <c r="C473" s="2"/>
      <c r="D473" s="8"/>
      <c r="E473" s="90"/>
      <c r="F473" s="8"/>
      <c r="G473" s="121"/>
      <c r="H473" s="8"/>
      <c r="I473" s="90"/>
      <c r="J473" s="8"/>
      <c r="O473" s="8"/>
      <c r="P473" s="90"/>
      <c r="Q473" s="8"/>
      <c r="R473" s="114"/>
      <c r="S473" s="8"/>
      <c r="T473" s="90"/>
      <c r="U473" s="8"/>
    </row>
    <row r="474" spans="1:25" s="21" customFormat="1" hidden="1" outlineLevel="2" collapsed="1">
      <c r="A474" s="21">
        <v>0</v>
      </c>
      <c r="B474" s="22" t="s">
        <v>1127</v>
      </c>
      <c r="C474" s="22"/>
      <c r="D474" s="8"/>
      <c r="E474" s="90"/>
      <c r="F474" s="8"/>
      <c r="G474" s="124">
        <f>SUM(K474:N474)</f>
        <v>4</v>
      </c>
      <c r="H474" s="8"/>
      <c r="I474" s="90"/>
      <c r="J474" s="8"/>
      <c r="K474" s="71">
        <f>COUNTA(K475:K476)</f>
        <v>0</v>
      </c>
      <c r="L474" s="71">
        <f>COUNTA(L475:L476)</f>
        <v>1</v>
      </c>
      <c r="M474" s="71">
        <f>COUNTA(M475:M476)</f>
        <v>2</v>
      </c>
      <c r="N474" s="71">
        <f>COUNTA(N475:N476)</f>
        <v>1</v>
      </c>
      <c r="O474" s="8"/>
      <c r="P474" s="90"/>
      <c r="Q474" s="8"/>
      <c r="R474" s="23">
        <f>SUM(V474:Y474)</f>
        <v>0</v>
      </c>
      <c r="S474" s="8"/>
      <c r="T474" s="90"/>
      <c r="U474" s="8"/>
      <c r="V474" s="71">
        <f>SUM(V475:V476)</f>
        <v>0</v>
      </c>
      <c r="W474" s="71">
        <f>SUM(W475:W476)</f>
        <v>0</v>
      </c>
      <c r="X474" s="71">
        <f>SUM(X475:X476)</f>
        <v>0</v>
      </c>
      <c r="Y474" s="71">
        <f>SUM(Y475:Y476)</f>
        <v>0</v>
      </c>
    </row>
    <row r="475" spans="1:25" hidden="1" outlineLevel="3">
      <c r="B475" s="24"/>
      <c r="C475" s="25"/>
      <c r="D475" s="8"/>
      <c r="E475" s="90"/>
      <c r="F475" s="8"/>
      <c r="G475" s="118" t="s">
        <v>766</v>
      </c>
      <c r="H475" s="8"/>
      <c r="I475" s="90"/>
      <c r="J475" s="8"/>
      <c r="L475" s="91" t="s">
        <v>31</v>
      </c>
      <c r="M475" s="92" t="s">
        <v>632</v>
      </c>
      <c r="N475" s="92" t="s">
        <v>1126</v>
      </c>
      <c r="O475" s="8"/>
      <c r="P475" s="90"/>
      <c r="Q475" s="8"/>
      <c r="R475" s="26"/>
      <c r="S475" s="8"/>
      <c r="T475" s="90"/>
      <c r="U475" s="8"/>
      <c r="V475" s="42"/>
    </row>
    <row r="476" spans="1:25" hidden="1" outlineLevel="3">
      <c r="B476" s="24"/>
      <c r="C476" s="25"/>
      <c r="D476" s="8"/>
      <c r="E476" s="90"/>
      <c r="F476" s="8"/>
      <c r="G476" s="118" t="s">
        <v>766</v>
      </c>
      <c r="H476" s="8"/>
      <c r="I476" s="90"/>
      <c r="J476" s="8"/>
      <c r="M476" s="92" t="s">
        <v>32</v>
      </c>
      <c r="N476" s="92"/>
      <c r="O476" s="8"/>
      <c r="P476" s="90"/>
      <c r="Q476" s="8"/>
      <c r="R476" s="26"/>
      <c r="S476" s="8"/>
      <c r="T476" s="90"/>
      <c r="U476" s="8"/>
      <c r="V476" s="42"/>
    </row>
    <row r="477" spans="1:25" ht="3" hidden="1" customHeight="1" outlineLevel="2">
      <c r="A477" s="18"/>
      <c r="B477" s="115"/>
      <c r="C477" s="116"/>
      <c r="D477" s="8"/>
      <c r="E477" s="90"/>
      <c r="F477" s="8"/>
      <c r="G477" s="125"/>
      <c r="H477" s="8"/>
      <c r="I477" s="90"/>
      <c r="J477" s="8"/>
      <c r="K477" s="77"/>
      <c r="L477" s="77"/>
      <c r="M477" s="77"/>
      <c r="N477" s="77"/>
      <c r="O477" s="8"/>
      <c r="P477" s="90"/>
      <c r="Q477" s="8"/>
      <c r="R477" s="30"/>
      <c r="S477" s="8"/>
      <c r="T477" s="90"/>
      <c r="U477" s="8"/>
      <c r="V477" s="77"/>
      <c r="W477" s="77"/>
      <c r="X477" s="77"/>
      <c r="Y477" s="77"/>
    </row>
    <row r="478" spans="1:25" s="21" customFormat="1" hidden="1" outlineLevel="2" collapsed="1">
      <c r="A478" s="21">
        <v>0</v>
      </c>
      <c r="B478" s="22" t="s">
        <v>1128</v>
      </c>
      <c r="C478" s="22"/>
      <c r="D478" s="8"/>
      <c r="E478" s="90"/>
      <c r="F478" s="8"/>
      <c r="G478" s="124">
        <f>SUM(K478:N478)</f>
        <v>4</v>
      </c>
      <c r="H478" s="8"/>
      <c r="I478" s="90"/>
      <c r="J478" s="8"/>
      <c r="K478" s="71">
        <f>COUNTA(K479:K480)</f>
        <v>0</v>
      </c>
      <c r="L478" s="71">
        <f>COUNTA(L479:L480)</f>
        <v>1</v>
      </c>
      <c r="M478" s="71">
        <f>COUNTA(M479:M480)</f>
        <v>2</v>
      </c>
      <c r="N478" s="71">
        <f>COUNTA(N479:N480)</f>
        <v>1</v>
      </c>
      <c r="O478" s="8"/>
      <c r="P478" s="90"/>
      <c r="Q478" s="8"/>
      <c r="R478" s="23">
        <f>SUM(V478:Y478)</f>
        <v>0</v>
      </c>
      <c r="S478" s="8"/>
      <c r="T478" s="90"/>
      <c r="U478" s="8"/>
      <c r="V478" s="71">
        <f>SUM(V479:V480)</f>
        <v>0</v>
      </c>
      <c r="W478" s="71">
        <f>SUM(W479:W480)</f>
        <v>0</v>
      </c>
      <c r="X478" s="71">
        <f>SUM(X479:X480)</f>
        <v>0</v>
      </c>
      <c r="Y478" s="71">
        <f>SUM(Y479:Y480)</f>
        <v>0</v>
      </c>
    </row>
    <row r="479" spans="1:25" hidden="1" outlineLevel="3">
      <c r="B479" s="24"/>
      <c r="C479" s="25"/>
      <c r="D479" s="8"/>
      <c r="E479" s="90"/>
      <c r="F479" s="8"/>
      <c r="G479" s="118" t="s">
        <v>766</v>
      </c>
      <c r="H479" s="8"/>
      <c r="I479" s="90"/>
      <c r="J479" s="8"/>
      <c r="L479" s="91" t="s">
        <v>31</v>
      </c>
      <c r="M479" s="92" t="s">
        <v>632</v>
      </c>
      <c r="N479" s="92" t="s">
        <v>1126</v>
      </c>
      <c r="O479" s="8"/>
      <c r="P479" s="90"/>
      <c r="Q479" s="8"/>
      <c r="R479" s="26"/>
      <c r="S479" s="8"/>
      <c r="T479" s="90"/>
      <c r="U479" s="8"/>
      <c r="V479" s="42"/>
    </row>
    <row r="480" spans="1:25" hidden="1" outlineLevel="3">
      <c r="B480" s="24"/>
      <c r="C480" s="25"/>
      <c r="D480" s="8"/>
      <c r="E480" s="90"/>
      <c r="F480" s="8"/>
      <c r="G480" s="118" t="s">
        <v>766</v>
      </c>
      <c r="H480" s="8"/>
      <c r="I480" s="90"/>
      <c r="J480" s="8"/>
      <c r="M480" s="92" t="s">
        <v>32</v>
      </c>
      <c r="N480" s="92"/>
      <c r="O480" s="8"/>
      <c r="P480" s="90"/>
      <c r="Q480" s="8"/>
      <c r="R480" s="26"/>
      <c r="S480" s="8"/>
      <c r="T480" s="90"/>
      <c r="U480" s="8"/>
      <c r="V480" s="42"/>
    </row>
    <row r="481" spans="1:25" ht="3" hidden="1" customHeight="1" outlineLevel="2">
      <c r="S481" s="5"/>
      <c r="T481" s="26"/>
      <c r="U481" s="5"/>
    </row>
    <row r="482" spans="1:25" s="21" customFormat="1" hidden="1" outlineLevel="2" collapsed="1">
      <c r="B482" s="22" t="s">
        <v>996</v>
      </c>
      <c r="C482" s="22"/>
      <c r="D482" s="8"/>
      <c r="E482" s="90"/>
      <c r="F482" s="8"/>
      <c r="G482" s="124">
        <f>SUM(K482:N482)</f>
        <v>5</v>
      </c>
      <c r="H482" s="8"/>
      <c r="I482" s="90"/>
      <c r="J482" s="8"/>
      <c r="K482" s="71">
        <f>COUNTA(K483:K484)</f>
        <v>1</v>
      </c>
      <c r="L482" s="71">
        <f>COUNTA(L483:L484)</f>
        <v>2</v>
      </c>
      <c r="M482" s="71">
        <f>COUNTA(M483:M484)</f>
        <v>1</v>
      </c>
      <c r="N482" s="71">
        <f>COUNTA(N483:N484)</f>
        <v>1</v>
      </c>
      <c r="O482" s="8"/>
      <c r="P482" s="90"/>
      <c r="Q482" s="8"/>
      <c r="R482" s="82">
        <f>SUM(V482:Y482)</f>
        <v>0.24815999999999999</v>
      </c>
      <c r="S482" s="8"/>
      <c r="T482" s="90"/>
      <c r="U482" s="8"/>
      <c r="V482" s="81">
        <f>SUM(V483:V484)</f>
        <v>6.2039999999999998E-2</v>
      </c>
      <c r="W482" s="81">
        <f>SUM(W483:W484)</f>
        <v>0.12408</v>
      </c>
      <c r="X482" s="81">
        <f>SUM(X483:X484)</f>
        <v>3.1019999999999999E-2</v>
      </c>
      <c r="Y482" s="81">
        <f>SUM(Y483:Y484)</f>
        <v>3.1019999999999999E-2</v>
      </c>
    </row>
    <row r="483" spans="1:25" hidden="1" outlineLevel="3">
      <c r="B483" s="28"/>
      <c r="C483" s="29"/>
      <c r="D483" s="8"/>
      <c r="E483" s="90"/>
      <c r="F483" s="8"/>
      <c r="G483" s="118" t="s">
        <v>766</v>
      </c>
      <c r="H483" s="8"/>
      <c r="I483" s="90"/>
      <c r="J483" s="8"/>
      <c r="K483" s="36" t="s">
        <v>31</v>
      </c>
      <c r="L483" s="36" t="s">
        <v>285</v>
      </c>
      <c r="M483" s="36" t="s">
        <v>33</v>
      </c>
      <c r="N483" s="3"/>
      <c r="O483" s="8"/>
      <c r="P483" s="90"/>
      <c r="Q483" s="8"/>
      <c r="R483" s="33" t="s">
        <v>766</v>
      </c>
      <c r="S483" s="8"/>
      <c r="T483" s="90"/>
      <c r="U483" s="8"/>
      <c r="V483" s="103">
        <v>6.2039999999999998E-2</v>
      </c>
      <c r="W483" s="103">
        <v>3.1019999999999999E-2</v>
      </c>
      <c r="X483" s="103">
        <v>3.1019999999999999E-2</v>
      </c>
      <c r="Y483" s="97"/>
    </row>
    <row r="484" spans="1:25" hidden="1" outlineLevel="3">
      <c r="B484" s="28"/>
      <c r="C484" s="29"/>
      <c r="D484" s="8"/>
      <c r="E484" s="90"/>
      <c r="F484" s="8"/>
      <c r="G484" s="118" t="s">
        <v>766</v>
      </c>
      <c r="H484" s="8"/>
      <c r="I484" s="90"/>
      <c r="J484" s="8"/>
      <c r="L484" s="36" t="s">
        <v>32</v>
      </c>
      <c r="M484" s="3"/>
      <c r="N484" s="36" t="s">
        <v>326</v>
      </c>
      <c r="O484" s="8"/>
      <c r="P484" s="90"/>
      <c r="Q484" s="8"/>
      <c r="R484" s="33" t="s">
        <v>766</v>
      </c>
      <c r="S484" s="8"/>
      <c r="T484" s="90"/>
      <c r="U484" s="8"/>
      <c r="V484" s="98"/>
      <c r="W484" s="103">
        <v>9.305999999999999E-2</v>
      </c>
      <c r="X484" s="97"/>
      <c r="Y484" s="103">
        <v>3.1019999999999999E-2</v>
      </c>
    </row>
    <row r="485" spans="1:25" ht="3" hidden="1" customHeight="1" outlineLevel="2">
      <c r="B485" s="28"/>
      <c r="C485" s="29"/>
      <c r="D485" s="8"/>
      <c r="E485" s="90"/>
      <c r="F485" s="8"/>
      <c r="G485" s="118"/>
      <c r="H485" s="8"/>
      <c r="I485" s="90"/>
      <c r="J485" s="8"/>
      <c r="K485" s="75"/>
      <c r="O485" s="8"/>
      <c r="P485" s="90"/>
      <c r="Q485" s="8"/>
      <c r="R485" s="33"/>
      <c r="S485" s="8"/>
      <c r="T485" s="90"/>
      <c r="U485" s="8"/>
      <c r="V485" s="75"/>
    </row>
    <row r="486" spans="1:25" s="21" customFormat="1" hidden="1" outlineLevel="2" collapsed="1">
      <c r="B486" s="22" t="s">
        <v>891</v>
      </c>
      <c r="C486" s="22"/>
      <c r="D486" s="8"/>
      <c r="E486" s="90"/>
      <c r="F486" s="8"/>
      <c r="G486" s="124">
        <f>SUM(K486:N486)</f>
        <v>5</v>
      </c>
      <c r="H486" s="8"/>
      <c r="I486" s="90"/>
      <c r="J486" s="8"/>
      <c r="K486" s="71">
        <f>COUNTA(K487:K488)</f>
        <v>1</v>
      </c>
      <c r="L486" s="71">
        <f>COUNTA(L487:L488)</f>
        <v>2</v>
      </c>
      <c r="M486" s="71">
        <f>COUNTA(M487:M488)</f>
        <v>1</v>
      </c>
      <c r="N486" s="71">
        <f>COUNTA(N487:N488)</f>
        <v>1</v>
      </c>
      <c r="O486" s="8"/>
      <c r="P486" s="90"/>
      <c r="Q486" s="8"/>
      <c r="R486" s="82">
        <f>SUM(V486:Y486)</f>
        <v>0.10560000000000001</v>
      </c>
      <c r="S486" s="8"/>
      <c r="T486" s="90"/>
      <c r="U486" s="8"/>
      <c r="V486" s="81">
        <f>SUM(V487:V488)</f>
        <v>2.6400000000000003E-2</v>
      </c>
      <c r="W486" s="81">
        <f>SUM(W487:W488)</f>
        <v>5.2800000000000007E-2</v>
      </c>
      <c r="X486" s="81">
        <f>SUM(X487:X488)</f>
        <v>1.3200000000000002E-2</v>
      </c>
      <c r="Y486" s="81">
        <f>SUM(Y487:Y488)</f>
        <v>1.3200000000000002E-2</v>
      </c>
    </row>
    <row r="487" spans="1:25" hidden="1" outlineLevel="3">
      <c r="B487" s="28"/>
      <c r="C487" s="29"/>
      <c r="D487" s="8"/>
      <c r="E487" s="90"/>
      <c r="F487" s="8"/>
      <c r="G487" s="118" t="s">
        <v>766</v>
      </c>
      <c r="H487" s="8"/>
      <c r="I487" s="90"/>
      <c r="J487" s="8"/>
      <c r="K487" s="36" t="s">
        <v>31</v>
      </c>
      <c r="L487" s="36" t="s">
        <v>285</v>
      </c>
      <c r="M487" s="36" t="s">
        <v>33</v>
      </c>
      <c r="N487" s="3"/>
      <c r="O487" s="8"/>
      <c r="P487" s="90"/>
      <c r="Q487" s="8"/>
      <c r="R487" s="33" t="s">
        <v>766</v>
      </c>
      <c r="S487" s="8"/>
      <c r="T487" s="90"/>
      <c r="U487" s="8"/>
      <c r="V487" s="103">
        <v>2.6400000000000003E-2</v>
      </c>
      <c r="W487" s="103">
        <v>1.3200000000000002E-2</v>
      </c>
      <c r="X487" s="103">
        <v>1.3200000000000002E-2</v>
      </c>
      <c r="Y487" s="97"/>
    </row>
    <row r="488" spans="1:25" hidden="1" outlineLevel="3">
      <c r="B488" s="28"/>
      <c r="C488" s="29"/>
      <c r="D488" s="8"/>
      <c r="E488" s="90"/>
      <c r="F488" s="8"/>
      <c r="G488" s="118" t="s">
        <v>766</v>
      </c>
      <c r="H488" s="8"/>
      <c r="I488" s="90"/>
      <c r="J488" s="8"/>
      <c r="L488" s="36" t="s">
        <v>32</v>
      </c>
      <c r="M488" s="3"/>
      <c r="N488" s="36" t="s">
        <v>326</v>
      </c>
      <c r="O488" s="8"/>
      <c r="P488" s="90"/>
      <c r="Q488" s="8"/>
      <c r="R488" s="33" t="s">
        <v>766</v>
      </c>
      <c r="S488" s="8"/>
      <c r="T488" s="90"/>
      <c r="U488" s="8"/>
      <c r="V488" s="98"/>
      <c r="W488" s="103">
        <v>3.9600000000000003E-2</v>
      </c>
      <c r="X488" s="97"/>
      <c r="Y488" s="103">
        <v>1.3200000000000002E-2</v>
      </c>
    </row>
    <row r="489" spans="1:25" ht="3" hidden="1" customHeight="1" outlineLevel="2">
      <c r="B489" s="28"/>
      <c r="C489" s="29"/>
      <c r="D489" s="8"/>
      <c r="E489" s="90"/>
      <c r="F489" s="8"/>
      <c r="G489" s="118"/>
      <c r="H489" s="8"/>
      <c r="I489" s="90"/>
      <c r="J489" s="8"/>
      <c r="K489" s="75"/>
      <c r="O489" s="8"/>
      <c r="P489" s="90"/>
      <c r="Q489" s="8"/>
      <c r="R489" s="33"/>
      <c r="S489" s="8"/>
      <c r="T489" s="90"/>
      <c r="U489" s="8"/>
      <c r="V489" s="75"/>
    </row>
    <row r="490" spans="1:25" s="21" customFormat="1" hidden="1" outlineLevel="2" collapsed="1">
      <c r="A490" s="21">
        <v>1</v>
      </c>
      <c r="B490" s="22" t="s">
        <v>1005</v>
      </c>
      <c r="C490" s="22"/>
      <c r="D490" s="8"/>
      <c r="E490" s="90"/>
      <c r="F490" s="8"/>
      <c r="G490" s="124">
        <f>SUM(K490:N490)</f>
        <v>4</v>
      </c>
      <c r="H490" s="8"/>
      <c r="I490" s="90"/>
      <c r="J490" s="8"/>
      <c r="K490" s="71">
        <f>COUNTA(K491:K492)</f>
        <v>0</v>
      </c>
      <c r="L490" s="71">
        <f>COUNTA(L491:L492)</f>
        <v>0</v>
      </c>
      <c r="M490" s="71">
        <f>COUNTA(M491:M492)</f>
        <v>2</v>
      </c>
      <c r="N490" s="71">
        <f>COUNTA(N491:N492)</f>
        <v>2</v>
      </c>
      <c r="O490" s="8"/>
      <c r="P490" s="90"/>
      <c r="Q490" s="8"/>
      <c r="R490" s="23">
        <f>SUM(V490:Y490)</f>
        <v>1.0190399999999999</v>
      </c>
      <c r="S490" s="8"/>
      <c r="T490" s="90"/>
      <c r="U490" s="8"/>
      <c r="V490" s="71">
        <f>SUM(V491:V492)</f>
        <v>0</v>
      </c>
      <c r="W490" s="71">
        <f>SUM(W491:W492)</f>
        <v>0</v>
      </c>
      <c r="X490" s="71">
        <f>SUM(X491:X492)</f>
        <v>0.50951999999999997</v>
      </c>
      <c r="Y490" s="71">
        <f>SUM(Y491:Y492)</f>
        <v>0.50951999999999997</v>
      </c>
    </row>
    <row r="491" spans="1:25" hidden="1" outlineLevel="3">
      <c r="B491" s="28"/>
      <c r="C491" s="29"/>
      <c r="D491" s="8"/>
      <c r="E491" s="90"/>
      <c r="F491" s="8"/>
      <c r="G491" s="118" t="s">
        <v>766</v>
      </c>
      <c r="H491" s="8"/>
      <c r="I491" s="90"/>
      <c r="J491" s="8"/>
      <c r="K491" s="3"/>
      <c r="M491" s="36" t="s">
        <v>31</v>
      </c>
      <c r="N491" s="36" t="s">
        <v>33</v>
      </c>
      <c r="O491" s="8"/>
      <c r="P491" s="90"/>
      <c r="Q491" s="8"/>
      <c r="R491" s="33"/>
      <c r="S491" s="8"/>
      <c r="T491" s="90"/>
      <c r="U491" s="8"/>
      <c r="V491" s="35"/>
      <c r="W491" s="35"/>
      <c r="X491" s="101">
        <v>0.38213999999999998</v>
      </c>
      <c r="Y491" s="101">
        <v>0.38213999999999998</v>
      </c>
    </row>
    <row r="492" spans="1:25" hidden="1" outlineLevel="3">
      <c r="B492" s="28"/>
      <c r="C492" s="29"/>
      <c r="D492" s="8"/>
      <c r="E492" s="90"/>
      <c r="F492" s="8"/>
      <c r="G492" s="118" t="s">
        <v>766</v>
      </c>
      <c r="H492" s="8"/>
      <c r="I492" s="90"/>
      <c r="J492" s="8"/>
      <c r="K492" s="3"/>
      <c r="M492" s="36" t="s">
        <v>32</v>
      </c>
      <c r="N492" s="36" t="s">
        <v>285</v>
      </c>
      <c r="O492" s="8"/>
      <c r="P492" s="90"/>
      <c r="Q492" s="8"/>
      <c r="R492" s="33"/>
      <c r="S492" s="8"/>
      <c r="T492" s="90"/>
      <c r="U492" s="8"/>
      <c r="V492" s="3"/>
      <c r="W492" s="35"/>
      <c r="X492" s="101">
        <v>0.12738000000000002</v>
      </c>
      <c r="Y492" s="101">
        <v>0.12738000000000002</v>
      </c>
    </row>
    <row r="493" spans="1:25" ht="3" hidden="1" customHeight="1" outlineLevel="2">
      <c r="B493" s="28"/>
      <c r="C493" s="29"/>
      <c r="D493" s="8"/>
      <c r="E493" s="90"/>
      <c r="F493" s="8"/>
      <c r="G493" s="118"/>
      <c r="H493" s="8"/>
      <c r="I493" s="90"/>
      <c r="J493" s="8"/>
      <c r="K493" s="75"/>
      <c r="O493" s="8"/>
      <c r="P493" s="90"/>
      <c r="Q493" s="8"/>
      <c r="R493" s="33"/>
      <c r="S493" s="8"/>
      <c r="T493" s="90"/>
      <c r="U493" s="8"/>
      <c r="V493" s="75"/>
    </row>
    <row r="494" spans="1:25" s="21" customFormat="1" hidden="1" outlineLevel="2" collapsed="1">
      <c r="B494" s="22" t="s">
        <v>379</v>
      </c>
      <c r="C494" s="22"/>
      <c r="D494" s="8"/>
      <c r="E494" s="90"/>
      <c r="F494" s="8"/>
      <c r="G494" s="124">
        <f>SUM(K494:N494)</f>
        <v>5</v>
      </c>
      <c r="H494" s="8"/>
      <c r="I494" s="90"/>
      <c r="J494" s="8"/>
      <c r="K494" s="71">
        <f>COUNTA(K495:K496)</f>
        <v>1</v>
      </c>
      <c r="L494" s="71">
        <f>COUNTA(L495:L496)</f>
        <v>1</v>
      </c>
      <c r="M494" s="71">
        <f>COUNTA(M495:M496)</f>
        <v>2</v>
      </c>
      <c r="N494" s="71">
        <f>COUNTA(N495:N496)</f>
        <v>1</v>
      </c>
      <c r="O494" s="8"/>
      <c r="P494" s="90"/>
      <c r="Q494" s="8"/>
      <c r="R494" s="82">
        <f>SUM(V494:Y494)</f>
        <v>0.38</v>
      </c>
      <c r="S494" s="8"/>
      <c r="T494" s="90"/>
      <c r="U494" s="8"/>
      <c r="V494" s="81">
        <f>SUM(V495:V496)</f>
        <v>7.0000000000000007E-2</v>
      </c>
      <c r="W494" s="81">
        <f>SUM(W495:W496)</f>
        <v>0.1</v>
      </c>
      <c r="X494" s="81">
        <f>SUM(X495:X496)</f>
        <v>0.06</v>
      </c>
      <c r="Y494" s="81">
        <f>SUM(Y495:Y496)</f>
        <v>0.15</v>
      </c>
    </row>
    <row r="495" spans="1:25" hidden="1" outlineLevel="3">
      <c r="B495" s="28"/>
      <c r="C495" s="29"/>
      <c r="D495" s="8"/>
      <c r="E495" s="90"/>
      <c r="F495" s="8"/>
      <c r="G495" s="118" t="s">
        <v>766</v>
      </c>
      <c r="H495" s="8"/>
      <c r="I495" s="90"/>
      <c r="J495" s="8"/>
      <c r="K495" s="36" t="s">
        <v>31</v>
      </c>
      <c r="L495" s="3"/>
      <c r="M495" s="36" t="s">
        <v>33</v>
      </c>
      <c r="N495" s="36" t="s">
        <v>61</v>
      </c>
      <c r="O495" s="8"/>
      <c r="P495" s="90"/>
      <c r="Q495" s="8"/>
      <c r="R495" s="33" t="s">
        <v>766</v>
      </c>
      <c r="S495" s="8"/>
      <c r="T495" s="90"/>
      <c r="U495" s="8"/>
      <c r="V495" s="36">
        <v>7.0000000000000007E-2</v>
      </c>
      <c r="W495" s="3"/>
      <c r="X495" s="36">
        <v>0.03</v>
      </c>
      <c r="Y495" s="36">
        <v>0.15</v>
      </c>
    </row>
    <row r="496" spans="1:25" hidden="1" outlineLevel="3">
      <c r="B496" s="28"/>
      <c r="C496" s="29"/>
      <c r="D496" s="8"/>
      <c r="E496" s="90"/>
      <c r="F496" s="8"/>
      <c r="G496" s="118" t="s">
        <v>766</v>
      </c>
      <c r="H496" s="8"/>
      <c r="I496" s="90"/>
      <c r="J496" s="8"/>
      <c r="K496" s="74"/>
      <c r="L496" s="36" t="s">
        <v>32</v>
      </c>
      <c r="M496" s="36" t="s">
        <v>326</v>
      </c>
      <c r="N496" s="36"/>
      <c r="O496" s="8"/>
      <c r="P496" s="90"/>
      <c r="Q496" s="8"/>
      <c r="R496" s="33" t="s">
        <v>766</v>
      </c>
      <c r="S496" s="8"/>
      <c r="T496" s="90"/>
      <c r="U496" s="8"/>
      <c r="V496" s="74"/>
      <c r="W496" s="36">
        <v>0.1</v>
      </c>
      <c r="X496" s="36">
        <v>0.03</v>
      </c>
      <c r="Y496" s="36"/>
    </row>
    <row r="497" spans="1:25" ht="3" hidden="1" customHeight="1" outlineLevel="2">
      <c r="S497" s="5"/>
      <c r="T497" s="26"/>
      <c r="U497" s="5"/>
    </row>
    <row r="498" spans="1:25" s="21" customFormat="1" hidden="1" outlineLevel="2" collapsed="1">
      <c r="B498" s="22" t="s">
        <v>1006</v>
      </c>
      <c r="C498" s="22"/>
      <c r="D498" s="8"/>
      <c r="E498" s="90"/>
      <c r="F498" s="8"/>
      <c r="G498" s="124">
        <f>SUM(K498:N498)</f>
        <v>3</v>
      </c>
      <c r="H498" s="8"/>
      <c r="I498" s="90"/>
      <c r="J498" s="8"/>
      <c r="K498" s="71">
        <f>COUNTA(K499:K499)</f>
        <v>0</v>
      </c>
      <c r="L498" s="71">
        <f>COUNTA(L499:L499)</f>
        <v>1</v>
      </c>
      <c r="M498" s="71">
        <f>COUNTA(M499:M499)</f>
        <v>1</v>
      </c>
      <c r="N498" s="71">
        <f>COUNTA(N499:N499)</f>
        <v>1</v>
      </c>
      <c r="O498" s="8"/>
      <c r="P498" s="90"/>
      <c r="Q498" s="8"/>
      <c r="R498" s="82">
        <f>SUM(V498:Y498)</f>
        <v>0.24947999999999998</v>
      </c>
      <c r="S498" s="8"/>
      <c r="T498" s="90"/>
      <c r="U498" s="8"/>
      <c r="V498" s="81">
        <f>SUM(V499:V499)</f>
        <v>0</v>
      </c>
      <c r="W498" s="81">
        <f>SUM(W499:W499)</f>
        <v>0.10692</v>
      </c>
      <c r="X498" s="81">
        <f>SUM(X499:X499)</f>
        <v>3.5639999999999998E-2</v>
      </c>
      <c r="Y498" s="81">
        <f>SUM(Y499:Y499)</f>
        <v>0.10692</v>
      </c>
    </row>
    <row r="499" spans="1:25" hidden="1" outlineLevel="3">
      <c r="B499" s="28"/>
      <c r="C499" s="29"/>
      <c r="D499" s="8"/>
      <c r="E499" s="90"/>
      <c r="F499" s="8"/>
      <c r="G499" s="118" t="s">
        <v>766</v>
      </c>
      <c r="H499" s="8"/>
      <c r="I499" s="90"/>
      <c r="J499" s="8"/>
      <c r="K499" s="74"/>
      <c r="L499" s="36" t="s">
        <v>31</v>
      </c>
      <c r="M499" s="36" t="s">
        <v>32</v>
      </c>
      <c r="N499" s="36" t="s">
        <v>33</v>
      </c>
      <c r="O499" s="8"/>
      <c r="P499" s="90"/>
      <c r="Q499" s="8"/>
      <c r="R499" s="33" t="s">
        <v>766</v>
      </c>
      <c r="S499" s="8"/>
      <c r="T499" s="90"/>
      <c r="U499" s="8"/>
      <c r="V499" s="108"/>
      <c r="W499" s="103">
        <v>0.10692</v>
      </c>
      <c r="X499" s="103">
        <v>3.5639999999999998E-2</v>
      </c>
      <c r="Y499" s="103">
        <v>0.10692</v>
      </c>
    </row>
    <row r="500" spans="1:25" ht="3" hidden="1" customHeight="1" outlineLevel="2">
      <c r="B500" s="28"/>
      <c r="C500" s="29"/>
      <c r="D500" s="8"/>
      <c r="E500" s="90"/>
      <c r="F500" s="8"/>
      <c r="G500" s="118"/>
      <c r="H500" s="8"/>
      <c r="I500" s="90"/>
      <c r="J500" s="8"/>
      <c r="K500" s="75"/>
      <c r="O500" s="8"/>
      <c r="P500" s="90"/>
      <c r="Q500" s="8"/>
      <c r="R500" s="33"/>
      <c r="S500" s="8"/>
      <c r="T500" s="90"/>
      <c r="U500" s="8"/>
      <c r="V500" s="75"/>
    </row>
    <row r="501" spans="1:25" s="21" customFormat="1" hidden="1" outlineLevel="2" collapsed="1">
      <c r="B501" s="22" t="s">
        <v>1007</v>
      </c>
      <c r="C501" s="22"/>
      <c r="D501" s="8"/>
      <c r="E501" s="90"/>
      <c r="F501" s="8"/>
      <c r="G501" s="124">
        <f>SUM(K501:N501)</f>
        <v>3</v>
      </c>
      <c r="H501" s="8"/>
      <c r="I501" s="90"/>
      <c r="J501" s="8"/>
      <c r="K501" s="71">
        <f>COUNTA(K502:K502)</f>
        <v>0</v>
      </c>
      <c r="L501" s="71">
        <f>COUNTA(L502:L502)</f>
        <v>1</v>
      </c>
      <c r="M501" s="71">
        <f>COUNTA(M502:M502)</f>
        <v>1</v>
      </c>
      <c r="N501" s="71">
        <f>COUNTA(N502:N502)</f>
        <v>1</v>
      </c>
      <c r="O501" s="8"/>
      <c r="P501" s="90"/>
      <c r="Q501" s="8"/>
      <c r="R501" s="82">
        <f>SUM(V501:Y501)</f>
        <v>0.460845</v>
      </c>
      <c r="S501" s="8"/>
      <c r="T501" s="90"/>
      <c r="U501" s="8"/>
      <c r="V501" s="81">
        <f>SUM(V502:V502)</f>
        <v>0</v>
      </c>
      <c r="W501" s="81">
        <f>SUM(W502:W502)</f>
        <v>0.19750499999999999</v>
      </c>
      <c r="X501" s="81">
        <f>SUM(X502:X502)</f>
        <v>6.5835000000000005E-2</v>
      </c>
      <c r="Y501" s="81">
        <f>SUM(Y502:Y502)</f>
        <v>0.19750499999999999</v>
      </c>
    </row>
    <row r="502" spans="1:25" hidden="1" outlineLevel="3">
      <c r="B502" s="28"/>
      <c r="C502" s="29"/>
      <c r="D502" s="8"/>
      <c r="E502" s="90"/>
      <c r="F502" s="8"/>
      <c r="G502" s="118" t="s">
        <v>766</v>
      </c>
      <c r="H502" s="8"/>
      <c r="I502" s="90"/>
      <c r="J502" s="8"/>
      <c r="K502" s="74"/>
      <c r="L502" s="36" t="s">
        <v>31</v>
      </c>
      <c r="M502" s="36" t="s">
        <v>32</v>
      </c>
      <c r="N502" s="36" t="s">
        <v>33</v>
      </c>
      <c r="O502" s="8"/>
      <c r="P502" s="90"/>
      <c r="Q502" s="8"/>
      <c r="R502" s="33" t="s">
        <v>766</v>
      </c>
      <c r="S502" s="8"/>
      <c r="T502" s="90"/>
      <c r="U502" s="8"/>
      <c r="V502" s="108"/>
      <c r="W502" s="103">
        <v>0.19750499999999999</v>
      </c>
      <c r="X502" s="103">
        <v>6.5835000000000005E-2</v>
      </c>
      <c r="Y502" s="103">
        <v>0.19750499999999999</v>
      </c>
    </row>
    <row r="503" spans="1:25" ht="3" hidden="1" customHeight="1" outlineLevel="2">
      <c r="B503" s="28"/>
      <c r="C503" s="29"/>
      <c r="D503" s="8"/>
      <c r="E503" s="90"/>
      <c r="F503" s="8"/>
      <c r="G503" s="118"/>
      <c r="H503" s="8"/>
      <c r="I503" s="90"/>
      <c r="J503" s="8"/>
      <c r="K503" s="75"/>
      <c r="O503" s="8"/>
      <c r="P503" s="90"/>
      <c r="Q503" s="8"/>
      <c r="R503" s="33"/>
      <c r="S503" s="8"/>
      <c r="T503" s="90"/>
      <c r="U503" s="8"/>
      <c r="V503" s="75"/>
    </row>
    <row r="504" spans="1:25" s="21" customFormat="1" hidden="1" outlineLevel="2" collapsed="1">
      <c r="B504" s="22" t="s">
        <v>1008</v>
      </c>
      <c r="C504" s="22"/>
      <c r="D504" s="8"/>
      <c r="E504" s="90"/>
      <c r="F504" s="8"/>
      <c r="G504" s="124">
        <f>SUM(K504:N504)</f>
        <v>4</v>
      </c>
      <c r="H504" s="8"/>
      <c r="I504" s="90"/>
      <c r="J504" s="8"/>
      <c r="K504" s="71">
        <f>COUNTA(K505:K506)</f>
        <v>0</v>
      </c>
      <c r="L504" s="71">
        <f>COUNTA(L505:L506)</f>
        <v>2</v>
      </c>
      <c r="M504" s="71">
        <f>COUNTA(M505:M506)</f>
        <v>1</v>
      </c>
      <c r="N504" s="71">
        <f>COUNTA(N505:N506)</f>
        <v>1</v>
      </c>
      <c r="O504" s="8"/>
      <c r="P504" s="90"/>
      <c r="Q504" s="8"/>
      <c r="R504" s="82">
        <f>SUM(V504:Y504)</f>
        <v>0.80784000000000011</v>
      </c>
      <c r="S504" s="8"/>
      <c r="T504" s="90"/>
      <c r="U504" s="8"/>
      <c r="V504" s="81">
        <f>SUM(V505:V506)</f>
        <v>0</v>
      </c>
      <c r="W504" s="81">
        <f>SUM(W505:W506)</f>
        <v>0.40392</v>
      </c>
      <c r="X504" s="81">
        <f>SUM(X505:X505)</f>
        <v>0.30293999999999999</v>
      </c>
      <c r="Y504" s="81">
        <f>SUM(Y505:Y505)</f>
        <v>0.10098000000000001</v>
      </c>
    </row>
    <row r="505" spans="1:25" ht="27.6" hidden="1" outlineLevel="3">
      <c r="B505" s="28"/>
      <c r="C505" s="29"/>
      <c r="D505" s="8"/>
      <c r="E505" s="90"/>
      <c r="F505" s="8"/>
      <c r="G505" s="118" t="s">
        <v>766</v>
      </c>
      <c r="H505" s="8"/>
      <c r="I505" s="90"/>
      <c r="J505" s="8"/>
      <c r="K505" s="74"/>
      <c r="L505" s="36" t="s">
        <v>31</v>
      </c>
      <c r="M505" s="36" t="s">
        <v>33</v>
      </c>
      <c r="N505" s="36" t="s">
        <v>170</v>
      </c>
      <c r="O505" s="8"/>
      <c r="P505" s="90"/>
      <c r="Q505" s="8"/>
      <c r="R505" s="33" t="s">
        <v>766</v>
      </c>
      <c r="S505" s="8"/>
      <c r="T505" s="90"/>
      <c r="U505" s="8"/>
      <c r="V505" s="108"/>
      <c r="W505" s="103">
        <v>0.30293999999999999</v>
      </c>
      <c r="X505" s="103">
        <v>0.30293999999999999</v>
      </c>
      <c r="Y505" s="103">
        <v>0.10098000000000001</v>
      </c>
    </row>
    <row r="506" spans="1:25" hidden="1" outlineLevel="3">
      <c r="B506" s="28"/>
      <c r="C506" s="29"/>
      <c r="D506" s="8"/>
      <c r="E506" s="90"/>
      <c r="F506" s="8"/>
      <c r="G506" s="118" t="s">
        <v>766</v>
      </c>
      <c r="H506" s="8"/>
      <c r="I506" s="90"/>
      <c r="J506" s="8"/>
      <c r="K506" s="74"/>
      <c r="L506" s="36" t="s">
        <v>32</v>
      </c>
      <c r="M506" s="3"/>
      <c r="N506" s="3"/>
      <c r="O506" s="8"/>
      <c r="P506" s="90"/>
      <c r="Q506" s="8"/>
      <c r="R506" s="33" t="s">
        <v>766</v>
      </c>
      <c r="S506" s="8"/>
      <c r="T506" s="90"/>
      <c r="U506" s="8"/>
      <c r="V506" s="108"/>
      <c r="W506" s="103">
        <v>0.10098000000000001</v>
      </c>
      <c r="X506" s="97"/>
      <c r="Y506" s="97"/>
    </row>
    <row r="507" spans="1:25" ht="3" hidden="1" customHeight="1" outlineLevel="2">
      <c r="B507" s="28"/>
      <c r="C507" s="29"/>
      <c r="D507" s="8"/>
      <c r="E507" s="90"/>
      <c r="F507" s="8"/>
      <c r="G507" s="118"/>
      <c r="H507" s="8"/>
      <c r="I507" s="90"/>
      <c r="J507" s="8"/>
      <c r="K507" s="75"/>
      <c r="O507" s="8"/>
      <c r="P507" s="90"/>
      <c r="Q507" s="8"/>
      <c r="R507" s="33"/>
      <c r="S507" s="8"/>
      <c r="T507" s="90"/>
      <c r="U507" s="8"/>
      <c r="V507" s="75"/>
    </row>
    <row r="508" spans="1:25" s="21" customFormat="1" hidden="1" outlineLevel="2" collapsed="1">
      <c r="A508" s="21">
        <v>1</v>
      </c>
      <c r="B508" s="22" t="s">
        <v>360</v>
      </c>
      <c r="C508" s="22"/>
      <c r="D508" s="8"/>
      <c r="E508" s="90"/>
      <c r="F508" s="8"/>
      <c r="G508" s="124">
        <f>SUM(K508:N508)</f>
        <v>5</v>
      </c>
      <c r="H508" s="8"/>
      <c r="I508" s="90"/>
      <c r="J508" s="8"/>
      <c r="K508" s="71">
        <f>COUNTA(K509:K510)</f>
        <v>0</v>
      </c>
      <c r="L508" s="71">
        <f>COUNTA(L509:L510)</f>
        <v>2</v>
      </c>
      <c r="M508" s="71">
        <f>COUNTA(M509:M510)</f>
        <v>1</v>
      </c>
      <c r="N508" s="71">
        <f>COUNTA(N509:N510)</f>
        <v>2</v>
      </c>
      <c r="O508" s="8"/>
      <c r="P508" s="90"/>
      <c r="Q508" s="8"/>
      <c r="R508" s="23">
        <f>SUM(V508:Y508)</f>
        <v>4.0787999999999993</v>
      </c>
      <c r="S508" s="8"/>
      <c r="T508" s="90"/>
      <c r="U508" s="8"/>
      <c r="V508" s="71">
        <f>SUM(V509:V510)</f>
        <v>0</v>
      </c>
      <c r="W508" s="71">
        <f>SUM(W509:W510)</f>
        <v>2.0393999999999997</v>
      </c>
      <c r="X508" s="71">
        <f>SUM(X509:X510)</f>
        <v>0.50985000000000003</v>
      </c>
      <c r="Y508" s="71">
        <f>SUM(Y509:Y510)</f>
        <v>1.5295499999999997</v>
      </c>
    </row>
    <row r="509" spans="1:25" hidden="1" outlineLevel="3">
      <c r="B509" s="28"/>
      <c r="C509" s="29"/>
      <c r="D509" s="8"/>
      <c r="E509" s="90"/>
      <c r="F509" s="8"/>
      <c r="G509" s="118" t="s">
        <v>766</v>
      </c>
      <c r="H509" s="8"/>
      <c r="I509" s="90"/>
      <c r="J509" s="8"/>
      <c r="K509" s="74"/>
      <c r="L509" s="36" t="s">
        <v>31</v>
      </c>
      <c r="M509" s="3" t="s">
        <v>326</v>
      </c>
      <c r="N509" s="36" t="s">
        <v>33</v>
      </c>
      <c r="O509" s="8"/>
      <c r="P509" s="90"/>
      <c r="Q509" s="8"/>
      <c r="R509" s="33"/>
      <c r="S509" s="8"/>
      <c r="T509" s="90"/>
      <c r="U509" s="8"/>
      <c r="V509" s="3"/>
      <c r="W509" s="35">
        <v>1.5295499999999997</v>
      </c>
      <c r="X509" s="65">
        <v>0.50985000000000003</v>
      </c>
      <c r="Y509" s="65">
        <v>1.5295499999999997</v>
      </c>
    </row>
    <row r="510" spans="1:25" hidden="1" outlineLevel="3">
      <c r="B510" s="28"/>
      <c r="C510" s="29"/>
      <c r="D510" s="8"/>
      <c r="E510" s="90"/>
      <c r="F510" s="8"/>
      <c r="G510" s="118" t="s">
        <v>766</v>
      </c>
      <c r="H510" s="8"/>
      <c r="I510" s="90"/>
      <c r="J510" s="8"/>
      <c r="K510" s="74"/>
      <c r="L510" s="36" t="s">
        <v>32</v>
      </c>
      <c r="M510" s="3"/>
      <c r="N510" s="36" t="s">
        <v>285</v>
      </c>
      <c r="O510" s="8"/>
      <c r="P510" s="90"/>
      <c r="Q510" s="8"/>
      <c r="R510" s="33"/>
      <c r="S510" s="8"/>
      <c r="T510" s="90"/>
      <c r="U510" s="8"/>
      <c r="V510" s="36"/>
      <c r="W510" s="35">
        <v>0.50985000000000003</v>
      </c>
    </row>
    <row r="511" spans="1:25" ht="3" hidden="1" customHeight="1" outlineLevel="2">
      <c r="S511" s="5"/>
      <c r="T511" s="26"/>
      <c r="U511" s="5"/>
    </row>
    <row r="512" spans="1:25">
      <c r="S512" s="5"/>
      <c r="T512" s="26"/>
      <c r="U512" s="5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546875" defaultRowHeight="13.2"/>
  <cols>
    <col min="1" max="1" width="8.5546875" style="369"/>
    <col min="2" max="2" width="22.5546875" style="369" bestFit="1" customWidth="1"/>
    <col min="3" max="3" width="8.5546875" style="401"/>
    <col min="4" max="16384" width="8.5546875" style="369"/>
  </cols>
  <sheetData>
    <row r="2" spans="1:3">
      <c r="B2" s="369">
        <f>COUNTA(B3:B103)</f>
        <v>62</v>
      </c>
      <c r="C2" s="369">
        <f>COUNTA(C3:C103)</f>
        <v>53</v>
      </c>
    </row>
    <row r="3" spans="1:3">
      <c r="A3" s="369" t="s">
        <v>1158</v>
      </c>
      <c r="B3" s="369" t="s">
        <v>14</v>
      </c>
      <c r="C3" s="401">
        <v>1</v>
      </c>
    </row>
    <row r="4" spans="1:3">
      <c r="B4" s="369" t="s">
        <v>1159</v>
      </c>
      <c r="C4" s="401">
        <v>1</v>
      </c>
    </row>
    <row r="5" spans="1:3">
      <c r="B5" s="369" t="s">
        <v>62</v>
      </c>
      <c r="C5" s="401">
        <v>1</v>
      </c>
    </row>
    <row r="6" spans="1:3">
      <c r="B6" s="369" t="s">
        <v>74</v>
      </c>
      <c r="C6" s="401">
        <v>1</v>
      </c>
    </row>
    <row r="7" spans="1:3">
      <c r="B7" s="369" t="s">
        <v>91</v>
      </c>
      <c r="C7" s="401">
        <v>1</v>
      </c>
    </row>
    <row r="8" spans="1:3">
      <c r="B8" s="369" t="s">
        <v>1160</v>
      </c>
    </row>
    <row r="9" spans="1:3">
      <c r="B9" s="369" t="s">
        <v>1161</v>
      </c>
      <c r="C9" s="401">
        <v>1</v>
      </c>
    </row>
    <row r="10" spans="1:3">
      <c r="B10" s="369" t="s">
        <v>120</v>
      </c>
      <c r="C10" s="401">
        <v>1</v>
      </c>
    </row>
    <row r="11" spans="1:3">
      <c r="B11" s="369" t="s">
        <v>125</v>
      </c>
      <c r="C11" s="401">
        <v>1</v>
      </c>
    </row>
    <row r="12" spans="1:3">
      <c r="B12" s="369" t="s">
        <v>130</v>
      </c>
      <c r="C12" s="401">
        <v>1</v>
      </c>
    </row>
    <row r="13" spans="1:3">
      <c r="B13" s="369" t="s">
        <v>1162</v>
      </c>
      <c r="C13" s="401">
        <v>1</v>
      </c>
    </row>
    <row r="14" spans="1:3">
      <c r="B14" s="369" t="s">
        <v>167</v>
      </c>
      <c r="C14" s="401">
        <v>1</v>
      </c>
    </row>
    <row r="15" spans="1:3">
      <c r="B15" s="369" t="s">
        <v>281</v>
      </c>
      <c r="C15" s="401">
        <v>1</v>
      </c>
    </row>
    <row r="16" spans="1:3">
      <c r="B16" s="369" t="s">
        <v>835</v>
      </c>
      <c r="C16" s="401">
        <v>1</v>
      </c>
    </row>
    <row r="17" spans="1:4">
      <c r="B17" s="369" t="s">
        <v>182</v>
      </c>
      <c r="C17" s="401">
        <v>1</v>
      </c>
    </row>
    <row r="18" spans="1:4">
      <c r="B18" s="369" t="s">
        <v>902</v>
      </c>
      <c r="C18" s="401">
        <v>1</v>
      </c>
    </row>
    <row r="19" spans="1:4">
      <c r="B19" s="369" t="s">
        <v>901</v>
      </c>
      <c r="C19" s="401">
        <v>1</v>
      </c>
    </row>
    <row r="20" spans="1:4">
      <c r="B20" s="369" t="s">
        <v>222</v>
      </c>
      <c r="C20" s="401">
        <v>1</v>
      </c>
    </row>
    <row r="21" spans="1:4">
      <c r="B21" s="369" t="s">
        <v>1163</v>
      </c>
      <c r="C21" s="401">
        <v>1</v>
      </c>
    </row>
    <row r="22" spans="1:4">
      <c r="B22" s="369" t="s">
        <v>364</v>
      </c>
    </row>
    <row r="23" spans="1:4">
      <c r="B23" s="369" t="s">
        <v>1164</v>
      </c>
    </row>
    <row r="24" spans="1:4">
      <c r="B24" s="369" t="s">
        <v>1165</v>
      </c>
    </row>
    <row r="26" spans="1:4">
      <c r="A26" s="369" t="s">
        <v>1166</v>
      </c>
      <c r="B26" s="369" t="s">
        <v>360</v>
      </c>
      <c r="C26" s="401">
        <v>1</v>
      </c>
    </row>
    <row r="27" spans="1:4">
      <c r="B27" s="369" t="s">
        <v>1167</v>
      </c>
      <c r="C27" s="401">
        <v>1</v>
      </c>
    </row>
    <row r="28" spans="1:4">
      <c r="B28" s="369" t="s">
        <v>1168</v>
      </c>
    </row>
    <row r="29" spans="1:4">
      <c r="B29" s="369" t="s">
        <v>1169</v>
      </c>
    </row>
    <row r="30" spans="1:4">
      <c r="B30" s="369" t="s">
        <v>173</v>
      </c>
      <c r="C30" s="401">
        <v>1</v>
      </c>
    </row>
    <row r="31" spans="1:4">
      <c r="B31" s="369" t="s">
        <v>273</v>
      </c>
      <c r="C31" s="401">
        <v>1</v>
      </c>
      <c r="D31" s="369" t="s">
        <v>392</v>
      </c>
    </row>
    <row r="32" spans="1:4">
      <c r="B32" s="369" t="s">
        <v>265</v>
      </c>
      <c r="C32" s="401">
        <v>1</v>
      </c>
    </row>
    <row r="33" spans="1:3">
      <c r="B33" s="369" t="s">
        <v>335</v>
      </c>
      <c r="C33" s="401">
        <v>1</v>
      </c>
    </row>
    <row r="34" spans="1:3">
      <c r="B34" s="369" t="s">
        <v>379</v>
      </c>
      <c r="C34" s="401">
        <v>1</v>
      </c>
    </row>
    <row r="35" spans="1:3">
      <c r="B35" s="369" t="s">
        <v>340</v>
      </c>
      <c r="C35" s="401">
        <v>1</v>
      </c>
    </row>
    <row r="36" spans="1:3">
      <c r="B36" s="369" t="s">
        <v>381</v>
      </c>
      <c r="C36" s="401">
        <v>1</v>
      </c>
    </row>
    <row r="37" spans="1:3">
      <c r="B37" s="369" t="s">
        <v>384</v>
      </c>
      <c r="C37" s="401">
        <v>1</v>
      </c>
    </row>
    <row r="38" spans="1:3">
      <c r="B38" s="369" t="s">
        <v>269</v>
      </c>
      <c r="C38" s="401">
        <v>1</v>
      </c>
    </row>
    <row r="39" spans="1:3">
      <c r="B39" s="369" t="s">
        <v>386</v>
      </c>
      <c r="C39" s="401">
        <v>1</v>
      </c>
    </row>
    <row r="40" spans="1:3">
      <c r="B40" s="369" t="s">
        <v>378</v>
      </c>
    </row>
    <row r="41" spans="1:3">
      <c r="B41" s="369" t="s">
        <v>348</v>
      </c>
      <c r="C41" s="401">
        <v>1</v>
      </c>
    </row>
    <row r="42" spans="1:3">
      <c r="B42" s="369" t="s">
        <v>387</v>
      </c>
      <c r="C42" s="401">
        <v>1</v>
      </c>
    </row>
    <row r="43" spans="1:3">
      <c r="B43" s="369" t="s">
        <v>388</v>
      </c>
      <c r="C43" s="401">
        <v>1</v>
      </c>
    </row>
    <row r="44" spans="1:3">
      <c r="B44" s="369" t="s">
        <v>1170</v>
      </c>
      <c r="C44" s="401">
        <v>1</v>
      </c>
    </row>
    <row r="45" spans="1:3">
      <c r="B45" s="369" t="s">
        <v>390</v>
      </c>
      <c r="C45" s="401">
        <v>1</v>
      </c>
    </row>
    <row r="46" spans="1:3">
      <c r="B46" s="369" t="s">
        <v>344</v>
      </c>
      <c r="C46" s="401">
        <v>1</v>
      </c>
    </row>
    <row r="48" spans="1:3">
      <c r="A48" s="369" t="s">
        <v>1171</v>
      </c>
      <c r="B48" s="369" t="s">
        <v>245</v>
      </c>
      <c r="C48" s="401">
        <v>1</v>
      </c>
    </row>
    <row r="49" spans="1:5">
      <c r="B49" s="369" t="s">
        <v>248</v>
      </c>
      <c r="C49" s="401">
        <v>1</v>
      </c>
    </row>
    <row r="50" spans="1:5">
      <c r="B50" s="369" t="s">
        <v>258</v>
      </c>
      <c r="C50" s="401">
        <v>1</v>
      </c>
    </row>
    <row r="51" spans="1:5">
      <c r="B51" s="369" t="s">
        <v>251</v>
      </c>
      <c r="C51" s="401">
        <v>1</v>
      </c>
    </row>
    <row r="52" spans="1:5">
      <c r="B52" s="435" t="s">
        <v>1172</v>
      </c>
      <c r="C52" s="401">
        <v>1</v>
      </c>
      <c r="D52" s="369" t="s">
        <v>392</v>
      </c>
    </row>
    <row r="53" spans="1:5">
      <c r="B53" s="369" t="s">
        <v>703</v>
      </c>
      <c r="C53" s="401">
        <v>1</v>
      </c>
    </row>
    <row r="54" spans="1:5">
      <c r="B54" s="369" t="s">
        <v>630</v>
      </c>
      <c r="C54" s="401">
        <v>1</v>
      </c>
    </row>
    <row r="55" spans="1:5">
      <c r="B55" s="369" t="s">
        <v>240</v>
      </c>
      <c r="C55" s="401">
        <v>1</v>
      </c>
    </row>
    <row r="56" spans="1:5">
      <c r="B56" s="369" t="s">
        <v>243</v>
      </c>
      <c r="C56" s="401">
        <v>1</v>
      </c>
    </row>
    <row r="57" spans="1:5">
      <c r="B57" s="369" t="s">
        <v>396</v>
      </c>
      <c r="C57" s="401">
        <v>1</v>
      </c>
      <c r="E57" s="369" t="s">
        <v>1173</v>
      </c>
    </row>
    <row r="58" spans="1:5">
      <c r="B58" s="369" t="s">
        <v>399</v>
      </c>
      <c r="C58" s="401">
        <v>1</v>
      </c>
      <c r="E58" s="369" t="s">
        <v>1173</v>
      </c>
    </row>
    <row r="60" spans="1:5">
      <c r="A60" s="369" t="s">
        <v>1174</v>
      </c>
      <c r="B60" s="369" t="s">
        <v>739</v>
      </c>
    </row>
    <row r="61" spans="1:5">
      <c r="B61" s="369" t="s">
        <v>1175</v>
      </c>
      <c r="C61" s="401">
        <v>1</v>
      </c>
    </row>
    <row r="62" spans="1:5">
      <c r="B62" s="369" t="s">
        <v>395</v>
      </c>
    </row>
    <row r="63" spans="1:5">
      <c r="B63" s="369" t="s">
        <v>1176</v>
      </c>
      <c r="C63" s="401">
        <v>1</v>
      </c>
    </row>
    <row r="65" spans="1:3">
      <c r="A65" s="369" t="s">
        <v>1177</v>
      </c>
      <c r="B65" s="369" t="s">
        <v>1178</v>
      </c>
      <c r="C65" s="401">
        <v>1</v>
      </c>
    </row>
    <row r="66" spans="1:3">
      <c r="B66" s="369" t="s">
        <v>1179</v>
      </c>
      <c r="C66" s="401">
        <v>1</v>
      </c>
    </row>
    <row r="67" spans="1:3">
      <c r="B67" s="369" t="s">
        <v>1180</v>
      </c>
      <c r="C67" s="401">
        <v>1</v>
      </c>
    </row>
    <row r="68" spans="1:3">
      <c r="B68" s="369" t="s">
        <v>1181</v>
      </c>
      <c r="C68" s="401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B5"/>
  <sheetViews>
    <sheetView workbookViewId="0">
      <selection activeCell="I50" sqref="I50"/>
    </sheetView>
  </sheetViews>
  <sheetFormatPr defaultRowHeight="13.2"/>
  <cols>
    <col min="4" max="4" width="0" hidden="1" customWidth="1"/>
    <col min="6" max="6" width="0" hidden="1" customWidth="1"/>
    <col min="7" max="7" width="15.44140625" bestFit="1" customWidth="1"/>
  </cols>
  <sheetData>
    <row r="2" spans="2:2">
      <c r="B2" t="s">
        <v>1182</v>
      </c>
    </row>
    <row r="5" spans="2:2">
      <c r="B5" t="s">
        <v>1183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40-38CD-4066-B8E2-8B144E318A69}">
  <sheetPr>
    <pageSetUpPr fitToPage="1"/>
  </sheetPr>
  <dimension ref="B2:F47"/>
  <sheetViews>
    <sheetView zoomScaleNormal="100" workbookViewId="0">
      <selection activeCell="C38" sqref="C38"/>
    </sheetView>
  </sheetViews>
  <sheetFormatPr defaultColWidth="8.6640625" defaultRowHeight="13.2"/>
  <cols>
    <col min="1" max="1" width="0.6640625" style="369" customWidth="1"/>
    <col min="2" max="2" width="31.33203125" style="369" bestFit="1" customWidth="1"/>
    <col min="3" max="3" width="120.6640625" style="369" customWidth="1"/>
    <col min="4" max="4" width="0.6640625" style="369" customWidth="1"/>
    <col min="5" max="8" width="8.6640625" style="369"/>
    <col min="9" max="9" width="63.6640625" style="369" bestFit="1" customWidth="1"/>
    <col min="10" max="16384" width="8.6640625" style="369"/>
  </cols>
  <sheetData>
    <row r="2" spans="2:3">
      <c r="B2" s="788" t="s">
        <v>7</v>
      </c>
      <c r="C2" s="788" t="s">
        <v>1552</v>
      </c>
    </row>
    <row r="3" spans="2:3" ht="3" customHeight="1">
      <c r="B3" s="773"/>
      <c r="C3" s="773"/>
    </row>
    <row r="4" spans="2:3">
      <c r="B4" s="788" t="s">
        <v>13</v>
      </c>
      <c r="C4" s="788" t="s">
        <v>1553</v>
      </c>
    </row>
    <row r="5" spans="2:3" ht="26.4">
      <c r="B5" s="773" t="s">
        <v>1554</v>
      </c>
      <c r="C5" s="786" t="s">
        <v>1555</v>
      </c>
    </row>
    <row r="6" spans="2:3" ht="52.8">
      <c r="B6" s="773" t="s">
        <v>1556</v>
      </c>
      <c r="C6" s="786" t="s">
        <v>1557</v>
      </c>
    </row>
    <row r="7" spans="2:3" ht="39.6">
      <c r="B7" s="773" t="s">
        <v>62</v>
      </c>
      <c r="C7" s="786" t="s">
        <v>1558</v>
      </c>
    </row>
    <row r="8" spans="2:3" ht="26.4">
      <c r="B8" s="773" t="s">
        <v>74</v>
      </c>
      <c r="C8" s="786" t="s">
        <v>1559</v>
      </c>
    </row>
    <row r="9" spans="2:3" ht="26.4">
      <c r="B9" s="773" t="s">
        <v>91</v>
      </c>
      <c r="C9" s="786" t="s">
        <v>1560</v>
      </c>
    </row>
    <row r="10" spans="2:3">
      <c r="B10" s="773" t="s">
        <v>120</v>
      </c>
      <c r="C10" s="773" t="s">
        <v>1561</v>
      </c>
    </row>
    <row r="11" spans="2:3">
      <c r="B11" s="773" t="s">
        <v>130</v>
      </c>
      <c r="C11" s="773" t="s">
        <v>1562</v>
      </c>
    </row>
    <row r="12" spans="2:3">
      <c r="B12" s="773" t="s">
        <v>160</v>
      </c>
      <c r="C12" s="786" t="s">
        <v>1563</v>
      </c>
    </row>
    <row r="13" spans="2:3">
      <c r="B13" s="773" t="s">
        <v>167</v>
      </c>
      <c r="C13" s="773" t="s">
        <v>1564</v>
      </c>
    </row>
    <row r="14" spans="2:3">
      <c r="B14" s="773" t="s">
        <v>173</v>
      </c>
      <c r="C14" s="789" t="s">
        <v>1565</v>
      </c>
    </row>
    <row r="15" spans="2:3" ht="39.6">
      <c r="B15" s="773" t="s">
        <v>182</v>
      </c>
      <c r="C15" s="786" t="s">
        <v>1566</v>
      </c>
    </row>
    <row r="16" spans="2:3" ht="39.6">
      <c r="B16" s="773" t="s">
        <v>222</v>
      </c>
      <c r="C16" s="786" t="s">
        <v>1567</v>
      </c>
    </row>
    <row r="17" spans="2:6">
      <c r="B17" s="773" t="s">
        <v>233</v>
      </c>
      <c r="C17" s="773" t="s">
        <v>1568</v>
      </c>
      <c r="D17" s="772"/>
    </row>
    <row r="18" spans="2:6">
      <c r="B18" s="773" t="s">
        <v>243</v>
      </c>
      <c r="C18" s="773" t="s">
        <v>72</v>
      </c>
      <c r="D18" s="772"/>
    </row>
    <row r="19" spans="2:6">
      <c r="B19" s="773" t="s">
        <v>245</v>
      </c>
      <c r="C19" s="773" t="s">
        <v>1569</v>
      </c>
      <c r="D19" s="772"/>
    </row>
    <row r="20" spans="2:6">
      <c r="B20" s="773" t="s">
        <v>248</v>
      </c>
      <c r="C20" s="773" t="s">
        <v>1570</v>
      </c>
      <c r="D20" s="772"/>
    </row>
    <row r="21" spans="2:6">
      <c r="B21" s="773" t="s">
        <v>251</v>
      </c>
      <c r="C21" s="773" t="s">
        <v>1571</v>
      </c>
      <c r="D21" s="772"/>
    </row>
    <row r="22" spans="2:6">
      <c r="B22" s="773" t="s">
        <v>258</v>
      </c>
      <c r="C22" s="773" t="s">
        <v>1572</v>
      </c>
      <c r="D22" s="772"/>
    </row>
    <row r="23" spans="2:6">
      <c r="B23" s="773" t="s">
        <v>260</v>
      </c>
      <c r="C23" s="773" t="s">
        <v>1573</v>
      </c>
      <c r="D23" s="772"/>
      <c r="E23" s="369" t="s">
        <v>1574</v>
      </c>
      <c r="F23" s="369" t="s">
        <v>1575</v>
      </c>
    </row>
    <row r="24" spans="2:6" ht="3" customHeight="1">
      <c r="B24" s="773"/>
      <c r="C24" s="773"/>
      <c r="D24" s="772"/>
    </row>
    <row r="25" spans="2:6">
      <c r="B25" s="788" t="s">
        <v>280</v>
      </c>
      <c r="C25" s="788"/>
      <c r="D25" s="772"/>
    </row>
    <row r="26" spans="2:6" ht="3" customHeight="1">
      <c r="B26" s="773"/>
      <c r="C26" s="773"/>
      <c r="D26" s="772"/>
    </row>
    <row r="27" spans="2:6">
      <c r="B27" s="773" t="s">
        <v>281</v>
      </c>
      <c r="C27" s="773" t="s">
        <v>1576</v>
      </c>
      <c r="D27" s="772"/>
    </row>
    <row r="28" spans="2:6">
      <c r="B28" s="773" t="s">
        <v>289</v>
      </c>
      <c r="C28" s="773" t="s">
        <v>1577</v>
      </c>
      <c r="D28" s="772"/>
    </row>
    <row r="29" spans="2:6">
      <c r="B29" s="773" t="s">
        <v>296</v>
      </c>
      <c r="C29" s="773" t="s">
        <v>1578</v>
      </c>
      <c r="D29" s="772"/>
    </row>
    <row r="30" spans="2:6">
      <c r="B30" s="773" t="s">
        <v>300</v>
      </c>
      <c r="C30" s="773" t="s">
        <v>1579</v>
      </c>
      <c r="D30" s="772"/>
    </row>
    <row r="31" spans="2:6">
      <c r="B31" s="773" t="s">
        <v>307</v>
      </c>
      <c r="C31" s="773" t="s">
        <v>1580</v>
      </c>
      <c r="D31" s="772"/>
    </row>
    <row r="32" spans="2:6">
      <c r="B32" s="773" t="s">
        <v>311</v>
      </c>
      <c r="C32" s="773" t="s">
        <v>1580</v>
      </c>
      <c r="D32" s="772"/>
    </row>
    <row r="33" spans="2:3">
      <c r="B33" s="773" t="s">
        <v>271</v>
      </c>
      <c r="C33" s="773" t="s">
        <v>1581</v>
      </c>
    </row>
    <row r="34" spans="2:3">
      <c r="B34" s="773" t="s">
        <v>328</v>
      </c>
      <c r="C34" s="773" t="s">
        <v>1582</v>
      </c>
    </row>
    <row r="35" spans="2:3">
      <c r="B35" s="773" t="s">
        <v>1513</v>
      </c>
      <c r="C35" s="773" t="s">
        <v>1583</v>
      </c>
    </row>
    <row r="36" spans="2:3">
      <c r="B36" s="773" t="s">
        <v>1517</v>
      </c>
      <c r="C36" s="608" t="s">
        <v>1584</v>
      </c>
    </row>
    <row r="37" spans="2:3">
      <c r="B37" s="773" t="s">
        <v>1517</v>
      </c>
      <c r="C37" s="608" t="s">
        <v>1519</v>
      </c>
    </row>
    <row r="38" spans="2:3">
      <c r="B38" s="773" t="s">
        <v>1531</v>
      </c>
      <c r="C38" s="608" t="s">
        <v>1527</v>
      </c>
    </row>
    <row r="39" spans="2:3">
      <c r="B39" s="773" t="s">
        <v>1533</v>
      </c>
      <c r="C39" s="773" t="s">
        <v>1568</v>
      </c>
    </row>
    <row r="40" spans="2:3">
      <c r="B40" s="773" t="s">
        <v>348</v>
      </c>
      <c r="C40" s="773" t="s">
        <v>1568</v>
      </c>
    </row>
    <row r="41" spans="2:3">
      <c r="B41" s="773" t="s">
        <v>351</v>
      </c>
      <c r="C41" s="773" t="s">
        <v>1585</v>
      </c>
    </row>
    <row r="42" spans="2:3">
      <c r="B42" s="773" t="s">
        <v>353</v>
      </c>
      <c r="C42" s="773" t="s">
        <v>1586</v>
      </c>
    </row>
    <row r="43" spans="2:3">
      <c r="B43" s="773" t="s">
        <v>355</v>
      </c>
      <c r="C43" s="773" t="s">
        <v>1568</v>
      </c>
    </row>
    <row r="44" spans="2:3">
      <c r="B44" s="773" t="s">
        <v>1546</v>
      </c>
      <c r="C44" s="773" t="s">
        <v>1577</v>
      </c>
    </row>
    <row r="45" spans="2:3">
      <c r="B45" s="773" t="s">
        <v>378</v>
      </c>
      <c r="C45" s="773" t="s">
        <v>1568</v>
      </c>
    </row>
    <row r="46" spans="2:3">
      <c r="B46" s="773" t="s">
        <v>360</v>
      </c>
      <c r="C46" s="773" t="s">
        <v>1568</v>
      </c>
    </row>
    <row r="47" spans="2:3">
      <c r="B47" s="773" t="s">
        <v>1587</v>
      </c>
      <c r="C47" s="773" t="s">
        <v>1580</v>
      </c>
    </row>
  </sheetData>
  <printOptions horizontalCentered="1"/>
  <pageMargins left="0.23622047244094491" right="0.23622047244094491" top="0.35433070866141736" bottom="0.23622047244094491" header="0.51181102362204722" footer="0.31496062992125984"/>
  <pageSetup paperSize="8" scale="8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>
    <outlinePr summaryBelow="0" summaryRight="0"/>
    <pageSetUpPr fitToPage="1"/>
  </sheetPr>
  <dimension ref="A2:AI31"/>
  <sheetViews>
    <sheetView tabSelected="1" zoomScale="85" zoomScaleNormal="85" workbookViewId="0">
      <pane xSplit="2" ySplit="4" topLeftCell="C13" activePane="bottomRight" state="frozen"/>
      <selection pane="topRight"/>
      <selection pane="bottomLeft" activeCell="A8" sqref="A8"/>
      <selection pane="bottomRight" activeCell="C32" sqref="C32"/>
    </sheetView>
  </sheetViews>
  <sheetFormatPr defaultColWidth="9.44140625" defaultRowHeight="13.2" outlineLevelRow="4" outlineLevelCol="1"/>
  <cols>
    <col min="1" max="1" width="0.5546875" style="416" customWidth="1"/>
    <col min="2" max="2" width="22.6640625" style="416" customWidth="1"/>
    <col min="3" max="3" width="53.6640625" style="749" customWidth="1"/>
    <col min="4" max="4" width="16.33203125" style="442" customWidth="1"/>
    <col min="5" max="6" width="14.44140625" style="416" customWidth="1"/>
    <col min="7" max="9" width="0.5546875" style="416" customWidth="1"/>
    <col min="10" max="10" width="13.33203125" style="416" bestFit="1" customWidth="1"/>
    <col min="11" max="11" width="12.44140625" style="416" bestFit="1" customWidth="1" outlineLevel="1"/>
    <col min="12" max="12" width="16.33203125" style="416" customWidth="1"/>
    <col min="13" max="13" width="14.33203125" style="416" customWidth="1" outlineLevel="1"/>
    <col min="14" max="16" width="0.5546875" style="416" customWidth="1"/>
    <col min="17" max="18" width="14.44140625" style="416" customWidth="1"/>
    <col min="19" max="22" width="14.44140625" style="416" customWidth="1" outlineLevel="1"/>
    <col min="23" max="25" width="0.5546875" style="416" customWidth="1"/>
    <col min="28" max="30" width="9.44140625" style="416"/>
    <col min="31" max="31" width="9.44140625" style="416" bestFit="1" customWidth="1"/>
    <col min="32" max="16384" width="9.44140625" style="416"/>
  </cols>
  <sheetData>
    <row r="2" spans="1:35" ht="17.399999999999999">
      <c r="A2" s="376"/>
      <c r="B2" s="418" t="s">
        <v>1588</v>
      </c>
      <c r="C2" s="423"/>
      <c r="D2" s="421"/>
      <c r="E2" s="418"/>
      <c r="F2" s="418"/>
      <c r="G2" s="626"/>
      <c r="H2" s="751"/>
      <c r="J2" s="689">
        <f>SUBTOTAL(9,J6:J25)</f>
        <v>4.9130000000000007E-3</v>
      </c>
      <c r="K2" s="690">
        <f>SUBTOTAL(9,K6:K32)</f>
        <v>7</v>
      </c>
      <c r="L2" s="689">
        <f>SUBTOTAL(9,L6:L25)</f>
        <v>0</v>
      </c>
      <c r="M2" s="764">
        <f>SUBTOTAL(9,M6:M25)</f>
        <v>0</v>
      </c>
      <c r="N2" s="626"/>
      <c r="O2" s="751"/>
      <c r="Q2" s="418"/>
      <c r="R2" s="418"/>
      <c r="S2" s="418"/>
      <c r="T2" s="418"/>
      <c r="U2" s="418"/>
      <c r="V2" s="418"/>
      <c r="X2" s="751"/>
      <c r="AB2" s="610">
        <f>J2-L2</f>
        <v>4.9130000000000007E-3</v>
      </c>
      <c r="AC2" s="610">
        <f>K2-M2</f>
        <v>7</v>
      </c>
    </row>
    <row r="3" spans="1:35" ht="3" customHeight="1">
      <c r="A3" s="376"/>
      <c r="B3" s="376"/>
      <c r="C3" s="608"/>
      <c r="D3" s="528"/>
      <c r="E3" s="376"/>
      <c r="F3" s="376"/>
      <c r="G3" s="626"/>
      <c r="H3" s="751"/>
      <c r="J3" s="376"/>
      <c r="K3" s="376"/>
      <c r="L3" s="376"/>
      <c r="M3" s="376"/>
      <c r="N3" s="626"/>
      <c r="O3" s="751"/>
      <c r="Q3" s="376"/>
      <c r="R3" s="376"/>
      <c r="S3" s="376"/>
      <c r="T3" s="376"/>
      <c r="U3" s="376"/>
      <c r="V3" s="376"/>
      <c r="X3" s="751"/>
    </row>
    <row r="4" spans="1:35" s="442" customFormat="1" ht="30">
      <c r="A4" s="528"/>
      <c r="B4" s="621" t="s">
        <v>7</v>
      </c>
      <c r="C4" s="693" t="s">
        <v>11</v>
      </c>
      <c r="D4" s="621" t="s">
        <v>1945</v>
      </c>
      <c r="E4" s="621" t="s">
        <v>1944</v>
      </c>
      <c r="F4" s="621" t="s">
        <v>406</v>
      </c>
      <c r="G4" s="694"/>
      <c r="H4" s="752"/>
      <c r="J4" s="693" t="s">
        <v>1185</v>
      </c>
      <c r="K4" s="693" t="s">
        <v>1186</v>
      </c>
      <c r="L4" s="621" t="s">
        <v>1192</v>
      </c>
      <c r="M4" s="693" t="s">
        <v>1193</v>
      </c>
      <c r="N4" s="694"/>
      <c r="O4" s="752"/>
      <c r="Q4" s="621" t="s">
        <v>10</v>
      </c>
      <c r="R4" s="621" t="s">
        <v>1187</v>
      </c>
      <c r="S4" s="621" t="s">
        <v>1188</v>
      </c>
      <c r="T4" s="621" t="s">
        <v>1189</v>
      </c>
      <c r="U4" s="621" t="s">
        <v>1190</v>
      </c>
      <c r="V4" s="621" t="s">
        <v>1191</v>
      </c>
      <c r="X4" s="752"/>
      <c r="AB4" s="763">
        <f>L2/J2</f>
        <v>0</v>
      </c>
      <c r="AC4" s="763">
        <f>M2/K2</f>
        <v>0</v>
      </c>
      <c r="AD4" s="416"/>
    </row>
    <row r="5" spans="1:35" ht="3" customHeight="1">
      <c r="A5" s="376"/>
      <c r="B5" s="376"/>
      <c r="C5" s="608"/>
      <c r="D5" s="528"/>
      <c r="E5" s="376"/>
      <c r="F5" s="376"/>
      <c r="G5" s="626"/>
      <c r="H5" s="751"/>
      <c r="J5" s="695"/>
      <c r="K5" s="696"/>
      <c r="L5" s="695"/>
      <c r="M5" s="696"/>
      <c r="N5" s="626"/>
      <c r="O5" s="751"/>
      <c r="Q5" s="376"/>
      <c r="R5" s="376"/>
      <c r="S5" s="376"/>
      <c r="T5" s="376"/>
      <c r="U5" s="376"/>
      <c r="V5" s="376"/>
      <c r="X5" s="751"/>
      <c r="AB5" s="610"/>
      <c r="AC5" s="610"/>
      <c r="AD5" s="610"/>
      <c r="AE5" s="610"/>
    </row>
    <row r="6" spans="1:35" ht="15">
      <c r="A6" s="376"/>
      <c r="B6" s="430" t="s">
        <v>251</v>
      </c>
      <c r="C6" s="697" t="s">
        <v>262</v>
      </c>
      <c r="D6" s="859"/>
      <c r="E6" s="430"/>
      <c r="F6" s="430"/>
      <c r="G6" s="626"/>
      <c r="H6" s="751"/>
      <c r="J6" s="698">
        <f>SUBTOTAL(9,J7:J25)</f>
        <v>4.9130000000000007E-3</v>
      </c>
      <c r="K6" s="699">
        <f>SUBTOTAL(9,K7:K34)</f>
        <v>7</v>
      </c>
      <c r="L6" s="698">
        <f>SUBTOTAL(9,L7:L31)</f>
        <v>0</v>
      </c>
      <c r="M6" s="699">
        <f>SUBTOTAL(9,M7:M25)</f>
        <v>0</v>
      </c>
      <c r="N6" s="626"/>
      <c r="O6" s="751"/>
      <c r="Q6" s="430"/>
      <c r="R6" s="430"/>
      <c r="S6" s="430"/>
      <c r="T6" s="430"/>
      <c r="U6" s="430"/>
      <c r="V6" s="430"/>
      <c r="X6" s="751"/>
      <c r="AB6" s="610"/>
      <c r="AC6" s="610"/>
      <c r="AD6" s="610"/>
      <c r="AE6" s="610"/>
    </row>
    <row r="7" spans="1:35" outlineLevel="1">
      <c r="A7" s="376"/>
      <c r="B7" s="665" t="s">
        <v>17</v>
      </c>
      <c r="C7" s="681" t="s">
        <v>262</v>
      </c>
      <c r="D7" s="860"/>
      <c r="E7" s="665"/>
      <c r="F7" s="665"/>
      <c r="G7" s="626"/>
      <c r="H7" s="751"/>
      <c r="J7" s="701">
        <f>SUBTOTAL(9,J27:J97)</f>
        <v>5.0000000000000001E-4</v>
      </c>
      <c r="K7" s="702">
        <f>SUBTOTAL(9,K8:K19)</f>
        <v>4</v>
      </c>
      <c r="L7" s="701">
        <f>SUBTOTAL(9,L8:L19)</f>
        <v>0</v>
      </c>
      <c r="M7" s="702">
        <f>SUBTOTAL(9,M27:M97)</f>
        <v>0</v>
      </c>
      <c r="N7" s="626"/>
      <c r="O7" s="751"/>
      <c r="Q7" s="665"/>
      <c r="R7" s="665"/>
      <c r="S7" s="665"/>
      <c r="T7" s="665"/>
      <c r="U7" s="665"/>
      <c r="V7" s="665"/>
      <c r="X7" s="751"/>
      <c r="AB7" s="610"/>
      <c r="AC7" s="610"/>
      <c r="AD7" s="610"/>
    </row>
    <row r="8" spans="1:35" outlineLevel="3">
      <c r="A8" s="376"/>
      <c r="B8" s="376" t="s">
        <v>251</v>
      </c>
      <c r="C8" s="608" t="s">
        <v>253</v>
      </c>
      <c r="D8" s="861">
        <v>46287</v>
      </c>
      <c r="E8" s="376" t="s">
        <v>241</v>
      </c>
      <c r="F8" s="808"/>
      <c r="G8" s="626"/>
      <c r="H8" s="751"/>
      <c r="J8" s="609">
        <v>2.0999999999999999E-3</v>
      </c>
      <c r="K8" s="700">
        <v>1</v>
      </c>
      <c r="L8" s="609">
        <f>IF(M8=1,J8,0)</f>
        <v>0</v>
      </c>
      <c r="M8" s="700"/>
      <c r="N8" s="626"/>
      <c r="O8" s="751"/>
      <c r="Q8" s="376" t="s">
        <v>241</v>
      </c>
      <c r="R8" s="376"/>
      <c r="S8" s="376"/>
      <c r="T8" s="376"/>
      <c r="U8" s="376"/>
      <c r="V8" s="376"/>
      <c r="X8" s="751"/>
    </row>
    <row r="9" spans="1:35" outlineLevel="4">
      <c r="A9" s="376"/>
      <c r="B9" s="806" t="s">
        <v>1946</v>
      </c>
      <c r="C9" s="807" t="s">
        <v>1948</v>
      </c>
      <c r="D9" s="528"/>
      <c r="E9" s="806" t="s">
        <v>1950</v>
      </c>
      <c r="G9" s="626"/>
      <c r="H9" s="751"/>
      <c r="J9" s="804"/>
      <c r="K9" s="805"/>
      <c r="L9" s="804"/>
      <c r="M9" s="805"/>
      <c r="N9" s="626"/>
      <c r="O9" s="751"/>
      <c r="Q9" s="376"/>
      <c r="R9" s="376"/>
      <c r="S9" s="376"/>
      <c r="T9" s="376"/>
      <c r="U9" s="376"/>
      <c r="V9" s="376"/>
      <c r="X9" s="751"/>
      <c r="AB9" s="610"/>
      <c r="AC9" s="610"/>
      <c r="AD9" s="610"/>
      <c r="AH9" s="447"/>
      <c r="AI9" s="683"/>
    </row>
    <row r="10" spans="1:35" outlineLevel="4">
      <c r="A10" s="376"/>
      <c r="B10" s="806" t="s">
        <v>1947</v>
      </c>
      <c r="C10" s="807" t="s">
        <v>1949</v>
      </c>
      <c r="D10" s="528"/>
      <c r="E10" s="806" t="s">
        <v>1951</v>
      </c>
      <c r="G10" s="626"/>
      <c r="H10" s="751"/>
      <c r="J10" s="804"/>
      <c r="K10" s="805"/>
      <c r="L10" s="804"/>
      <c r="M10" s="805"/>
      <c r="N10" s="626"/>
      <c r="O10" s="751"/>
      <c r="Q10" s="376"/>
      <c r="R10" s="376"/>
      <c r="S10" s="376"/>
      <c r="T10" s="376"/>
      <c r="U10" s="376"/>
      <c r="V10" s="376"/>
      <c r="X10" s="751"/>
      <c r="AB10" s="610"/>
      <c r="AC10" s="610"/>
      <c r="AD10" s="610"/>
      <c r="AH10" s="447"/>
      <c r="AI10" s="683"/>
    </row>
    <row r="11" spans="1:35" outlineLevel="3">
      <c r="A11" s="376"/>
      <c r="B11" s="376" t="s">
        <v>251</v>
      </c>
      <c r="C11" s="608" t="s">
        <v>254</v>
      </c>
      <c r="D11" s="861">
        <v>46287</v>
      </c>
      <c r="E11" s="376" t="s">
        <v>241</v>
      </c>
      <c r="F11" s="808"/>
      <c r="G11" s="626"/>
      <c r="H11" s="751"/>
      <c r="J11" s="609">
        <v>8.7500000000000002E-4</v>
      </c>
      <c r="K11" s="700">
        <v>1</v>
      </c>
      <c r="L11" s="609">
        <f>IF(M11=1,J11,0)</f>
        <v>0</v>
      </c>
      <c r="M11" s="700"/>
      <c r="N11" s="626"/>
      <c r="O11" s="751"/>
      <c r="Q11" s="376" t="s">
        <v>241</v>
      </c>
      <c r="R11" s="376"/>
      <c r="S11" s="376"/>
      <c r="T11" s="376"/>
      <c r="U11" s="376"/>
      <c r="V11" s="376"/>
      <c r="X11" s="751"/>
    </row>
    <row r="12" spans="1:35" outlineLevel="4">
      <c r="A12" s="376"/>
      <c r="B12" s="806" t="s">
        <v>1946</v>
      </c>
      <c r="C12" s="807" t="s">
        <v>1948</v>
      </c>
      <c r="D12" s="528"/>
      <c r="E12" s="806" t="s">
        <v>1950</v>
      </c>
      <c r="G12" s="626"/>
      <c r="H12" s="751"/>
      <c r="J12" s="804"/>
      <c r="K12" s="805"/>
      <c r="L12" s="804"/>
      <c r="M12" s="805"/>
      <c r="N12" s="626"/>
      <c r="O12" s="751"/>
      <c r="Q12" s="376"/>
      <c r="R12" s="376"/>
      <c r="S12" s="376"/>
      <c r="T12" s="376"/>
      <c r="U12" s="376"/>
      <c r="V12" s="376"/>
      <c r="X12" s="751"/>
      <c r="AB12" s="610"/>
      <c r="AC12" s="610"/>
      <c r="AD12" s="610"/>
      <c r="AH12" s="447"/>
      <c r="AI12" s="683"/>
    </row>
    <row r="13" spans="1:35" outlineLevel="4">
      <c r="A13" s="376"/>
      <c r="B13" s="806" t="s">
        <v>1947</v>
      </c>
      <c r="C13" s="807" t="s">
        <v>1949</v>
      </c>
      <c r="D13" s="528"/>
      <c r="E13" s="806" t="s">
        <v>1951</v>
      </c>
      <c r="G13" s="626"/>
      <c r="H13" s="751"/>
      <c r="J13" s="804"/>
      <c r="K13" s="805"/>
      <c r="L13" s="804"/>
      <c r="M13" s="805"/>
      <c r="N13" s="626"/>
      <c r="O13" s="751"/>
      <c r="Q13" s="376"/>
      <c r="R13" s="376"/>
      <c r="S13" s="376"/>
      <c r="T13" s="376"/>
      <c r="U13" s="376"/>
      <c r="V13" s="376"/>
      <c r="X13" s="751"/>
      <c r="AB13" s="610"/>
      <c r="AC13" s="610"/>
      <c r="AD13" s="610"/>
      <c r="AH13" s="447"/>
      <c r="AI13" s="683"/>
    </row>
    <row r="14" spans="1:35" outlineLevel="3">
      <c r="A14" s="376"/>
      <c r="B14" s="376" t="s">
        <v>251</v>
      </c>
      <c r="C14" s="608" t="s">
        <v>255</v>
      </c>
      <c r="D14" s="861">
        <v>46295</v>
      </c>
      <c r="E14" s="376" t="s">
        <v>241</v>
      </c>
      <c r="F14" s="808"/>
      <c r="G14" s="626"/>
      <c r="H14" s="751"/>
      <c r="J14" s="609">
        <v>5.2499999999999997E-4</v>
      </c>
      <c r="K14" s="700">
        <v>1</v>
      </c>
      <c r="L14" s="609">
        <f>IF(M14=1,J14,0)</f>
        <v>0</v>
      </c>
      <c r="M14" s="700"/>
      <c r="N14" s="626"/>
      <c r="O14" s="751"/>
      <c r="Q14" s="376" t="s">
        <v>241</v>
      </c>
      <c r="R14" s="376"/>
      <c r="S14" s="376"/>
      <c r="T14" s="376"/>
      <c r="U14" s="376"/>
      <c r="V14" s="376"/>
      <c r="X14" s="751"/>
    </row>
    <row r="15" spans="1:35" outlineLevel="4">
      <c r="A15" s="376"/>
      <c r="B15" s="806" t="s">
        <v>1946</v>
      </c>
      <c r="C15" s="807" t="s">
        <v>1948</v>
      </c>
      <c r="D15" s="528"/>
      <c r="E15" s="806" t="s">
        <v>1950</v>
      </c>
      <c r="G15" s="626"/>
      <c r="H15" s="751"/>
      <c r="J15" s="804"/>
      <c r="K15" s="805"/>
      <c r="L15" s="804"/>
      <c r="M15" s="805"/>
      <c r="N15" s="626"/>
      <c r="O15" s="751"/>
      <c r="Q15" s="376"/>
      <c r="R15" s="376"/>
      <c r="S15" s="376"/>
      <c r="T15" s="376"/>
      <c r="U15" s="376"/>
      <c r="V15" s="376"/>
      <c r="X15" s="751"/>
      <c r="AB15" s="610"/>
      <c r="AC15" s="610"/>
      <c r="AD15" s="610"/>
      <c r="AH15" s="447"/>
      <c r="AI15" s="683"/>
    </row>
    <row r="16" spans="1:35" outlineLevel="4">
      <c r="A16" s="376"/>
      <c r="B16" s="806" t="s">
        <v>1947</v>
      </c>
      <c r="C16" s="807" t="s">
        <v>1949</v>
      </c>
      <c r="D16" s="528"/>
      <c r="E16" s="806" t="s">
        <v>1951</v>
      </c>
      <c r="G16" s="626"/>
      <c r="H16" s="751"/>
      <c r="J16" s="804"/>
      <c r="K16" s="805"/>
      <c r="L16" s="804"/>
      <c r="M16" s="805"/>
      <c r="N16" s="626"/>
      <c r="O16" s="751"/>
      <c r="Q16" s="376"/>
      <c r="R16" s="376"/>
      <c r="S16" s="376"/>
      <c r="T16" s="376"/>
      <c r="U16" s="376"/>
      <c r="V16" s="376"/>
      <c r="X16" s="751"/>
      <c r="AB16" s="610"/>
      <c r="AC16" s="610"/>
      <c r="AD16" s="610"/>
      <c r="AH16" s="447"/>
      <c r="AI16" s="683"/>
    </row>
    <row r="17" spans="1:35" ht="26.4" outlineLevel="3">
      <c r="A17" s="376"/>
      <c r="B17" s="376" t="s">
        <v>251</v>
      </c>
      <c r="C17" s="608" t="s">
        <v>1968</v>
      </c>
      <c r="D17" s="861">
        <v>46325</v>
      </c>
      <c r="E17" s="376" t="s">
        <v>241</v>
      </c>
      <c r="F17" s="376"/>
      <c r="G17" s="626"/>
      <c r="H17" s="751"/>
      <c r="J17" s="609">
        <v>5.0000000000000001E-4</v>
      </c>
      <c r="K17" s="700">
        <v>1</v>
      </c>
      <c r="L17" s="609">
        <f>IF(M17=1,J17,0)</f>
        <v>0</v>
      </c>
      <c r="M17" s="700"/>
      <c r="N17" s="626"/>
      <c r="O17" s="751"/>
      <c r="Q17" s="376" t="s">
        <v>241</v>
      </c>
      <c r="R17" s="376"/>
      <c r="S17" s="376"/>
      <c r="T17" s="376"/>
      <c r="U17" s="376"/>
      <c r="V17" s="376"/>
      <c r="X17" s="751"/>
    </row>
    <row r="18" spans="1:35" outlineLevel="4">
      <c r="A18" s="376"/>
      <c r="B18" s="806" t="s">
        <v>1946</v>
      </c>
      <c r="C18" s="807" t="s">
        <v>1948</v>
      </c>
      <c r="D18" s="528"/>
      <c r="E18" s="806" t="s">
        <v>1950</v>
      </c>
      <c r="G18" s="626"/>
      <c r="H18" s="751"/>
      <c r="J18" s="804"/>
      <c r="K18" s="805"/>
      <c r="L18" s="804"/>
      <c r="M18" s="805"/>
      <c r="N18" s="626"/>
      <c r="O18" s="751"/>
      <c r="Q18" s="376"/>
      <c r="R18" s="376"/>
      <c r="S18" s="376"/>
      <c r="T18" s="376"/>
      <c r="U18" s="376"/>
      <c r="V18" s="376"/>
      <c r="X18" s="751"/>
      <c r="AB18" s="610"/>
      <c r="AC18" s="610"/>
      <c r="AD18" s="610"/>
      <c r="AH18" s="447"/>
      <c r="AI18" s="683"/>
    </row>
    <row r="19" spans="1:35" outlineLevel="4">
      <c r="A19" s="376"/>
      <c r="B19" s="806" t="s">
        <v>1947</v>
      </c>
      <c r="C19" s="807" t="s">
        <v>1949</v>
      </c>
      <c r="D19" s="528"/>
      <c r="E19" s="806" t="s">
        <v>1951</v>
      </c>
      <c r="G19" s="626"/>
      <c r="H19" s="751"/>
      <c r="J19" s="804"/>
      <c r="K19" s="805"/>
      <c r="L19" s="804"/>
      <c r="M19" s="805"/>
      <c r="N19" s="626"/>
      <c r="O19" s="751"/>
      <c r="Q19" s="376"/>
      <c r="R19" s="376"/>
      <c r="S19" s="376"/>
      <c r="T19" s="376"/>
      <c r="U19" s="376"/>
      <c r="V19" s="376"/>
      <c r="X19" s="751"/>
      <c r="AB19" s="610"/>
      <c r="AC19" s="610"/>
      <c r="AD19" s="610"/>
      <c r="AH19" s="447"/>
      <c r="AI19" s="683"/>
    </row>
    <row r="20" spans="1:35" outlineLevel="1">
      <c r="A20" s="376"/>
      <c r="B20" s="665" t="s">
        <v>1952</v>
      </c>
      <c r="C20" s="681" t="s">
        <v>262</v>
      </c>
      <c r="D20" s="860"/>
      <c r="E20" s="665"/>
      <c r="F20" s="665"/>
      <c r="G20" s="626"/>
      <c r="H20" s="751"/>
      <c r="J20" s="701">
        <f>SUBTOTAL(9,J21:J138)</f>
        <v>1.4130000000000002E-3</v>
      </c>
      <c r="K20" s="702">
        <f>SUBTOTAL(9,K21:K23)</f>
        <v>1</v>
      </c>
      <c r="L20" s="701">
        <f>SUBTOTAL(9,L21:L23)</f>
        <v>0</v>
      </c>
      <c r="M20" s="702">
        <f>SUBTOTAL(9,M21:M138)</f>
        <v>0</v>
      </c>
      <c r="N20" s="626"/>
      <c r="O20" s="751"/>
      <c r="Q20" s="665"/>
      <c r="R20" s="665"/>
      <c r="S20" s="665"/>
      <c r="T20" s="665"/>
      <c r="U20" s="665"/>
      <c r="V20" s="665"/>
      <c r="X20" s="751"/>
      <c r="AB20" s="610"/>
      <c r="AC20" s="610"/>
      <c r="AD20" s="610"/>
    </row>
    <row r="21" spans="1:35" outlineLevel="2">
      <c r="A21" s="376"/>
      <c r="B21" s="376" t="s">
        <v>251</v>
      </c>
      <c r="C21" s="608" t="s">
        <v>257</v>
      </c>
      <c r="D21" s="861">
        <v>46325</v>
      </c>
      <c r="E21" s="376" t="s">
        <v>26</v>
      </c>
      <c r="F21" s="376"/>
      <c r="G21" s="626"/>
      <c r="H21" s="751"/>
      <c r="J21" s="609">
        <v>1.13E-4</v>
      </c>
      <c r="K21" s="700">
        <v>1</v>
      </c>
      <c r="L21" s="609">
        <f>IF(M21=1,J21,0)</f>
        <v>0</v>
      </c>
      <c r="M21" s="700"/>
      <c r="N21" s="626"/>
      <c r="O21" s="751"/>
      <c r="Q21" s="376" t="s">
        <v>26</v>
      </c>
      <c r="R21" s="376" t="s">
        <v>1435</v>
      </c>
      <c r="T21" s="376"/>
      <c r="U21" s="376"/>
      <c r="V21" s="376"/>
      <c r="X21" s="751"/>
    </row>
    <row r="22" spans="1:35" outlineLevel="4">
      <c r="A22" s="376"/>
      <c r="B22" s="806" t="s">
        <v>1946</v>
      </c>
      <c r="C22" s="807" t="s">
        <v>1948</v>
      </c>
      <c r="D22" s="528"/>
      <c r="E22" s="806" t="s">
        <v>1950</v>
      </c>
      <c r="G22" s="626"/>
      <c r="H22" s="751"/>
      <c r="J22" s="804"/>
      <c r="K22" s="805"/>
      <c r="L22" s="804"/>
      <c r="M22" s="805"/>
      <c r="N22" s="626"/>
      <c r="O22" s="751"/>
      <c r="Q22" s="376"/>
      <c r="R22" s="376"/>
      <c r="S22" s="376"/>
      <c r="T22" s="376"/>
      <c r="U22" s="376"/>
      <c r="V22" s="376"/>
      <c r="X22" s="751"/>
      <c r="AB22" s="610"/>
      <c r="AC22" s="610"/>
      <c r="AD22" s="610"/>
      <c r="AH22" s="447"/>
      <c r="AI22" s="683"/>
    </row>
    <row r="23" spans="1:35" outlineLevel="4">
      <c r="A23" s="376"/>
      <c r="B23" s="806" t="s">
        <v>1947</v>
      </c>
      <c r="C23" s="807" t="s">
        <v>1949</v>
      </c>
      <c r="D23" s="528"/>
      <c r="E23" s="806" t="s">
        <v>1951</v>
      </c>
      <c r="G23" s="626"/>
      <c r="H23" s="751"/>
      <c r="J23" s="804"/>
      <c r="K23" s="805"/>
      <c r="L23" s="804"/>
      <c r="M23" s="805"/>
      <c r="N23" s="626"/>
      <c r="O23" s="751"/>
      <c r="Q23" s="376"/>
      <c r="R23" s="376"/>
      <c r="S23" s="376"/>
      <c r="T23" s="376"/>
      <c r="U23" s="376"/>
      <c r="V23" s="376"/>
      <c r="X23" s="751"/>
      <c r="AB23" s="610"/>
      <c r="AC23" s="610"/>
      <c r="AD23" s="610"/>
      <c r="AH23" s="447"/>
      <c r="AI23" s="683"/>
    </row>
    <row r="24" spans="1:35" outlineLevel="1">
      <c r="A24" s="376"/>
      <c r="B24" s="665" t="s">
        <v>58</v>
      </c>
      <c r="C24" s="681" t="s">
        <v>262</v>
      </c>
      <c r="D24" s="860"/>
      <c r="E24" s="665"/>
      <c r="F24" s="665"/>
      <c r="G24" s="626"/>
      <c r="H24" s="751"/>
      <c r="J24" s="701">
        <f>SUBTOTAL(9,J25:J128)</f>
        <v>1.2999999999999999E-3</v>
      </c>
      <c r="K24" s="702">
        <f>SUBTOTAL(9,K25:K128)</f>
        <v>2</v>
      </c>
      <c r="L24" s="701">
        <f>SUBTOTAL(9,L25:L30)</f>
        <v>0</v>
      </c>
      <c r="M24" s="702">
        <f>SUBTOTAL(9,M25:M128)</f>
        <v>0</v>
      </c>
      <c r="N24" s="626"/>
      <c r="O24" s="751"/>
      <c r="Q24" s="665"/>
      <c r="R24" s="665"/>
      <c r="S24" s="665"/>
      <c r="T24" s="665"/>
      <c r="U24" s="665"/>
      <c r="V24" s="665"/>
      <c r="X24" s="751"/>
      <c r="AB24" s="610"/>
      <c r="AC24" s="610"/>
      <c r="AD24" s="610"/>
    </row>
    <row r="25" spans="1:35" outlineLevel="2">
      <c r="A25" s="376"/>
      <c r="B25" s="376" t="s">
        <v>251</v>
      </c>
      <c r="C25" s="608" t="s">
        <v>256</v>
      </c>
      <c r="D25" s="861">
        <v>46320</v>
      </c>
      <c r="E25" s="376" t="s">
        <v>28</v>
      </c>
      <c r="F25" s="376"/>
      <c r="G25" s="626"/>
      <c r="H25" s="751"/>
      <c r="J25" s="609">
        <v>8.0000000000000004E-4</v>
      </c>
      <c r="K25" s="700">
        <v>1</v>
      </c>
      <c r="L25" s="609">
        <f>IF(M25=1,J25,0)</f>
        <v>0</v>
      </c>
      <c r="M25" s="700"/>
      <c r="N25" s="626"/>
      <c r="O25" s="751"/>
      <c r="Q25" s="376" t="s">
        <v>28</v>
      </c>
      <c r="R25" s="376" t="s">
        <v>1236</v>
      </c>
      <c r="S25" s="376" t="s">
        <v>1433</v>
      </c>
      <c r="V25" s="376"/>
      <c r="X25" s="751"/>
    </row>
    <row r="26" spans="1:35" outlineLevel="3">
      <c r="A26" s="376"/>
      <c r="B26" s="806" t="s">
        <v>1946</v>
      </c>
      <c r="C26" s="807" t="s">
        <v>1948</v>
      </c>
      <c r="D26" s="528"/>
      <c r="E26" s="806" t="s">
        <v>1950</v>
      </c>
      <c r="G26" s="626"/>
      <c r="H26" s="751"/>
      <c r="J26" s="804"/>
      <c r="K26" s="805"/>
      <c r="L26" s="804"/>
      <c r="M26" s="805"/>
      <c r="N26" s="626"/>
      <c r="O26" s="751"/>
      <c r="Q26" s="376"/>
      <c r="R26" s="376"/>
      <c r="S26" s="376"/>
      <c r="T26" s="376"/>
      <c r="U26" s="376"/>
      <c r="V26" s="376"/>
      <c r="X26" s="751"/>
      <c r="AB26" s="610"/>
      <c r="AC26" s="610"/>
      <c r="AD26" s="610"/>
      <c r="AH26" s="447"/>
      <c r="AI26" s="683"/>
    </row>
    <row r="27" spans="1:35" outlineLevel="3">
      <c r="A27" s="376"/>
      <c r="B27" s="806" t="s">
        <v>1947</v>
      </c>
      <c r="C27" s="807" t="s">
        <v>1949</v>
      </c>
      <c r="D27" s="528"/>
      <c r="E27" s="806" t="s">
        <v>1951</v>
      </c>
      <c r="G27" s="626"/>
      <c r="H27" s="751"/>
      <c r="J27" s="804"/>
      <c r="K27" s="805"/>
      <c r="L27" s="804"/>
      <c r="M27" s="805"/>
      <c r="N27" s="626"/>
      <c r="O27" s="751"/>
      <c r="Q27" s="376"/>
      <c r="R27" s="376"/>
      <c r="S27" s="376"/>
      <c r="T27" s="376"/>
      <c r="U27" s="376"/>
      <c r="V27" s="376"/>
      <c r="X27" s="751"/>
      <c r="AB27" s="610"/>
      <c r="AC27" s="610"/>
      <c r="AD27" s="610"/>
      <c r="AH27" s="447"/>
      <c r="AI27" s="683"/>
    </row>
    <row r="28" spans="1:35" outlineLevel="1">
      <c r="A28" s="376"/>
      <c r="B28" s="665" t="s">
        <v>27</v>
      </c>
      <c r="C28" s="681" t="s">
        <v>262</v>
      </c>
      <c r="D28" s="860"/>
      <c r="E28" s="665"/>
      <c r="F28" s="665"/>
      <c r="G28" s="626"/>
      <c r="H28" s="751"/>
      <c r="J28" s="701">
        <f>SUBTOTAL(9,J29:J132)</f>
        <v>5.0000000000000001E-4</v>
      </c>
      <c r="K28" s="702">
        <f>SUBTOTAL(9,K29:K132)</f>
        <v>1</v>
      </c>
      <c r="L28" s="701">
        <f>SUBTOTAL(9,L29:L34)</f>
        <v>0</v>
      </c>
      <c r="M28" s="702">
        <f>SUBTOTAL(9,M29:M132)</f>
        <v>0</v>
      </c>
      <c r="N28" s="626"/>
      <c r="O28" s="751"/>
      <c r="Q28" s="665"/>
      <c r="R28" s="665"/>
      <c r="S28" s="665"/>
      <c r="T28" s="665"/>
      <c r="U28" s="665"/>
      <c r="V28" s="665"/>
      <c r="X28" s="751"/>
      <c r="AB28" s="610"/>
      <c r="AC28" s="610"/>
      <c r="AD28" s="610"/>
    </row>
    <row r="29" spans="1:35" outlineLevel="2">
      <c r="B29" s="376" t="s">
        <v>251</v>
      </c>
      <c r="C29" s="608" t="s">
        <v>256</v>
      </c>
      <c r="D29" s="862">
        <v>46297</v>
      </c>
      <c r="H29" s="751"/>
      <c r="J29" s="609">
        <v>5.0000000000000001E-4</v>
      </c>
      <c r="K29" s="416">
        <v>1</v>
      </c>
      <c r="L29" s="609">
        <f>IF(M29=1,J29,0)</f>
        <v>0</v>
      </c>
      <c r="O29" s="751"/>
      <c r="Q29" s="376" t="s">
        <v>28</v>
      </c>
      <c r="R29" s="416" t="s">
        <v>1208</v>
      </c>
      <c r="S29" s="416" t="s">
        <v>1972</v>
      </c>
    </row>
    <row r="30" spans="1:35" outlineLevel="3">
      <c r="B30" s="806" t="s">
        <v>1946</v>
      </c>
      <c r="C30" s="807" t="s">
        <v>1948</v>
      </c>
      <c r="D30" s="528"/>
      <c r="E30" s="806" t="s">
        <v>1950</v>
      </c>
      <c r="H30" s="751"/>
      <c r="O30" s="751"/>
    </row>
    <row r="31" spans="1:35" outlineLevel="3">
      <c r="B31" s="806" t="s">
        <v>1947</v>
      </c>
      <c r="C31" s="807" t="s">
        <v>1949</v>
      </c>
      <c r="D31" s="528"/>
      <c r="E31" s="806" t="s">
        <v>1951</v>
      </c>
      <c r="H31" s="751"/>
      <c r="O31" s="751"/>
    </row>
  </sheetData>
  <autoFilter ref="B4:AA2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4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D4F3-8E36-4F80-A226-5897598278F8}">
  <sheetPr>
    <outlinePr summaryBelow="0" summaryRight="0"/>
    <pageSetUpPr fitToPage="1"/>
  </sheetPr>
  <dimension ref="A1:Y54"/>
  <sheetViews>
    <sheetView zoomScaleNormal="100" zoomScaleSheetLayoutView="35" workbookViewId="0">
      <pane xSplit="4" ySplit="7" topLeftCell="E10" activePane="bottomRight" state="frozen"/>
      <selection pane="topRight" activeCell="F1" sqref="F1"/>
      <selection pane="bottomLeft" activeCell="A7" sqref="A7"/>
      <selection pane="bottomRight" activeCell="P28" sqref="P28"/>
    </sheetView>
  </sheetViews>
  <sheetFormatPr defaultColWidth="11.44140625" defaultRowHeight="11.85" customHeight="1" outlineLevelRow="2"/>
  <cols>
    <col min="1" max="1" width="0.5546875" style="815" customWidth="1"/>
    <col min="2" max="2" width="5.44140625" style="857" bestFit="1" customWidth="1"/>
    <col min="3" max="3" width="69.44140625" style="858" bestFit="1" customWidth="1"/>
    <col min="4" max="4" width="0.44140625" style="815" customWidth="1"/>
    <col min="5" max="5" width="7.5546875" style="849" customWidth="1"/>
    <col min="6" max="6" width="0.44140625" style="850" customWidth="1"/>
    <col min="7" max="7" width="7.5546875" style="849" customWidth="1"/>
    <col min="8" max="8" width="0.44140625" style="850" customWidth="1"/>
    <col min="9" max="9" width="7.5546875" style="849" customWidth="1"/>
    <col min="10" max="10" width="0.44140625" style="850" customWidth="1"/>
    <col min="11" max="11" width="7.5546875" style="849" customWidth="1"/>
    <col min="12" max="12" width="0.44140625" style="850" customWidth="1"/>
    <col min="13" max="16384" width="11.44140625" style="815"/>
  </cols>
  <sheetData>
    <row r="1" spans="1:15" ht="3" customHeight="1">
      <c r="A1" s="809"/>
      <c r="B1" s="811"/>
      <c r="C1" s="812"/>
      <c r="D1" s="809"/>
      <c r="E1" s="813"/>
      <c r="F1" s="814"/>
      <c r="G1" s="813"/>
      <c r="H1" s="814"/>
      <c r="I1" s="813"/>
      <c r="J1" s="814"/>
      <c r="K1" s="813"/>
      <c r="L1" s="814"/>
    </row>
    <row r="2" spans="1:15" s="821" customFormat="1" ht="17.399999999999999">
      <c r="A2" s="816"/>
      <c r="B2" s="864" t="s">
        <v>1963</v>
      </c>
      <c r="C2" s="864"/>
      <c r="D2" s="818"/>
      <c r="E2" s="819" t="s">
        <v>1768</v>
      </c>
      <c r="F2" s="820"/>
      <c r="G2" s="819" t="s">
        <v>1953</v>
      </c>
      <c r="H2" s="820"/>
      <c r="I2" s="819" t="s">
        <v>27</v>
      </c>
      <c r="J2" s="820"/>
      <c r="K2" s="819" t="s">
        <v>766</v>
      </c>
      <c r="L2" s="820"/>
      <c r="N2" s="822">
        <v>1</v>
      </c>
      <c r="O2" s="817" t="s">
        <v>1954</v>
      </c>
    </row>
    <row r="3" spans="1:15" s="826" customFormat="1" ht="15.6">
      <c r="A3" s="823"/>
      <c r="B3" s="824"/>
      <c r="C3" s="825" t="s">
        <v>1955</v>
      </c>
      <c r="D3" s="823"/>
      <c r="E3" s="823">
        <f>COUNTA(E$8:E$36)</f>
        <v>15</v>
      </c>
      <c r="F3" s="823"/>
      <c r="G3" s="823">
        <f>COUNTA(G$8:G$36)</f>
        <v>8</v>
      </c>
      <c r="H3" s="823"/>
      <c r="I3" s="823">
        <f>COUNTA(I$8:I$36)</f>
        <v>12</v>
      </c>
      <c r="J3" s="823"/>
      <c r="K3" s="823">
        <f>COUNTA(K$8:K$36)</f>
        <v>9</v>
      </c>
      <c r="L3" s="823"/>
      <c r="N3" s="822">
        <v>-1</v>
      </c>
      <c r="O3" s="817" t="s">
        <v>1956</v>
      </c>
    </row>
    <row r="4" spans="1:15" s="826" customFormat="1" ht="15.6">
      <c r="A4" s="823"/>
      <c r="B4" s="824"/>
      <c r="C4" s="825" t="s">
        <v>404</v>
      </c>
      <c r="D4" s="823"/>
      <c r="E4" s="823">
        <f>COUNTIF(E$8:E$36,1)</f>
        <v>9</v>
      </c>
      <c r="F4" s="823"/>
      <c r="G4" s="823">
        <f>COUNTIF(G$8:G$36,1)</f>
        <v>5</v>
      </c>
      <c r="H4" s="823"/>
      <c r="I4" s="823">
        <f>COUNTIF(I$8:I$36,1)</f>
        <v>10</v>
      </c>
      <c r="J4" s="823"/>
      <c r="K4" s="823">
        <f>COUNTIF(K$8:K$36,1)</f>
        <v>6</v>
      </c>
      <c r="L4" s="823"/>
      <c r="N4" s="817"/>
      <c r="O4" s="817" t="s">
        <v>1957</v>
      </c>
    </row>
    <row r="5" spans="1:15" ht="3" customHeight="1">
      <c r="A5" s="809"/>
      <c r="B5" s="811"/>
      <c r="C5" s="827"/>
      <c r="D5" s="828"/>
      <c r="E5" s="813"/>
      <c r="F5" s="829"/>
      <c r="G5" s="813"/>
      <c r="H5" s="829"/>
      <c r="I5" s="813"/>
      <c r="J5" s="829"/>
      <c r="K5" s="813"/>
      <c r="L5" s="829"/>
    </row>
    <row r="6" spans="1:15" ht="3" customHeight="1">
      <c r="A6" s="809"/>
      <c r="B6" s="830"/>
      <c r="C6" s="831"/>
      <c r="D6" s="832"/>
      <c r="E6" s="833"/>
      <c r="F6" s="833"/>
      <c r="G6" s="833"/>
      <c r="H6" s="833"/>
      <c r="I6" s="833"/>
      <c r="J6" s="833"/>
      <c r="K6" s="833"/>
      <c r="L6" s="833"/>
    </row>
    <row r="7" spans="1:15" ht="3.6" customHeight="1">
      <c r="A7" s="809"/>
      <c r="B7" s="811"/>
      <c r="C7" s="827"/>
      <c r="D7" s="828"/>
      <c r="E7" s="834"/>
      <c r="F7" s="829"/>
      <c r="G7" s="834"/>
      <c r="H7" s="829"/>
      <c r="I7" s="834"/>
      <c r="J7" s="829"/>
      <c r="K7" s="834"/>
      <c r="L7" s="829"/>
    </row>
    <row r="8" spans="1:15" ht="17.399999999999999">
      <c r="A8" s="809"/>
      <c r="B8" s="865" t="s">
        <v>1958</v>
      </c>
      <c r="C8" s="865"/>
      <c r="D8" s="828"/>
      <c r="E8" s="835"/>
      <c r="F8" s="836"/>
      <c r="G8" s="835"/>
      <c r="H8" s="836"/>
      <c r="I8" s="835"/>
      <c r="J8" s="836"/>
      <c r="K8" s="835"/>
      <c r="L8" s="836"/>
    </row>
    <row r="9" spans="1:15" ht="3" customHeight="1" outlineLevel="1">
      <c r="A9" s="809"/>
      <c r="B9" s="810"/>
      <c r="C9" s="837"/>
      <c r="D9" s="828"/>
      <c r="E9" s="834"/>
      <c r="F9" s="838"/>
      <c r="G9" s="834"/>
      <c r="H9" s="838"/>
      <c r="I9" s="834"/>
      <c r="J9" s="838"/>
      <c r="K9" s="834"/>
      <c r="L9" s="838"/>
    </row>
    <row r="10" spans="1:15" ht="13.2" outlineLevel="1">
      <c r="A10" s="809"/>
      <c r="B10" s="839">
        <v>1</v>
      </c>
      <c r="C10" s="840" t="s">
        <v>235</v>
      </c>
      <c r="D10" s="841"/>
      <c r="E10" s="842">
        <v>1</v>
      </c>
      <c r="F10" s="843"/>
      <c r="G10" s="842"/>
      <c r="H10" s="843"/>
      <c r="I10" s="842">
        <v>1</v>
      </c>
      <c r="J10" s="843"/>
      <c r="K10" s="842">
        <v>1</v>
      </c>
      <c r="L10" s="844"/>
    </row>
    <row r="11" spans="1:15" ht="13.2" outlineLevel="1">
      <c r="A11" s="809"/>
      <c r="B11" s="839">
        <v>2</v>
      </c>
      <c r="C11" s="840" t="s">
        <v>1964</v>
      </c>
      <c r="D11" s="841"/>
      <c r="E11" s="842">
        <v>1</v>
      </c>
      <c r="F11" s="843"/>
      <c r="G11" s="842"/>
      <c r="H11" s="843"/>
      <c r="I11" s="842">
        <v>1</v>
      </c>
      <c r="J11" s="843"/>
      <c r="K11" s="842">
        <v>1</v>
      </c>
      <c r="L11" s="844"/>
    </row>
    <row r="12" spans="1:15" ht="13.8" outlineLevel="1">
      <c r="B12" s="839">
        <v>3</v>
      </c>
      <c r="C12" s="840" t="s">
        <v>32</v>
      </c>
      <c r="D12" s="841"/>
      <c r="E12" s="842">
        <v>1</v>
      </c>
      <c r="F12" s="845"/>
      <c r="G12" s="842">
        <v>1</v>
      </c>
      <c r="H12" s="845"/>
      <c r="I12" s="842">
        <v>1</v>
      </c>
      <c r="J12" s="845"/>
      <c r="K12" s="842">
        <v>1</v>
      </c>
      <c r="L12" s="846"/>
    </row>
    <row r="13" spans="1:15" ht="13.8" outlineLevel="1">
      <c r="B13" s="839">
        <v>4</v>
      </c>
      <c r="C13" s="840" t="s">
        <v>33</v>
      </c>
      <c r="D13" s="841"/>
      <c r="E13" s="842">
        <v>1</v>
      </c>
      <c r="F13" s="845"/>
      <c r="G13" s="842">
        <v>1</v>
      </c>
      <c r="H13" s="845"/>
      <c r="I13" s="842">
        <v>1</v>
      </c>
      <c r="J13" s="845"/>
      <c r="K13" s="842">
        <v>1</v>
      </c>
      <c r="L13" s="846"/>
    </row>
    <row r="14" spans="1:15" ht="13.8" outlineLevel="1">
      <c r="B14" s="839">
        <v>5</v>
      </c>
      <c r="C14" s="840" t="s">
        <v>1126</v>
      </c>
      <c r="D14" s="841"/>
      <c r="E14" s="822">
        <v>-1</v>
      </c>
      <c r="F14" s="845"/>
      <c r="G14" s="822">
        <v>-1</v>
      </c>
      <c r="H14" s="845"/>
      <c r="I14" s="842">
        <v>1</v>
      </c>
      <c r="J14" s="845"/>
      <c r="K14" s="822">
        <v>-1</v>
      </c>
      <c r="L14" s="846"/>
    </row>
    <row r="15" spans="1:15" ht="17.399999999999999">
      <c r="B15" s="865" t="s">
        <v>1959</v>
      </c>
      <c r="C15" s="865"/>
      <c r="D15" s="828"/>
      <c r="E15" s="835"/>
      <c r="F15" s="836"/>
      <c r="G15" s="835"/>
      <c r="H15" s="836"/>
      <c r="I15" s="835"/>
      <c r="J15" s="836"/>
      <c r="K15" s="835"/>
      <c r="L15" s="836"/>
    </row>
    <row r="16" spans="1:15" ht="3" customHeight="1" outlineLevel="1">
      <c r="B16" s="847"/>
      <c r="C16" s="848"/>
    </row>
    <row r="17" spans="1:12" ht="13.2" outlineLevel="1">
      <c r="B17" s="839">
        <v>1</v>
      </c>
      <c r="C17" s="840" t="s">
        <v>1969</v>
      </c>
      <c r="D17" s="841"/>
      <c r="E17" s="844"/>
      <c r="F17" s="844"/>
      <c r="G17" s="844"/>
      <c r="H17" s="844"/>
      <c r="I17" s="844"/>
      <c r="J17" s="844"/>
      <c r="K17" s="844"/>
      <c r="L17" s="844"/>
    </row>
    <row r="18" spans="1:12" ht="13.2" outlineLevel="2">
      <c r="B18" s="851">
        <v>1</v>
      </c>
      <c r="C18" s="773" t="s">
        <v>1965</v>
      </c>
      <c r="D18" s="809"/>
      <c r="E18" s="842">
        <v>1</v>
      </c>
      <c r="F18" s="852"/>
      <c r="G18" s="842">
        <v>1</v>
      </c>
      <c r="H18" s="852"/>
      <c r="I18" s="842">
        <v>1</v>
      </c>
      <c r="J18" s="852"/>
      <c r="K18" s="842"/>
      <c r="L18" s="852"/>
    </row>
    <row r="19" spans="1:12" ht="13.2" outlineLevel="2">
      <c r="B19" s="851">
        <v>2</v>
      </c>
      <c r="C19" s="773" t="s">
        <v>1966</v>
      </c>
      <c r="D19" s="809"/>
      <c r="E19" s="842">
        <v>1</v>
      </c>
      <c r="F19" s="852"/>
      <c r="G19" s="822"/>
      <c r="H19" s="852"/>
      <c r="I19" s="842">
        <v>1</v>
      </c>
      <c r="J19" s="852"/>
      <c r="K19" s="842">
        <v>1</v>
      </c>
      <c r="L19" s="852"/>
    </row>
    <row r="20" spans="1:12" ht="13.8" outlineLevel="2">
      <c r="B20" s="851">
        <v>3</v>
      </c>
      <c r="C20" s="773" t="s">
        <v>1967</v>
      </c>
      <c r="D20" s="809"/>
      <c r="E20" s="822">
        <v>-1</v>
      </c>
      <c r="F20" s="852"/>
      <c r="G20" s="853"/>
      <c r="H20" s="852"/>
      <c r="I20" s="854"/>
      <c r="J20" s="852"/>
      <c r="K20" s="853"/>
      <c r="L20" s="852"/>
    </row>
    <row r="21" spans="1:12" ht="3" customHeight="1" outlineLevel="1">
      <c r="B21" s="847"/>
      <c r="C21" s="848"/>
    </row>
    <row r="22" spans="1:12" ht="13.2" outlineLevel="1">
      <c r="B22" s="839">
        <v>1</v>
      </c>
      <c r="C22" s="840" t="s">
        <v>1970</v>
      </c>
      <c r="D22" s="841"/>
      <c r="E22" s="844"/>
      <c r="F22" s="844"/>
      <c r="G22" s="844"/>
      <c r="H22" s="844"/>
      <c r="I22" s="844"/>
      <c r="J22" s="844"/>
      <c r="K22" s="844"/>
      <c r="L22" s="844"/>
    </row>
    <row r="23" spans="1:12" ht="13.2" outlineLevel="2">
      <c r="B23" s="851">
        <v>1</v>
      </c>
      <c r="C23" s="773" t="s">
        <v>1965</v>
      </c>
      <c r="D23" s="809"/>
      <c r="E23" s="842">
        <v>1</v>
      </c>
      <c r="F23" s="852"/>
      <c r="G23" s="842">
        <v>1</v>
      </c>
      <c r="H23" s="852"/>
      <c r="I23" s="842">
        <v>1</v>
      </c>
      <c r="J23" s="852"/>
      <c r="K23" s="842"/>
      <c r="L23" s="852"/>
    </row>
    <row r="24" spans="1:12" ht="13.2" outlineLevel="2">
      <c r="B24" s="851">
        <v>2</v>
      </c>
      <c r="C24" s="773" t="s">
        <v>1966</v>
      </c>
      <c r="D24" s="809"/>
      <c r="E24" s="842">
        <v>1</v>
      </c>
      <c r="F24" s="852"/>
      <c r="G24" s="822"/>
      <c r="H24" s="852"/>
      <c r="I24" s="842">
        <v>1</v>
      </c>
      <c r="J24" s="852"/>
      <c r="K24" s="842">
        <v>1</v>
      </c>
      <c r="L24" s="852"/>
    </row>
    <row r="25" spans="1:12" ht="13.8" outlineLevel="2">
      <c r="B25" s="851">
        <v>3</v>
      </c>
      <c r="C25" s="773" t="s">
        <v>1967</v>
      </c>
      <c r="D25" s="809"/>
      <c r="E25" s="822">
        <v>-1</v>
      </c>
      <c r="F25" s="852"/>
      <c r="G25" s="853"/>
      <c r="H25" s="852"/>
      <c r="I25" s="854"/>
      <c r="J25" s="852"/>
      <c r="K25" s="853"/>
      <c r="L25" s="852"/>
    </row>
    <row r="26" spans="1:12" ht="3" customHeight="1" outlineLevel="1">
      <c r="B26" s="847"/>
      <c r="C26" s="848"/>
    </row>
    <row r="27" spans="1:12" ht="13.2" outlineLevel="1">
      <c r="B27" s="839">
        <v>1</v>
      </c>
      <c r="C27" s="840" t="s">
        <v>1971</v>
      </c>
      <c r="D27" s="841"/>
      <c r="E27" s="844"/>
      <c r="F27" s="844"/>
      <c r="G27" s="844"/>
      <c r="H27" s="844"/>
      <c r="I27" s="844"/>
      <c r="J27" s="844"/>
      <c r="K27" s="844"/>
      <c r="L27" s="844"/>
    </row>
    <row r="28" spans="1:12" ht="13.2" outlineLevel="2">
      <c r="B28" s="851">
        <v>1</v>
      </c>
      <c r="C28" s="773" t="s">
        <v>1965</v>
      </c>
      <c r="D28" s="809"/>
      <c r="E28" s="842">
        <v>1</v>
      </c>
      <c r="F28" s="852"/>
      <c r="G28" s="842">
        <v>1</v>
      </c>
      <c r="H28" s="852"/>
      <c r="I28" s="842">
        <v>1</v>
      </c>
      <c r="J28" s="852"/>
      <c r="K28" s="842"/>
      <c r="L28" s="852"/>
    </row>
    <row r="29" spans="1:12" ht="13.2" outlineLevel="2">
      <c r="B29" s="851">
        <v>2</v>
      </c>
      <c r="C29" s="773" t="s">
        <v>1966</v>
      </c>
      <c r="D29" s="809"/>
      <c r="E29" s="822">
        <v>-1</v>
      </c>
      <c r="F29" s="852"/>
      <c r="G29" s="822">
        <v>-1</v>
      </c>
      <c r="H29" s="852"/>
      <c r="I29" s="822">
        <v>-1</v>
      </c>
      <c r="J29" s="852"/>
      <c r="K29" s="822">
        <v>-1</v>
      </c>
      <c r="L29" s="852"/>
    </row>
    <row r="30" spans="1:12" ht="13.8" outlineLevel="2">
      <c r="B30" s="851">
        <v>3</v>
      </c>
      <c r="C30" s="773" t="s">
        <v>1967</v>
      </c>
      <c r="D30" s="809"/>
      <c r="E30" s="822">
        <v>-1</v>
      </c>
      <c r="F30" s="852"/>
      <c r="G30" s="853"/>
      <c r="H30" s="852"/>
      <c r="I30" s="854"/>
      <c r="J30" s="852"/>
      <c r="K30" s="853"/>
      <c r="L30" s="852"/>
    </row>
    <row r="31" spans="1:12" ht="17.399999999999999">
      <c r="A31" s="809"/>
      <c r="B31" s="866" t="s">
        <v>1960</v>
      </c>
      <c r="C31" s="866"/>
      <c r="D31" s="828"/>
      <c r="E31" s="835"/>
      <c r="F31" s="836"/>
      <c r="G31" s="835"/>
      <c r="H31" s="836"/>
      <c r="I31" s="835"/>
      <c r="J31" s="836"/>
      <c r="K31" s="835"/>
      <c r="L31" s="836"/>
    </row>
    <row r="32" spans="1:12" ht="3" customHeight="1" outlineLevel="1">
      <c r="A32" s="809"/>
      <c r="B32" s="810"/>
      <c r="C32" s="855"/>
      <c r="D32" s="828"/>
      <c r="E32" s="834"/>
      <c r="F32" s="838"/>
      <c r="G32" s="834"/>
      <c r="H32" s="838"/>
      <c r="I32" s="834"/>
      <c r="J32" s="838"/>
      <c r="K32" s="834"/>
      <c r="L32" s="838"/>
    </row>
    <row r="33" spans="1:12" ht="13.2" outlineLevel="1">
      <c r="A33" s="809"/>
      <c r="B33" s="839">
        <v>1</v>
      </c>
      <c r="C33" s="840" t="s">
        <v>1031</v>
      </c>
      <c r="D33" s="841"/>
      <c r="E33" s="844"/>
      <c r="F33" s="844"/>
      <c r="G33" s="844"/>
      <c r="H33" s="844"/>
      <c r="I33" s="844"/>
      <c r="J33" s="844"/>
      <c r="K33" s="844"/>
      <c r="L33" s="844"/>
    </row>
    <row r="34" spans="1:12" ht="13.2" outlineLevel="2">
      <c r="A34" s="809"/>
      <c r="B34" s="851">
        <v>1</v>
      </c>
      <c r="C34" s="786" t="s">
        <v>1961</v>
      </c>
      <c r="D34" s="812"/>
      <c r="E34" s="822">
        <v>-1</v>
      </c>
      <c r="F34" s="856"/>
      <c r="G34" s="822">
        <v>-1</v>
      </c>
      <c r="H34" s="856"/>
      <c r="I34" s="822">
        <v>-1</v>
      </c>
      <c r="J34" s="856"/>
      <c r="K34" s="822">
        <v>-1</v>
      </c>
      <c r="L34" s="856"/>
    </row>
    <row r="35" spans="1:12" ht="3" customHeight="1">
      <c r="A35" s="809"/>
      <c r="B35" s="851"/>
      <c r="C35" s="786"/>
      <c r="D35" s="812"/>
      <c r="E35" s="853"/>
      <c r="F35" s="856"/>
      <c r="G35" s="853"/>
      <c r="H35" s="856"/>
      <c r="I35" s="853"/>
      <c r="J35" s="856"/>
      <c r="K35" s="853"/>
      <c r="L35" s="856"/>
    </row>
    <row r="36" spans="1:12" ht="17.399999999999999" hidden="1">
      <c r="A36" s="809"/>
      <c r="B36" s="866" t="s">
        <v>1962</v>
      </c>
      <c r="C36" s="866"/>
      <c r="D36" s="828"/>
      <c r="E36" s="835"/>
      <c r="F36" s="836"/>
      <c r="G36" s="835"/>
      <c r="H36" s="836"/>
      <c r="I36" s="835"/>
      <c r="J36" s="836"/>
      <c r="K36" s="835"/>
      <c r="L36" s="836"/>
    </row>
    <row r="51" spans="1:25" s="849" customFormat="1" ht="11.85" customHeight="1">
      <c r="A51" s="815"/>
      <c r="B51" s="815"/>
      <c r="C51" s="815"/>
      <c r="D51" s="815"/>
      <c r="E51" s="815"/>
      <c r="F51" s="815"/>
      <c r="G51" s="815"/>
      <c r="H51" s="815"/>
      <c r="J51" s="850"/>
      <c r="L51" s="850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</row>
    <row r="52" spans="1:25" s="849" customFormat="1" ht="11.85" customHeight="1">
      <c r="A52" s="815"/>
      <c r="B52" s="815"/>
      <c r="C52" s="815"/>
      <c r="D52" s="815"/>
      <c r="E52" s="815"/>
      <c r="F52" s="815"/>
      <c r="G52" s="815"/>
      <c r="H52" s="815"/>
      <c r="J52" s="850"/>
      <c r="L52" s="850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</row>
    <row r="54" spans="1:25" s="849" customFormat="1" ht="11.85" customHeight="1">
      <c r="A54" s="815"/>
      <c r="B54" s="815"/>
      <c r="C54" s="815"/>
      <c r="D54" s="815"/>
      <c r="E54" s="815"/>
      <c r="F54" s="815"/>
      <c r="G54" s="815"/>
      <c r="H54" s="815"/>
      <c r="J54" s="850"/>
      <c r="L54" s="850"/>
      <c r="M54" s="815"/>
      <c r="N54" s="815"/>
      <c r="O54" s="815"/>
      <c r="P54" s="815"/>
      <c r="Q54" s="815"/>
      <c r="R54" s="815"/>
      <c r="S54" s="815"/>
      <c r="T54" s="815"/>
      <c r="U54" s="815"/>
      <c r="V54" s="815"/>
      <c r="W54" s="815"/>
      <c r="X54" s="815"/>
      <c r="Y54" s="815"/>
    </row>
  </sheetData>
  <mergeCells count="5">
    <mergeCell ref="B2:C2"/>
    <mergeCell ref="B8:C8"/>
    <mergeCell ref="B15:C15"/>
    <mergeCell ref="B31:C31"/>
    <mergeCell ref="B36:C36"/>
  </mergeCells>
  <conditionalFormatting sqref="E10">
    <cfRule type="iconSet" priority="142">
      <iconSet iconSet="3Symbols2" showValue="0">
        <cfvo type="percent" val="0"/>
        <cfvo type="num" val="0"/>
        <cfvo type="num" val="1"/>
      </iconSet>
    </cfRule>
  </conditionalFormatting>
  <conditionalFormatting sqref="E11">
    <cfRule type="iconSet" priority="141">
      <iconSet iconSet="3Symbols2" showValue="0">
        <cfvo type="percent" val="0"/>
        <cfvo type="num" val="0"/>
        <cfvo type="num" val="1"/>
      </iconSet>
    </cfRule>
  </conditionalFormatting>
  <conditionalFormatting sqref="E12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E13">
    <cfRule type="iconSet" priority="139">
      <iconSet iconSet="3Symbols2" showValue="0">
        <cfvo type="percent" val="0"/>
        <cfvo type="num" val="0"/>
        <cfvo type="num" val="1"/>
      </iconSet>
    </cfRule>
  </conditionalFormatting>
  <conditionalFormatting sqref="E14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E18:E19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E20 E25 E30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E23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E24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E28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E29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E34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G10">
    <cfRule type="iconSet" priority="137">
      <iconSet iconSet="3Symbols2" showValue="0">
        <cfvo type="percent" val="0"/>
        <cfvo type="num" val="0"/>
        <cfvo type="num" val="1"/>
      </iconSet>
    </cfRule>
  </conditionalFormatting>
  <conditionalFormatting sqref="G11">
    <cfRule type="iconSet" priority="136">
      <iconSet iconSet="3Symbols2" showValue="0">
        <cfvo type="percent" val="0"/>
        <cfvo type="num" val="0"/>
        <cfvo type="num" val="1"/>
      </iconSet>
    </cfRule>
  </conditionalFormatting>
  <conditionalFormatting sqref="G12">
    <cfRule type="iconSet" priority="135">
      <iconSet iconSet="3Symbols2" showValue="0">
        <cfvo type="percent" val="0"/>
        <cfvo type="num" val="0"/>
        <cfvo type="num" val="1"/>
      </iconSet>
    </cfRule>
  </conditionalFormatting>
  <conditionalFormatting sqref="G13">
    <cfRule type="iconSet" priority="134">
      <iconSet iconSet="3Symbols2" showValue="0">
        <cfvo type="percent" val="0"/>
        <cfvo type="num" val="0"/>
        <cfvo type="num" val="1"/>
      </iconSet>
    </cfRule>
  </conditionalFormatting>
  <conditionalFormatting sqref="G14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G18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G19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G23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G24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G28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G29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G34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I10">
    <cfRule type="iconSet" priority="132">
      <iconSet iconSet="3Symbols2" showValue="0">
        <cfvo type="percent" val="0"/>
        <cfvo type="num" val="0"/>
        <cfvo type="num" val="1"/>
      </iconSet>
    </cfRule>
  </conditionalFormatting>
  <conditionalFormatting sqref="I11">
    <cfRule type="iconSet" priority="131">
      <iconSet iconSet="3Symbols2" showValue="0">
        <cfvo type="percent" val="0"/>
        <cfvo type="num" val="0"/>
        <cfvo type="num" val="1"/>
      </iconSet>
    </cfRule>
  </conditionalFormatting>
  <conditionalFormatting sqref="I12">
    <cfRule type="iconSet" priority="130">
      <iconSet iconSet="3Symbols2" showValue="0">
        <cfvo type="percent" val="0"/>
        <cfvo type="num" val="0"/>
        <cfvo type="num" val="1"/>
      </iconSet>
    </cfRule>
  </conditionalFormatting>
  <conditionalFormatting sqref="I13:I14">
    <cfRule type="iconSet" priority="129">
      <iconSet iconSet="3Symbols2" showValue="0">
        <cfvo type="percent" val="0"/>
        <cfvo type="num" val="0"/>
        <cfvo type="num" val="1"/>
      </iconSet>
    </cfRule>
  </conditionalFormatting>
  <conditionalFormatting sqref="I18:I19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I20 I25 I30">
    <cfRule type="expression" dxfId="0" priority="113">
      <formula>OR(CELL("col")=COLUMN(),CELL("rom")=ROW())</formula>
    </cfRule>
  </conditionalFormatting>
  <conditionalFormatting sqref="I23:I24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I28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I29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I34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K10">
    <cfRule type="iconSet" priority="127">
      <iconSet iconSet="3Symbols2" showValue="0">
        <cfvo type="percent" val="0"/>
        <cfvo type="num" val="0"/>
        <cfvo type="num" val="1"/>
      </iconSet>
    </cfRule>
  </conditionalFormatting>
  <conditionalFormatting sqref="K11">
    <cfRule type="iconSet" priority="126">
      <iconSet iconSet="3Symbols2" showValue="0">
        <cfvo type="percent" val="0"/>
        <cfvo type="num" val="0"/>
        <cfvo type="num" val="1"/>
      </iconSet>
    </cfRule>
  </conditionalFormatting>
  <conditionalFormatting sqref="K12">
    <cfRule type="iconSet" priority="125">
      <iconSet iconSet="3Symbols2" showValue="0">
        <cfvo type="percent" val="0"/>
        <cfvo type="num" val="0"/>
        <cfvo type="num" val="1"/>
      </iconSet>
    </cfRule>
  </conditionalFormatting>
  <conditionalFormatting sqref="K13">
    <cfRule type="iconSet" priority="124">
      <iconSet iconSet="3Symbols2" showValue="0">
        <cfvo type="percent" val="0"/>
        <cfvo type="num" val="0"/>
        <cfvo type="num" val="1"/>
      </iconSet>
    </cfRule>
  </conditionalFormatting>
  <conditionalFormatting sqref="K14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K18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K19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K23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K24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K28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K29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K34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N2">
    <cfRule type="iconSet" priority="115">
      <iconSet iconSet="3Symbols2" showValue="0">
        <cfvo type="percent" val="0"/>
        <cfvo type="num" val="0"/>
        <cfvo type="num" val="1"/>
      </iconSet>
    </cfRule>
  </conditionalFormatting>
  <conditionalFormatting sqref="N3">
    <cfRule type="iconSet" priority="114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2ED1-C2EE-4F67-A4C0-17D1D556384D}">
  <dimension ref="B2:T193"/>
  <sheetViews>
    <sheetView topLeftCell="Y122" workbookViewId="0">
      <selection activeCell="F138" sqref="F138"/>
    </sheetView>
  </sheetViews>
  <sheetFormatPr defaultRowHeight="13.2"/>
  <cols>
    <col min="2" max="2" width="37.6640625" bestFit="1" customWidth="1"/>
    <col min="3" max="3" width="24.5546875" bestFit="1" customWidth="1"/>
    <col min="4" max="4" width="20.33203125" bestFit="1" customWidth="1"/>
    <col min="5" max="5" width="11.44140625" bestFit="1" customWidth="1"/>
    <col min="6" max="6" width="5.6640625" bestFit="1" customWidth="1"/>
    <col min="7" max="9" width="5" customWidth="1"/>
    <col min="10" max="10" width="7" bestFit="1" customWidth="1"/>
    <col min="11" max="11" width="9.5546875" bestFit="1" customWidth="1"/>
    <col min="12" max="12" width="7" customWidth="1"/>
    <col min="13" max="13" width="9.5546875" customWidth="1"/>
    <col min="14" max="17" width="5" customWidth="1"/>
    <col min="18" max="26" width="3.33203125" bestFit="1" customWidth="1"/>
    <col min="27" max="28" width="4.33203125" bestFit="1" customWidth="1"/>
    <col min="29" max="29" width="7.33203125" bestFit="1" customWidth="1"/>
    <col min="30" max="30" width="11.33203125" bestFit="1" customWidth="1"/>
  </cols>
  <sheetData>
    <row r="2" spans="2:20">
      <c r="K2" s="778" t="s">
        <v>1668</v>
      </c>
      <c r="L2" s="778" t="s">
        <v>1669</v>
      </c>
      <c r="M2" s="778"/>
      <c r="N2" s="778"/>
    </row>
    <row r="3" spans="2:20">
      <c r="B3" s="657" t="s">
        <v>1670</v>
      </c>
      <c r="C3" s="776" t="s">
        <v>1671</v>
      </c>
      <c r="D3" t="s">
        <v>1672</v>
      </c>
      <c r="K3" s="778"/>
      <c r="L3" s="778" t="s">
        <v>1673</v>
      </c>
      <c r="M3" s="778" t="s">
        <v>1665</v>
      </c>
      <c r="N3" s="778"/>
      <c r="S3" t="s">
        <v>1674</v>
      </c>
      <c r="T3" t="s">
        <v>1675</v>
      </c>
    </row>
    <row r="4" spans="2:20">
      <c r="B4" s="658" t="s">
        <v>263</v>
      </c>
      <c r="C4">
        <v>0.349304</v>
      </c>
      <c r="D4">
        <v>26</v>
      </c>
      <c r="K4" s="779" t="s">
        <v>1676</v>
      </c>
      <c r="L4" s="781">
        <v>4</v>
      </c>
      <c r="M4" s="782">
        <f>(2%*T4)+((160*S4)/10^7)</f>
        <v>0.349304</v>
      </c>
      <c r="N4" s="778"/>
      <c r="S4">
        <v>18744</v>
      </c>
      <c r="T4">
        <v>2.4700000000000002</v>
      </c>
    </row>
    <row r="5" spans="2:20">
      <c r="B5" s="774" t="s">
        <v>17</v>
      </c>
      <c r="D5">
        <v>25</v>
      </c>
      <c r="K5" s="779" t="s">
        <v>1677</v>
      </c>
      <c r="L5" s="781">
        <v>18</v>
      </c>
      <c r="M5" s="782">
        <f>(2%*T5)+((160*S5)/10^7)</f>
        <v>2.2044079999999999</v>
      </c>
      <c r="N5" s="778"/>
      <c r="S5">
        <v>122463</v>
      </c>
      <c r="T5">
        <v>12.25</v>
      </c>
    </row>
    <row r="6" spans="2:20">
      <c r="B6" s="777" t="s">
        <v>265</v>
      </c>
      <c r="D6">
        <v>6</v>
      </c>
      <c r="K6" s="779" t="s">
        <v>1678</v>
      </c>
      <c r="L6" s="781">
        <f>SUM(L7:L9)</f>
        <v>99</v>
      </c>
      <c r="M6" s="782">
        <f>SUM(M7:M9)</f>
        <v>1.091672</v>
      </c>
      <c r="N6" s="778"/>
    </row>
    <row r="7" spans="2:20">
      <c r="B7" s="777" t="s">
        <v>271</v>
      </c>
      <c r="D7">
        <v>4</v>
      </c>
      <c r="K7" s="780" t="s">
        <v>1666</v>
      </c>
      <c r="L7" s="783">
        <v>7</v>
      </c>
      <c r="M7" s="784">
        <f>(2%*T7)+((160*S7)/10^7)</f>
        <v>0.53307199999999999</v>
      </c>
      <c r="N7" s="778"/>
      <c r="S7">
        <v>29117</v>
      </c>
      <c r="T7">
        <v>3.36</v>
      </c>
    </row>
    <row r="8" spans="2:20">
      <c r="B8" s="777" t="s">
        <v>269</v>
      </c>
      <c r="D8">
        <v>1</v>
      </c>
      <c r="K8" s="780" t="s">
        <v>1679</v>
      </c>
      <c r="L8" s="783">
        <v>86</v>
      </c>
      <c r="M8" s="784">
        <f>2%*T8</f>
        <v>0.55859999999999999</v>
      </c>
      <c r="N8" s="778"/>
      <c r="S8" t="s">
        <v>72</v>
      </c>
      <c r="T8">
        <v>27.93</v>
      </c>
    </row>
    <row r="9" spans="2:20">
      <c r="B9" s="777" t="s">
        <v>173</v>
      </c>
      <c r="D9">
        <v>8</v>
      </c>
      <c r="K9" s="780" t="s">
        <v>1667</v>
      </c>
      <c r="L9" s="783">
        <v>6</v>
      </c>
      <c r="M9" s="783">
        <v>0</v>
      </c>
      <c r="S9" t="s">
        <v>72</v>
      </c>
      <c r="T9">
        <v>0</v>
      </c>
    </row>
    <row r="10" spans="2:20">
      <c r="B10" s="777" t="s">
        <v>267</v>
      </c>
      <c r="D10">
        <v>6</v>
      </c>
    </row>
    <row r="11" spans="2:20">
      <c r="B11" s="774" t="s">
        <v>897</v>
      </c>
      <c r="C11">
        <v>0.349304</v>
      </c>
      <c r="D11">
        <v>1</v>
      </c>
    </row>
    <row r="12" spans="2:20">
      <c r="B12" s="777" t="s">
        <v>1640</v>
      </c>
      <c r="C12">
        <v>0.349304</v>
      </c>
      <c r="D12">
        <v>1</v>
      </c>
    </row>
    <row r="13" spans="2:20">
      <c r="B13" s="658" t="s">
        <v>127</v>
      </c>
      <c r="C13" s="775">
        <v>50.335277761675314</v>
      </c>
      <c r="D13">
        <v>40</v>
      </c>
    </row>
    <row r="14" spans="2:20">
      <c r="B14" s="774" t="s">
        <v>17</v>
      </c>
      <c r="C14" s="775">
        <v>50.335277761675314</v>
      </c>
      <c r="D14">
        <v>40</v>
      </c>
    </row>
    <row r="15" spans="2:20">
      <c r="B15" s="777" t="s">
        <v>130</v>
      </c>
      <c r="C15" s="775">
        <v>1.9100000000000001</v>
      </c>
      <c r="D15">
        <v>11</v>
      </c>
    </row>
    <row r="16" spans="2:20">
      <c r="B16" s="777" t="s">
        <v>160</v>
      </c>
      <c r="C16" s="775">
        <v>0.30105801900000001</v>
      </c>
      <c r="D16">
        <v>3</v>
      </c>
    </row>
    <row r="17" spans="2:4">
      <c r="B17" s="777" t="s">
        <v>296</v>
      </c>
      <c r="C17" s="775">
        <v>8.7813947704253064</v>
      </c>
      <c r="D17">
        <v>3</v>
      </c>
    </row>
    <row r="18" spans="2:4">
      <c r="B18" s="777" t="s">
        <v>245</v>
      </c>
      <c r="C18" s="775">
        <v>0.189</v>
      </c>
      <c r="D18">
        <v>3</v>
      </c>
    </row>
    <row r="19" spans="2:4">
      <c r="B19" s="777" t="s">
        <v>248</v>
      </c>
      <c r="C19" s="775">
        <v>0.77993999999999997</v>
      </c>
      <c r="D19">
        <v>4</v>
      </c>
    </row>
    <row r="20" spans="2:4">
      <c r="B20" s="777" t="s">
        <v>258</v>
      </c>
      <c r="C20" s="775">
        <v>0.43996002400000001</v>
      </c>
      <c r="D20">
        <v>2</v>
      </c>
    </row>
    <row r="21" spans="2:4">
      <c r="B21" s="777" t="s">
        <v>167</v>
      </c>
      <c r="C21" s="775">
        <v>0.39</v>
      </c>
      <c r="D21">
        <v>2</v>
      </c>
    </row>
    <row r="22" spans="2:4">
      <c r="B22" s="777" t="s">
        <v>281</v>
      </c>
      <c r="C22" s="775">
        <v>1.18</v>
      </c>
      <c r="D22">
        <v>3</v>
      </c>
    </row>
    <row r="23" spans="2:4">
      <c r="B23" s="777" t="s">
        <v>301</v>
      </c>
      <c r="C23" s="775">
        <v>20.561850000000003</v>
      </c>
      <c r="D23">
        <v>6</v>
      </c>
    </row>
    <row r="24" spans="2:4">
      <c r="B24" s="777" t="s">
        <v>360</v>
      </c>
      <c r="C24" s="775">
        <v>15.802074948250002</v>
      </c>
      <c r="D24">
        <v>3</v>
      </c>
    </row>
    <row r="25" spans="2:4">
      <c r="B25" s="658" t="s">
        <v>28</v>
      </c>
      <c r="C25" s="775">
        <v>39.562446115799972</v>
      </c>
      <c r="D25">
        <v>156</v>
      </c>
    </row>
    <row r="26" spans="2:4">
      <c r="B26" s="774" t="s">
        <v>58</v>
      </c>
      <c r="C26" s="775">
        <v>5.9085529076757348</v>
      </c>
      <c r="D26">
        <v>56</v>
      </c>
    </row>
    <row r="27" spans="2:4">
      <c r="B27" s="777" t="s">
        <v>14</v>
      </c>
      <c r="C27" s="775">
        <v>0.14067281118400704</v>
      </c>
      <c r="D27">
        <v>3</v>
      </c>
    </row>
    <row r="28" spans="2:4">
      <c r="B28" s="777" t="s">
        <v>1546</v>
      </c>
      <c r="C28" s="775">
        <v>0.79096480000000002</v>
      </c>
      <c r="D28">
        <v>3</v>
      </c>
    </row>
    <row r="29" spans="2:4">
      <c r="B29" s="777" t="s">
        <v>328</v>
      </c>
      <c r="C29" s="775">
        <v>0.28215000000000001</v>
      </c>
      <c r="D29">
        <v>2</v>
      </c>
    </row>
    <row r="30" spans="2:4">
      <c r="B30" s="777" t="s">
        <v>353</v>
      </c>
      <c r="C30" s="775">
        <v>0.05</v>
      </c>
      <c r="D30">
        <v>1</v>
      </c>
    </row>
    <row r="31" spans="2:4">
      <c r="B31" s="777" t="s">
        <v>251</v>
      </c>
      <c r="C31" s="775">
        <v>1.13E-4</v>
      </c>
      <c r="D31">
        <v>1</v>
      </c>
    </row>
    <row r="32" spans="2:4">
      <c r="B32" s="777" t="s">
        <v>120</v>
      </c>
    </row>
    <row r="33" spans="2:4">
      <c r="B33" s="777" t="s">
        <v>351</v>
      </c>
      <c r="C33" s="775"/>
      <c r="D33">
        <v>2</v>
      </c>
    </row>
    <row r="34" spans="2:4">
      <c r="B34" s="777" t="s">
        <v>233</v>
      </c>
      <c r="C34" s="775">
        <v>1.5064544879999999E-2</v>
      </c>
      <c r="D34">
        <v>1</v>
      </c>
    </row>
    <row r="35" spans="2:4">
      <c r="B35" s="777" t="s">
        <v>245</v>
      </c>
      <c r="C35" s="775">
        <v>1.2E-2</v>
      </c>
      <c r="D35">
        <v>2</v>
      </c>
    </row>
    <row r="36" spans="2:4">
      <c r="B36" s="777" t="s">
        <v>248</v>
      </c>
      <c r="C36" s="775">
        <v>6.9637500000000005E-2</v>
      </c>
      <c r="D36">
        <v>2</v>
      </c>
    </row>
    <row r="37" spans="2:4">
      <c r="B37" s="777" t="s">
        <v>271</v>
      </c>
      <c r="C37" s="775">
        <v>8.9100000000000013E-2</v>
      </c>
      <c r="D37">
        <v>3</v>
      </c>
    </row>
    <row r="38" spans="2:4">
      <c r="B38" s="777" t="s">
        <v>258</v>
      </c>
      <c r="C38" s="775">
        <v>1.8855429600000001E-2</v>
      </c>
      <c r="D38">
        <v>1</v>
      </c>
    </row>
    <row r="39" spans="2:4">
      <c r="B39" s="777" t="s">
        <v>355</v>
      </c>
      <c r="C39" s="775">
        <v>9.3954239999999994E-3</v>
      </c>
      <c r="D39">
        <v>2</v>
      </c>
    </row>
    <row r="40" spans="2:4">
      <c r="B40" s="777" t="s">
        <v>281</v>
      </c>
      <c r="C40" s="775">
        <v>7.1279999999999996E-2</v>
      </c>
      <c r="D40">
        <v>2</v>
      </c>
    </row>
    <row r="41" spans="2:4">
      <c r="B41" s="777" t="s">
        <v>74</v>
      </c>
      <c r="C41" s="775">
        <v>0.04</v>
      </c>
      <c r="D41">
        <v>1</v>
      </c>
    </row>
    <row r="42" spans="2:4">
      <c r="B42" s="777" t="s">
        <v>91</v>
      </c>
      <c r="C42" s="775">
        <v>0.20895962000000001</v>
      </c>
      <c r="D42">
        <v>4</v>
      </c>
    </row>
    <row r="43" spans="2:4">
      <c r="B43" s="777" t="s">
        <v>1513</v>
      </c>
      <c r="C43" s="775">
        <v>0.24947971628407908</v>
      </c>
      <c r="D43">
        <v>5</v>
      </c>
    </row>
    <row r="44" spans="2:4">
      <c r="B44" s="777" t="s">
        <v>312</v>
      </c>
      <c r="C44" s="775">
        <v>0.24316884899999996</v>
      </c>
      <c r="D44">
        <v>2</v>
      </c>
    </row>
    <row r="45" spans="2:4">
      <c r="B45" s="777" t="s">
        <v>308</v>
      </c>
      <c r="C45" s="775">
        <v>0.72950654699999995</v>
      </c>
      <c r="D45">
        <v>2</v>
      </c>
    </row>
    <row r="46" spans="2:4">
      <c r="B46" s="777" t="s">
        <v>301</v>
      </c>
      <c r="C46" s="775">
        <v>1.1029326000000002</v>
      </c>
      <c r="D46">
        <v>3</v>
      </c>
    </row>
    <row r="47" spans="2:4">
      <c r="B47" s="777" t="s">
        <v>289</v>
      </c>
      <c r="C47" s="775">
        <v>3.4480719999999999E-2</v>
      </c>
      <c r="D47">
        <v>2</v>
      </c>
    </row>
    <row r="48" spans="2:4">
      <c r="B48" s="777" t="s">
        <v>360</v>
      </c>
      <c r="C48" s="775">
        <v>1.6715654198767502</v>
      </c>
      <c r="D48">
        <v>2</v>
      </c>
    </row>
    <row r="49" spans="2:4">
      <c r="B49" s="777" t="s">
        <v>1517</v>
      </c>
      <c r="C49" s="775">
        <v>5.7016733640155991E-2</v>
      </c>
      <c r="D49">
        <v>7</v>
      </c>
    </row>
    <row r="50" spans="2:4">
      <c r="B50" s="777" t="s">
        <v>1531</v>
      </c>
      <c r="C50" s="775">
        <v>2.2209192210743994E-2</v>
      </c>
      <c r="D50">
        <v>1</v>
      </c>
    </row>
    <row r="51" spans="2:4">
      <c r="B51" s="777" t="s">
        <v>1587</v>
      </c>
      <c r="D51">
        <v>2</v>
      </c>
    </row>
    <row r="52" spans="2:4">
      <c r="B52" s="774" t="s">
        <v>175</v>
      </c>
      <c r="C52" s="775">
        <v>22.676495080017759</v>
      </c>
      <c r="D52">
        <v>18</v>
      </c>
    </row>
    <row r="53" spans="2:4">
      <c r="B53" s="777" t="s">
        <v>328</v>
      </c>
      <c r="C53" s="775">
        <v>3.6650000000000005</v>
      </c>
      <c r="D53">
        <v>3</v>
      </c>
    </row>
    <row r="54" spans="2:4">
      <c r="B54" s="777" t="s">
        <v>351</v>
      </c>
      <c r="C54" s="775"/>
      <c r="D54">
        <v>3</v>
      </c>
    </row>
    <row r="55" spans="2:4">
      <c r="B55" s="777" t="s">
        <v>1513</v>
      </c>
      <c r="C55" s="775">
        <v>2.184224765452226</v>
      </c>
      <c r="D55">
        <v>3</v>
      </c>
    </row>
    <row r="56" spans="2:4">
      <c r="B56" s="777" t="s">
        <v>360</v>
      </c>
      <c r="C56" s="775">
        <v>15.802074948250002</v>
      </c>
      <c r="D56">
        <v>3</v>
      </c>
    </row>
    <row r="57" spans="2:4">
      <c r="B57" s="777" t="s">
        <v>1517</v>
      </c>
      <c r="C57" s="775">
        <v>0.52044099788952736</v>
      </c>
      <c r="D57">
        <v>4</v>
      </c>
    </row>
    <row r="58" spans="2:4">
      <c r="B58" s="777" t="s">
        <v>1531</v>
      </c>
      <c r="C58" s="775">
        <v>0.50475436842599997</v>
      </c>
      <c r="D58">
        <v>2</v>
      </c>
    </row>
    <row r="59" spans="2:4">
      <c r="B59" s="774" t="s">
        <v>27</v>
      </c>
      <c r="C59" s="775">
        <v>10.97739812810644</v>
      </c>
      <c r="D59">
        <v>82</v>
      </c>
    </row>
    <row r="60" spans="2:4">
      <c r="B60" s="777" t="s">
        <v>14</v>
      </c>
      <c r="C60" s="775">
        <v>0.29138321605729173</v>
      </c>
      <c r="D60">
        <v>7</v>
      </c>
    </row>
    <row r="61" spans="2:4">
      <c r="B61" s="777" t="s">
        <v>62</v>
      </c>
      <c r="C61" s="775">
        <v>0.16750548359999998</v>
      </c>
      <c r="D61">
        <v>2</v>
      </c>
    </row>
    <row r="62" spans="2:4">
      <c r="B62" s="777" t="s">
        <v>1546</v>
      </c>
      <c r="C62" s="775">
        <v>1.0047028</v>
      </c>
      <c r="D62">
        <v>3</v>
      </c>
    </row>
    <row r="63" spans="2:4">
      <c r="B63" s="777" t="s">
        <v>182</v>
      </c>
      <c r="C63" s="775">
        <v>3.6853334887931043E-2</v>
      </c>
      <c r="D63">
        <v>1</v>
      </c>
    </row>
    <row r="64" spans="2:4">
      <c r="B64" s="777" t="s">
        <v>328</v>
      </c>
      <c r="C64" s="775">
        <v>0.30266999999999999</v>
      </c>
      <c r="D64">
        <v>2</v>
      </c>
    </row>
    <row r="65" spans="2:4">
      <c r="B65" s="777" t="s">
        <v>353</v>
      </c>
      <c r="C65" s="775">
        <v>0.1</v>
      </c>
      <c r="D65">
        <v>2</v>
      </c>
    </row>
    <row r="66" spans="2:4">
      <c r="B66" s="777" t="s">
        <v>130</v>
      </c>
      <c r="C66" s="775">
        <v>0.02</v>
      </c>
      <c r="D66">
        <v>1</v>
      </c>
    </row>
    <row r="67" spans="2:4">
      <c r="B67" s="777" t="s">
        <v>160</v>
      </c>
      <c r="C67" s="775">
        <v>6.7122779915E-2</v>
      </c>
      <c r="D67">
        <v>3</v>
      </c>
    </row>
    <row r="68" spans="2:4">
      <c r="B68" s="777" t="s">
        <v>296</v>
      </c>
      <c r="C68" s="775">
        <v>1.2952557286377333</v>
      </c>
      <c r="D68">
        <v>3</v>
      </c>
    </row>
    <row r="69" spans="2:4">
      <c r="B69" s="777" t="s">
        <v>351</v>
      </c>
      <c r="C69" s="775"/>
      <c r="D69">
        <v>2</v>
      </c>
    </row>
    <row r="70" spans="2:4">
      <c r="B70" s="777" t="s">
        <v>233</v>
      </c>
      <c r="C70" s="775">
        <v>1.7955720160000004E-2</v>
      </c>
      <c r="D70">
        <v>1</v>
      </c>
    </row>
    <row r="71" spans="2:4">
      <c r="B71" s="777" t="s">
        <v>245</v>
      </c>
      <c r="C71" s="775">
        <v>2.9700000000000001E-2</v>
      </c>
      <c r="D71">
        <v>3</v>
      </c>
    </row>
    <row r="72" spans="2:4">
      <c r="B72" s="777" t="s">
        <v>248</v>
      </c>
      <c r="C72" s="775">
        <v>0.1253475</v>
      </c>
      <c r="D72">
        <v>4</v>
      </c>
    </row>
    <row r="73" spans="2:4">
      <c r="B73" s="777" t="s">
        <v>271</v>
      </c>
      <c r="C73" s="775">
        <v>0.1593</v>
      </c>
      <c r="D73">
        <v>3</v>
      </c>
    </row>
    <row r="74" spans="2:4">
      <c r="B74" s="777" t="s">
        <v>258</v>
      </c>
      <c r="C74" s="775">
        <v>2.2626515519999998E-2</v>
      </c>
      <c r="D74">
        <v>1</v>
      </c>
    </row>
    <row r="75" spans="2:4">
      <c r="B75" s="777" t="s">
        <v>355</v>
      </c>
      <c r="C75" s="775">
        <v>1.1274508799999999E-2</v>
      </c>
      <c r="D75">
        <v>2</v>
      </c>
    </row>
    <row r="76" spans="2:4">
      <c r="B76" s="777" t="s">
        <v>167</v>
      </c>
      <c r="C76" s="775">
        <v>0.04</v>
      </c>
      <c r="D76">
        <v>1</v>
      </c>
    </row>
    <row r="77" spans="2:4">
      <c r="B77" s="777" t="s">
        <v>281</v>
      </c>
      <c r="C77" s="775">
        <v>9.5579999999999998E-2</v>
      </c>
      <c r="D77">
        <v>2</v>
      </c>
    </row>
    <row r="78" spans="2:4">
      <c r="B78" s="777" t="s">
        <v>74</v>
      </c>
      <c r="C78" s="775">
        <v>0.36109150000000001</v>
      </c>
      <c r="D78">
        <v>2</v>
      </c>
    </row>
    <row r="79" spans="2:4">
      <c r="B79" s="777" t="s">
        <v>91</v>
      </c>
      <c r="C79" s="775">
        <v>0.65547999999999995</v>
      </c>
      <c r="D79">
        <v>9</v>
      </c>
    </row>
    <row r="80" spans="2:4">
      <c r="B80" s="777" t="s">
        <v>222</v>
      </c>
      <c r="C80" s="775">
        <v>2.1397857699999998E-2</v>
      </c>
      <c r="D80">
        <v>2</v>
      </c>
    </row>
    <row r="81" spans="2:4">
      <c r="B81" s="777" t="s">
        <v>1513</v>
      </c>
      <c r="C81" s="775">
        <v>0.33452961956274241</v>
      </c>
      <c r="D81">
        <v>4</v>
      </c>
    </row>
    <row r="82" spans="2:4">
      <c r="B82" s="777" t="s">
        <v>312</v>
      </c>
      <c r="C82" s="775">
        <v>0.43475642700000006</v>
      </c>
      <c r="D82">
        <v>3</v>
      </c>
    </row>
    <row r="83" spans="2:4">
      <c r="B83" s="777" t="s">
        <v>308</v>
      </c>
      <c r="C83" s="775">
        <v>1.3042692810000003</v>
      </c>
      <c r="D83">
        <v>3</v>
      </c>
    </row>
    <row r="84" spans="2:4">
      <c r="B84" s="777" t="s">
        <v>301</v>
      </c>
      <c r="C84" s="775">
        <v>1.6902084000000004</v>
      </c>
      <c r="D84">
        <v>4</v>
      </c>
    </row>
    <row r="85" spans="2:4">
      <c r="B85" s="777" t="s">
        <v>289</v>
      </c>
      <c r="C85" s="775">
        <v>3.9179040000000005E-2</v>
      </c>
      <c r="D85">
        <v>2</v>
      </c>
    </row>
    <row r="86" spans="2:4">
      <c r="B86" s="777" t="s">
        <v>360</v>
      </c>
      <c r="C86" s="775">
        <v>2.2417648438935003</v>
      </c>
      <c r="D86">
        <v>2</v>
      </c>
    </row>
    <row r="87" spans="2:4">
      <c r="B87" s="777" t="s">
        <v>1517</v>
      </c>
      <c r="C87" s="775">
        <v>8.7589899547485806E-2</v>
      </c>
      <c r="D87">
        <v>5</v>
      </c>
    </row>
    <row r="88" spans="2:4">
      <c r="B88" s="777" t="s">
        <v>1531</v>
      </c>
      <c r="C88" s="775">
        <v>1.9853671824755996E-2</v>
      </c>
      <c r="D88">
        <v>1</v>
      </c>
    </row>
    <row r="89" spans="2:4">
      <c r="B89" s="777" t="s">
        <v>1587</v>
      </c>
      <c r="D89">
        <v>2</v>
      </c>
    </row>
    <row r="90" spans="2:4">
      <c r="B90" s="658" t="s">
        <v>241</v>
      </c>
      <c r="C90" s="775">
        <v>1.4242604669999996</v>
      </c>
      <c r="D90">
        <v>20</v>
      </c>
    </row>
    <row r="91" spans="2:4">
      <c r="B91" s="774" t="s">
        <v>17</v>
      </c>
      <c r="C91" s="775">
        <v>1.1731323419999999</v>
      </c>
      <c r="D91">
        <v>12</v>
      </c>
    </row>
    <row r="92" spans="2:4">
      <c r="B92" s="777" t="s">
        <v>251</v>
      </c>
      <c r="C92" s="775">
        <v>4.0000000000000001E-3</v>
      </c>
      <c r="D92">
        <v>4</v>
      </c>
    </row>
    <row r="93" spans="2:4">
      <c r="B93" s="777" t="s">
        <v>243</v>
      </c>
      <c r="C93" s="775">
        <v>1.0156737499999999</v>
      </c>
      <c r="D93">
        <v>5</v>
      </c>
    </row>
    <row r="94" spans="2:4">
      <c r="B94" s="777" t="s">
        <v>355</v>
      </c>
      <c r="C94" s="775">
        <v>0.153458592</v>
      </c>
      <c r="D94">
        <v>3</v>
      </c>
    </row>
    <row r="95" spans="2:4">
      <c r="B95" s="774" t="s">
        <v>58</v>
      </c>
      <c r="C95" s="775">
        <v>4.7993374999999998E-2</v>
      </c>
      <c r="D95">
        <v>3</v>
      </c>
    </row>
    <row r="96" spans="2:4">
      <c r="B96" s="777" t="s">
        <v>243</v>
      </c>
      <c r="C96" s="775">
        <v>4.7993374999999998E-2</v>
      </c>
      <c r="D96">
        <v>3</v>
      </c>
    </row>
    <row r="97" spans="2:4">
      <c r="B97" s="774" t="s">
        <v>27</v>
      </c>
      <c r="C97" s="775">
        <v>6.0270749999999998E-2</v>
      </c>
      <c r="D97">
        <v>3</v>
      </c>
    </row>
    <row r="98" spans="2:4">
      <c r="B98" s="777" t="s">
        <v>243</v>
      </c>
      <c r="C98" s="775">
        <v>6.0270749999999998E-2</v>
      </c>
      <c r="D98">
        <v>3</v>
      </c>
    </row>
    <row r="99" spans="2:4">
      <c r="B99" s="774" t="s">
        <v>25</v>
      </c>
      <c r="C99" s="775">
        <v>0.14286399999999999</v>
      </c>
      <c r="D99">
        <v>2</v>
      </c>
    </row>
    <row r="100" spans="2:4">
      <c r="B100" s="777" t="s">
        <v>243</v>
      </c>
      <c r="C100" s="775">
        <v>0.14286399999999999</v>
      </c>
      <c r="D100">
        <v>2</v>
      </c>
    </row>
    <row r="101" spans="2:4">
      <c r="B101" s="658" t="s">
        <v>64</v>
      </c>
      <c r="C101" s="775">
        <v>40.849486429549593</v>
      </c>
      <c r="D101">
        <v>31</v>
      </c>
    </row>
    <row r="102" spans="2:4">
      <c r="B102" s="774" t="s">
        <v>17</v>
      </c>
      <c r="C102" s="775">
        <v>37.516986429549604</v>
      </c>
      <c r="D102">
        <v>24</v>
      </c>
    </row>
    <row r="103" spans="2:4">
      <c r="B103" s="777" t="s">
        <v>62</v>
      </c>
      <c r="C103" s="775">
        <v>0.3642147722995997</v>
      </c>
      <c r="D103">
        <v>3</v>
      </c>
    </row>
    <row r="104" spans="2:4">
      <c r="B104" s="777" t="s">
        <v>1546</v>
      </c>
      <c r="C104" s="775">
        <v>8.2774750000000008</v>
      </c>
      <c r="D104">
        <v>3</v>
      </c>
    </row>
    <row r="105" spans="2:4">
      <c r="B105" s="777" t="s">
        <v>353</v>
      </c>
      <c r="C105" s="775">
        <v>1.1499999999999999</v>
      </c>
      <c r="D105">
        <v>2</v>
      </c>
    </row>
    <row r="106" spans="2:4">
      <c r="B106" s="777" t="s">
        <v>351</v>
      </c>
      <c r="C106" s="775"/>
      <c r="D106">
        <v>3</v>
      </c>
    </row>
    <row r="107" spans="2:4">
      <c r="B107" s="777" t="s">
        <v>312</v>
      </c>
      <c r="C107" s="775">
        <v>5.5265647500000004</v>
      </c>
      <c r="D107">
        <v>5</v>
      </c>
    </row>
    <row r="108" spans="2:4">
      <c r="B108" s="777" t="s">
        <v>308</v>
      </c>
      <c r="C108" s="775">
        <v>16.579694250000003</v>
      </c>
      <c r="D108">
        <v>5</v>
      </c>
    </row>
    <row r="109" spans="2:4">
      <c r="B109" s="777" t="s">
        <v>360</v>
      </c>
      <c r="C109" s="775">
        <v>5.6190376572499998</v>
      </c>
      <c r="D109">
        <v>3</v>
      </c>
    </row>
    <row r="110" spans="2:4">
      <c r="B110" s="774" t="s">
        <v>175</v>
      </c>
      <c r="C110" s="775">
        <v>3.3325</v>
      </c>
      <c r="D110">
        <v>7</v>
      </c>
    </row>
    <row r="111" spans="2:4">
      <c r="B111" s="777" t="s">
        <v>271</v>
      </c>
      <c r="C111" s="775">
        <v>3.3325</v>
      </c>
      <c r="D111">
        <v>7</v>
      </c>
    </row>
    <row r="112" spans="2:4">
      <c r="B112" s="658" t="s">
        <v>177</v>
      </c>
      <c r="C112" s="775">
        <v>15.932359073197466</v>
      </c>
      <c r="D112">
        <v>49</v>
      </c>
    </row>
    <row r="113" spans="2:4">
      <c r="B113" s="774" t="s">
        <v>17</v>
      </c>
      <c r="C113" s="775">
        <v>15.932359073197466</v>
      </c>
      <c r="D113">
        <v>49</v>
      </c>
    </row>
    <row r="114" spans="2:4">
      <c r="B114" s="777" t="s">
        <v>1546</v>
      </c>
      <c r="C114" s="775">
        <v>0.25712500000000005</v>
      </c>
      <c r="D114">
        <v>3</v>
      </c>
    </row>
    <row r="115" spans="2:4">
      <c r="B115" s="777" t="s">
        <v>1533</v>
      </c>
      <c r="C115" s="775">
        <v>1.6141000000000003</v>
      </c>
      <c r="D115">
        <v>1</v>
      </c>
    </row>
    <row r="116" spans="2:4">
      <c r="B116" s="777" t="s">
        <v>182</v>
      </c>
      <c r="C116" s="775">
        <v>5.7305795176560004</v>
      </c>
      <c r="D116">
        <v>11</v>
      </c>
    </row>
    <row r="117" spans="2:4">
      <c r="B117" s="777" t="s">
        <v>328</v>
      </c>
      <c r="C117" s="775">
        <v>0.30500000000000005</v>
      </c>
      <c r="D117">
        <v>1</v>
      </c>
    </row>
    <row r="118" spans="2:4">
      <c r="B118" s="777" t="s">
        <v>233</v>
      </c>
      <c r="C118" s="775">
        <v>0.38041780000000003</v>
      </c>
      <c r="D118">
        <v>2</v>
      </c>
    </row>
    <row r="119" spans="2:4">
      <c r="B119" s="777" t="s">
        <v>271</v>
      </c>
      <c r="C119" s="775">
        <v>0.28500000000000003</v>
      </c>
      <c r="D119">
        <v>3</v>
      </c>
    </row>
    <row r="120" spans="2:4">
      <c r="B120" s="777" t="s">
        <v>281</v>
      </c>
      <c r="C120" s="775">
        <v>0.16999999999999998</v>
      </c>
      <c r="D120">
        <v>2</v>
      </c>
    </row>
    <row r="121" spans="2:4">
      <c r="B121" s="777" t="s">
        <v>222</v>
      </c>
      <c r="C121" s="775">
        <v>0.72823846611302523</v>
      </c>
      <c r="D121">
        <v>7</v>
      </c>
    </row>
    <row r="122" spans="2:4">
      <c r="B122" s="777" t="s">
        <v>1513</v>
      </c>
      <c r="C122" s="775">
        <v>2.8349967759554442</v>
      </c>
      <c r="D122">
        <v>4</v>
      </c>
    </row>
    <row r="123" spans="2:4">
      <c r="B123" s="777" t="s">
        <v>301</v>
      </c>
      <c r="C123" s="775">
        <v>0.92385000000000017</v>
      </c>
      <c r="D123">
        <v>3</v>
      </c>
    </row>
    <row r="124" spans="2:4">
      <c r="B124" s="777" t="s">
        <v>289</v>
      </c>
      <c r="C124" s="775">
        <v>0.61820000000000008</v>
      </c>
      <c r="D124">
        <v>3</v>
      </c>
    </row>
    <row r="125" spans="2:4">
      <c r="B125" s="777" t="s">
        <v>173</v>
      </c>
      <c r="C125" s="775">
        <v>1.547754763030085</v>
      </c>
      <c r="D125">
        <v>4</v>
      </c>
    </row>
    <row r="126" spans="2:4">
      <c r="B126" s="777" t="s">
        <v>1517</v>
      </c>
      <c r="C126" s="775">
        <v>0.53709675044290905</v>
      </c>
      <c r="D126">
        <v>2</v>
      </c>
    </row>
    <row r="127" spans="2:4">
      <c r="B127" s="777" t="s">
        <v>1587</v>
      </c>
      <c r="D127">
        <v>3</v>
      </c>
    </row>
    <row r="128" spans="2:4">
      <c r="B128" s="658" t="s">
        <v>26</v>
      </c>
      <c r="C128" s="775">
        <v>29.565205943261784</v>
      </c>
      <c r="D128">
        <v>125</v>
      </c>
    </row>
    <row r="129" spans="2:4">
      <c r="B129" s="774" t="s">
        <v>25</v>
      </c>
      <c r="C129" s="775">
        <v>29.565205943261784</v>
      </c>
      <c r="D129">
        <v>125</v>
      </c>
    </row>
    <row r="130" spans="2:4">
      <c r="B130" s="777" t="s">
        <v>14</v>
      </c>
      <c r="C130" s="775">
        <v>0.36097818730095005</v>
      </c>
      <c r="D130">
        <v>19</v>
      </c>
    </row>
    <row r="131" spans="2:4">
      <c r="B131" s="777" t="s">
        <v>62</v>
      </c>
      <c r="C131" s="775">
        <v>0.8012391689004752</v>
      </c>
      <c r="D131">
        <v>5</v>
      </c>
    </row>
    <row r="132" spans="2:4">
      <c r="B132" s="777" t="s">
        <v>1546</v>
      </c>
      <c r="C132" s="775">
        <v>2.5364152</v>
      </c>
      <c r="D132">
        <v>2</v>
      </c>
    </row>
    <row r="133" spans="2:4">
      <c r="B133" s="777" t="s">
        <v>182</v>
      </c>
      <c r="C133" s="775">
        <v>2.1217771248000008</v>
      </c>
      <c r="D133">
        <v>19</v>
      </c>
    </row>
    <row r="134" spans="2:4">
      <c r="B134" s="777" t="s">
        <v>328</v>
      </c>
      <c r="C134" s="775">
        <v>0.36252000000000001</v>
      </c>
      <c r="D134">
        <v>1</v>
      </c>
    </row>
    <row r="135" spans="2:4">
      <c r="B135" s="777" t="s">
        <v>353</v>
      </c>
      <c r="C135" s="775">
        <v>0.19</v>
      </c>
      <c r="D135">
        <v>1</v>
      </c>
    </row>
    <row r="136" spans="2:4">
      <c r="B136" s="777" t="s">
        <v>251</v>
      </c>
      <c r="C136" s="775">
        <v>8.0000000000000004E-4</v>
      </c>
      <c r="D136">
        <v>1</v>
      </c>
    </row>
    <row r="137" spans="2:4">
      <c r="B137" s="777" t="s">
        <v>120</v>
      </c>
      <c r="C137" s="775">
        <v>2.3823562255988601E-2</v>
      </c>
      <c r="D137">
        <v>2</v>
      </c>
    </row>
    <row r="138" spans="2:4">
      <c r="B138" s="777" t="s">
        <v>130</v>
      </c>
      <c r="C138" s="775">
        <v>0.71000000000000008</v>
      </c>
      <c r="D138">
        <v>8</v>
      </c>
    </row>
    <row r="139" spans="2:4">
      <c r="B139" s="777" t="s">
        <v>160</v>
      </c>
      <c r="C139" s="775">
        <v>0.28480034280014982</v>
      </c>
      <c r="D139">
        <v>4</v>
      </c>
    </row>
    <row r="140" spans="2:4">
      <c r="B140" s="777" t="s">
        <v>296</v>
      </c>
      <c r="C140" s="775">
        <v>3.257897459827789</v>
      </c>
      <c r="D140">
        <v>2</v>
      </c>
    </row>
    <row r="141" spans="2:4">
      <c r="B141" s="777" t="s">
        <v>278</v>
      </c>
      <c r="C141" s="775">
        <v>0.04</v>
      </c>
      <c r="D141">
        <v>1</v>
      </c>
    </row>
    <row r="142" spans="2:4">
      <c r="B142" s="777" t="s">
        <v>351</v>
      </c>
      <c r="C142" s="775"/>
      <c r="D142">
        <v>1</v>
      </c>
    </row>
    <row r="143" spans="2:4">
      <c r="B143" s="777" t="s">
        <v>233</v>
      </c>
      <c r="C143" s="775">
        <v>6.4518858880000002E-2</v>
      </c>
      <c r="D143">
        <v>1</v>
      </c>
    </row>
    <row r="144" spans="2:4">
      <c r="B144" s="777" t="s">
        <v>245</v>
      </c>
      <c r="C144" s="775">
        <v>8.6400000000000005E-2</v>
      </c>
      <c r="D144">
        <v>3</v>
      </c>
    </row>
    <row r="145" spans="2:4">
      <c r="B145" s="777" t="s">
        <v>248</v>
      </c>
      <c r="C145" s="775">
        <v>0.22284000000000001</v>
      </c>
      <c r="D145">
        <v>3</v>
      </c>
    </row>
    <row r="146" spans="2:4">
      <c r="B146" s="777" t="s">
        <v>271</v>
      </c>
      <c r="C146" s="775">
        <v>0.63240000000000007</v>
      </c>
      <c r="D146">
        <v>4</v>
      </c>
    </row>
    <row r="147" spans="2:4">
      <c r="B147" s="777" t="s">
        <v>258</v>
      </c>
      <c r="C147" s="775">
        <v>8.0449832960000009E-2</v>
      </c>
      <c r="D147">
        <v>1</v>
      </c>
    </row>
    <row r="148" spans="2:4">
      <c r="B148" s="777" t="s">
        <v>355</v>
      </c>
      <c r="C148" s="775">
        <v>2.0043571200000002E-2</v>
      </c>
      <c r="D148">
        <v>1</v>
      </c>
    </row>
    <row r="149" spans="2:4">
      <c r="B149" s="777" t="s">
        <v>167</v>
      </c>
      <c r="C149" s="775">
        <v>0.30000000000000004</v>
      </c>
      <c r="D149">
        <v>4</v>
      </c>
    </row>
    <row r="150" spans="2:4">
      <c r="B150" s="777" t="s">
        <v>281</v>
      </c>
      <c r="C150" s="775">
        <v>0.17172000000000001</v>
      </c>
      <c r="D150">
        <v>1</v>
      </c>
    </row>
    <row r="151" spans="2:4">
      <c r="B151" s="777" t="s">
        <v>74</v>
      </c>
      <c r="C151" s="775">
        <v>0.36</v>
      </c>
      <c r="D151">
        <v>3</v>
      </c>
    </row>
    <row r="152" spans="2:4">
      <c r="B152" s="777" t="s">
        <v>91</v>
      </c>
      <c r="C152" s="775">
        <v>2.1</v>
      </c>
      <c r="D152">
        <v>8</v>
      </c>
    </row>
    <row r="153" spans="2:4">
      <c r="B153" s="777" t="s">
        <v>222</v>
      </c>
      <c r="C153" s="775">
        <v>0.34545700083561953</v>
      </c>
      <c r="D153">
        <v>6</v>
      </c>
    </row>
    <row r="154" spans="2:4">
      <c r="B154" s="777" t="s">
        <v>1513</v>
      </c>
      <c r="C154" s="775">
        <v>0.80135908867007233</v>
      </c>
      <c r="D154">
        <v>3</v>
      </c>
    </row>
    <row r="155" spans="2:4">
      <c r="B155" s="777" t="s">
        <v>312</v>
      </c>
      <c r="C155" s="775">
        <v>1.041450424</v>
      </c>
      <c r="D155">
        <v>2</v>
      </c>
    </row>
    <row r="156" spans="2:4">
      <c r="B156" s="777" t="s">
        <v>308</v>
      </c>
      <c r="C156" s="775">
        <v>3.1243512720000002</v>
      </c>
      <c r="D156">
        <v>2</v>
      </c>
    </row>
    <row r="157" spans="2:4">
      <c r="B157" s="777" t="s">
        <v>301</v>
      </c>
      <c r="C157" s="775">
        <v>4.0488608000000008</v>
      </c>
      <c r="D157">
        <v>3</v>
      </c>
    </row>
    <row r="158" spans="2:4">
      <c r="B158" s="777" t="s">
        <v>289</v>
      </c>
      <c r="C158" s="775">
        <v>7.8635040000000003E-2</v>
      </c>
      <c r="D158">
        <v>1</v>
      </c>
    </row>
    <row r="159" spans="2:4">
      <c r="B159" s="777" t="s">
        <v>173</v>
      </c>
      <c r="C159" s="775">
        <v>1.005255014743917</v>
      </c>
      <c r="D159">
        <v>4</v>
      </c>
    </row>
    <row r="160" spans="2:4">
      <c r="B160" s="777" t="s">
        <v>360</v>
      </c>
      <c r="C160" s="775">
        <v>4.0201798335435006</v>
      </c>
      <c r="D160">
        <v>1</v>
      </c>
    </row>
    <row r="161" spans="2:4">
      <c r="B161" s="777" t="s">
        <v>1517</v>
      </c>
      <c r="C161" s="775">
        <v>0.29969554313912505</v>
      </c>
      <c r="D161">
        <v>6</v>
      </c>
    </row>
    <row r="162" spans="2:4">
      <c r="B162" s="777" t="s">
        <v>1531</v>
      </c>
      <c r="C162" s="775">
        <v>7.133861740420798E-2</v>
      </c>
      <c r="D162">
        <v>1</v>
      </c>
    </row>
    <row r="163" spans="2:4">
      <c r="B163" s="777" t="s">
        <v>1587</v>
      </c>
      <c r="D163">
        <v>1</v>
      </c>
    </row>
    <row r="164" spans="2:4">
      <c r="B164" s="658" t="s">
        <v>19</v>
      </c>
      <c r="C164" s="775">
        <v>37.79990571998097</v>
      </c>
      <c r="D164">
        <v>46</v>
      </c>
    </row>
    <row r="165" spans="2:4">
      <c r="B165" s="774" t="s">
        <v>17</v>
      </c>
      <c r="C165" s="775">
        <v>35.595497719980969</v>
      </c>
      <c r="D165">
        <v>45</v>
      </c>
    </row>
    <row r="166" spans="2:4">
      <c r="B166" s="777" t="s">
        <v>14</v>
      </c>
      <c r="C166" s="775">
        <v>1.9207477199809744</v>
      </c>
      <c r="D166">
        <v>18</v>
      </c>
    </row>
    <row r="167" spans="2:4">
      <c r="B167" s="777" t="s">
        <v>74</v>
      </c>
      <c r="C167" s="775">
        <v>3.3658999999999999</v>
      </c>
      <c r="D167">
        <v>8</v>
      </c>
    </row>
    <row r="168" spans="2:4">
      <c r="B168" s="777" t="s">
        <v>91</v>
      </c>
      <c r="C168" s="775">
        <v>5.9438499999999976</v>
      </c>
      <c r="D168">
        <v>17</v>
      </c>
    </row>
    <row r="169" spans="2:4">
      <c r="B169" s="777" t="s">
        <v>350</v>
      </c>
      <c r="C169" s="775">
        <v>5.9650000000000007</v>
      </c>
      <c r="D169">
        <v>1</v>
      </c>
    </row>
    <row r="170" spans="2:4">
      <c r="B170" s="777" t="s">
        <v>378</v>
      </c>
      <c r="C170" s="775">
        <v>18.399999999999999</v>
      </c>
      <c r="D170">
        <v>1</v>
      </c>
    </row>
    <row r="171" spans="2:4">
      <c r="B171" s="774" t="s">
        <v>897</v>
      </c>
      <c r="C171">
        <v>2.2044079999999999</v>
      </c>
      <c r="D171">
        <v>1</v>
      </c>
    </row>
    <row r="172" spans="2:4">
      <c r="B172" s="777" t="s">
        <v>1640</v>
      </c>
      <c r="C172">
        <v>2.2044079999999999</v>
      </c>
      <c r="D172">
        <v>1</v>
      </c>
    </row>
    <row r="173" spans="2:4">
      <c r="B173" s="658" t="s">
        <v>1648</v>
      </c>
      <c r="D173">
        <v>12</v>
      </c>
    </row>
    <row r="174" spans="2:4">
      <c r="B174" s="774" t="s">
        <v>897</v>
      </c>
      <c r="D174">
        <v>12</v>
      </c>
    </row>
    <row r="175" spans="2:4">
      <c r="B175" s="777" t="s">
        <v>1640</v>
      </c>
      <c r="D175">
        <v>1</v>
      </c>
    </row>
    <row r="176" spans="2:4">
      <c r="B176" s="777" t="s">
        <v>907</v>
      </c>
      <c r="D176">
        <v>7</v>
      </c>
    </row>
    <row r="177" spans="2:4">
      <c r="B177" s="777" t="s">
        <v>1657</v>
      </c>
      <c r="D177">
        <v>3</v>
      </c>
    </row>
    <row r="178" spans="2:4">
      <c r="B178" s="777" t="s">
        <v>1662</v>
      </c>
      <c r="D178">
        <v>1</v>
      </c>
    </row>
    <row r="179" spans="2:4">
      <c r="B179" s="658" t="s">
        <v>539</v>
      </c>
      <c r="C179">
        <v>1.093072</v>
      </c>
      <c r="D179">
        <v>7</v>
      </c>
    </row>
    <row r="180" spans="2:4">
      <c r="B180" s="774" t="s">
        <v>897</v>
      </c>
      <c r="C180">
        <v>1.093072</v>
      </c>
      <c r="D180">
        <v>7</v>
      </c>
    </row>
    <row r="181" spans="2:4">
      <c r="B181" s="777" t="s">
        <v>803</v>
      </c>
      <c r="D181">
        <v>4</v>
      </c>
    </row>
    <row r="182" spans="2:4">
      <c r="B182" s="777" t="s">
        <v>1640</v>
      </c>
      <c r="C182">
        <v>0.53307199999999999</v>
      </c>
      <c r="D182">
        <v>1</v>
      </c>
    </row>
    <row r="183" spans="2:4">
      <c r="B183" s="777" t="s">
        <v>1680</v>
      </c>
      <c r="C183">
        <v>0.56000000000000005</v>
      </c>
      <c r="D183">
        <v>1</v>
      </c>
    </row>
    <row r="184" spans="2:4">
      <c r="B184" s="777" t="s">
        <v>1667</v>
      </c>
      <c r="C184">
        <v>0</v>
      </c>
      <c r="D184">
        <v>1</v>
      </c>
    </row>
    <row r="185" spans="2:4">
      <c r="B185" s="658" t="s">
        <v>1681</v>
      </c>
      <c r="C185">
        <v>216.9113175104649</v>
      </c>
      <c r="D185">
        <v>512</v>
      </c>
    </row>
    <row r="193" spans="2:2">
      <c r="B193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4B6-E0A1-4D10-BDF7-911E7CF41841}">
  <sheetPr>
    <outlinePr summaryBelow="0" summaryRight="0"/>
  </sheetPr>
  <dimension ref="A2:AA70"/>
  <sheetViews>
    <sheetView zoomScale="90" zoomScaleNormal="90" workbookViewId="0">
      <pane xSplit="2" ySplit="4" topLeftCell="C44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4140625" defaultRowHeight="13.2" outlineLevelRow="3" outlineLevelCol="1"/>
  <cols>
    <col min="1" max="1" width="0.5546875" style="416" customWidth="1"/>
    <col min="2" max="2" width="22.6640625" style="416" customWidth="1"/>
    <col min="3" max="3" width="17.6640625" style="416" bestFit="1" customWidth="1"/>
    <col min="4" max="4" width="16.33203125" style="416" customWidth="1"/>
    <col min="5" max="5" width="14.44140625" style="416" customWidth="1"/>
    <col min="6" max="6" width="53.6640625" style="749" customWidth="1"/>
    <col min="7" max="7" width="13.33203125" style="416" bestFit="1" customWidth="1"/>
    <col min="8" max="8" width="9.5546875" style="416" customWidth="1" outlineLevel="1"/>
    <col min="9" max="11" width="0.5546875" style="416" customWidth="1"/>
    <col min="12" max="12" width="14.44140625" style="416" customWidth="1"/>
    <col min="13" max="13" width="14.44140625" style="416" customWidth="1" collapsed="1"/>
    <col min="14" max="18" width="14.44140625" style="416" hidden="1" customWidth="1" outlineLevel="1"/>
    <col min="19" max="21" width="0.5546875" style="416" customWidth="1"/>
    <col min="22" max="22" width="16.33203125" style="416" customWidth="1" collapsed="1"/>
    <col min="23" max="23" width="14.33203125" style="416" hidden="1" customWidth="1" outlineLevel="1"/>
    <col min="24" max="26" width="9.44140625" style="416"/>
    <col min="27" max="27" width="9.44140625" style="416" bestFit="1" customWidth="1"/>
    <col min="28" max="16384" width="9.44140625" style="416"/>
  </cols>
  <sheetData>
    <row r="2" spans="1:27" ht="17.399999999999999">
      <c r="A2" s="376"/>
      <c r="B2" s="418" t="s">
        <v>1682</v>
      </c>
      <c r="C2" s="418"/>
      <c r="D2" s="418"/>
      <c r="E2" s="418"/>
      <c r="F2" s="423"/>
      <c r="G2" s="689">
        <f>SUBTOTAL(9,G6:G70)</f>
        <v>50.3352777616753</v>
      </c>
      <c r="H2" s="690">
        <f>SUBTOTAL(9,H6:H70)</f>
        <v>40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SUBTOTAL(9,V6:V70)</f>
        <v>0</v>
      </c>
      <c r="W2" s="764">
        <f>SUBTOTAL(9,W6:W70)</f>
        <v>0</v>
      </c>
      <c r="X2" s="610">
        <f>G2-V2</f>
        <v>50.3352777616753</v>
      </c>
      <c r="Y2" s="610">
        <f>H2-W2</f>
        <v>40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13</v>
      </c>
      <c r="C6" s="430"/>
      <c r="D6" s="430"/>
      <c r="E6" s="430"/>
      <c r="F6" s="697"/>
      <c r="G6" s="698">
        <f>SUBTOTAL(9,G8:G44)</f>
        <v>4.0099580430000001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s="612" customFormat="1" outlineLevel="1">
      <c r="A8" s="380"/>
      <c r="B8" s="665" t="s">
        <v>130</v>
      </c>
      <c r="C8" s="665" t="s">
        <v>131</v>
      </c>
      <c r="D8" s="665"/>
      <c r="E8" s="665"/>
      <c r="F8" s="681" t="s">
        <v>262</v>
      </c>
      <c r="G8" s="701">
        <f>SUBTOTAL(9,G9:G20)</f>
        <v>1.9100000000000001</v>
      </c>
      <c r="H8" s="702">
        <f>SUBTOTAL(9,H9:H20)</f>
        <v>11</v>
      </c>
      <c r="I8" s="627"/>
      <c r="J8" s="753"/>
      <c r="L8" s="665"/>
      <c r="M8" s="665"/>
      <c r="N8" s="665"/>
      <c r="O8" s="665"/>
      <c r="P8" s="665"/>
      <c r="Q8" s="665"/>
      <c r="R8" s="665"/>
      <c r="T8" s="753"/>
      <c r="V8" s="701">
        <f>SUBTOTAL(9,V9:V20)</f>
        <v>0</v>
      </c>
      <c r="W8" s="702">
        <f>SUBTOTAL(9,W9:W20)</f>
        <v>0</v>
      </c>
      <c r="X8" s="611"/>
      <c r="Y8" s="611"/>
      <c r="Z8" s="611"/>
    </row>
    <row r="9" spans="1:27" outlineLevel="2">
      <c r="A9" s="376"/>
      <c r="B9" s="684" t="s">
        <v>130</v>
      </c>
      <c r="C9" s="684" t="s">
        <v>131</v>
      </c>
      <c r="D9" s="684" t="s">
        <v>17</v>
      </c>
      <c r="E9" s="684"/>
      <c r="F9" s="685" t="s">
        <v>77</v>
      </c>
      <c r="G9" s="713">
        <f>SUBTOTAL(9,G10:G20)</f>
        <v>1.9100000000000001</v>
      </c>
      <c r="H9" s="714">
        <f>SUBTOTAL(9,H10:H20)</f>
        <v>11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713">
        <f>SUBTOTAL(9,V10:V20)</f>
        <v>0</v>
      </c>
      <c r="W9" s="714">
        <f>SUBTOTAL(9,W10:W20)</f>
        <v>0</v>
      </c>
      <c r="X9" s="610"/>
      <c r="Y9" s="610"/>
      <c r="Z9" s="610"/>
    </row>
    <row r="10" spans="1:27" outlineLevel="3">
      <c r="A10" s="376"/>
      <c r="B10" s="376" t="s">
        <v>130</v>
      </c>
      <c r="C10" s="376" t="s">
        <v>131</v>
      </c>
      <c r="D10" s="376" t="s">
        <v>17</v>
      </c>
      <c r="E10" s="376" t="s">
        <v>127</v>
      </c>
      <c r="F10" s="608" t="s">
        <v>1600</v>
      </c>
      <c r="G10" s="695">
        <v>0.13</v>
      </c>
      <c r="H10" s="700">
        <v>1</v>
      </c>
      <c r="I10" s="626"/>
      <c r="J10" s="751"/>
      <c r="L10" s="376" t="s">
        <v>127</v>
      </c>
      <c r="M10" s="376" t="s">
        <v>1320</v>
      </c>
      <c r="N10" s="376" t="s">
        <v>1337</v>
      </c>
      <c r="O10" s="376" t="s">
        <v>1338</v>
      </c>
      <c r="P10" s="376" t="s">
        <v>1339</v>
      </c>
      <c r="Q10" s="376"/>
      <c r="R10" s="376"/>
      <c r="T10" s="751"/>
      <c r="V10" s="609">
        <f t="shared" ref="V10:V20" si="0">IF(W10=1,G10,0)</f>
        <v>0</v>
      </c>
      <c r="W10" s="700"/>
      <c r="X10" s="610"/>
      <c r="Y10" s="610"/>
      <c r="Z10" s="610"/>
    </row>
    <row r="11" spans="1:27" outlineLevel="3">
      <c r="A11" s="376"/>
      <c r="B11" s="376" t="s">
        <v>130</v>
      </c>
      <c r="C11" s="376" t="s">
        <v>131</v>
      </c>
      <c r="D11" s="376" t="s">
        <v>17</v>
      </c>
      <c r="E11" s="376" t="s">
        <v>127</v>
      </c>
      <c r="F11" s="608" t="s">
        <v>1336</v>
      </c>
      <c r="G11" s="609">
        <v>0.13</v>
      </c>
      <c r="H11" s="692">
        <v>1</v>
      </c>
      <c r="I11" s="626"/>
      <c r="J11" s="751"/>
      <c r="L11" s="376" t="s">
        <v>127</v>
      </c>
      <c r="M11" s="376" t="s">
        <v>1320</v>
      </c>
      <c r="N11" s="376" t="s">
        <v>1337</v>
      </c>
      <c r="O11" s="376" t="s">
        <v>1338</v>
      </c>
      <c r="P11" s="376" t="s">
        <v>1339</v>
      </c>
      <c r="Q11" s="376"/>
      <c r="R11" s="376"/>
      <c r="T11" s="751"/>
      <c r="V11" s="609">
        <f>IF(W11=1,G11,0)</f>
        <v>0</v>
      </c>
      <c r="W11" s="692"/>
      <c r="X11" s="610"/>
      <c r="Y11" s="610"/>
      <c r="Z11" s="610"/>
    </row>
    <row r="12" spans="1:27" outlineLevel="3">
      <c r="A12" s="376"/>
      <c r="B12" s="376" t="s">
        <v>130</v>
      </c>
      <c r="C12" s="376" t="s">
        <v>131</v>
      </c>
      <c r="D12" s="376" t="s">
        <v>17</v>
      </c>
      <c r="E12" s="376" t="s">
        <v>127</v>
      </c>
      <c r="F12" s="608" t="s">
        <v>1340</v>
      </c>
      <c r="G12" s="695">
        <v>0.13</v>
      </c>
      <c r="H12" s="700">
        <v>1</v>
      </c>
      <c r="I12" s="626"/>
      <c r="J12" s="751"/>
      <c r="L12" s="376" t="s">
        <v>127</v>
      </c>
      <c r="M12" s="376" t="s">
        <v>1320</v>
      </c>
      <c r="N12" s="376" t="s">
        <v>1337</v>
      </c>
      <c r="O12" s="376" t="s">
        <v>1338</v>
      </c>
      <c r="P12" s="376" t="s">
        <v>1339</v>
      </c>
      <c r="Q12" s="376"/>
      <c r="R12" s="376"/>
      <c r="T12" s="751"/>
      <c r="V12" s="609">
        <f t="shared" si="0"/>
        <v>0</v>
      </c>
      <c r="W12" s="700"/>
      <c r="X12" s="610"/>
      <c r="Y12" s="610"/>
      <c r="Z12" s="610"/>
    </row>
    <row r="13" spans="1:27" ht="26.4" outlineLevel="3">
      <c r="A13" s="376"/>
      <c r="B13" s="376" t="s">
        <v>130</v>
      </c>
      <c r="C13" s="376" t="s">
        <v>131</v>
      </c>
      <c r="D13" s="376" t="s">
        <v>17</v>
      </c>
      <c r="E13" s="376" t="s">
        <v>127</v>
      </c>
      <c r="F13" s="608" t="s">
        <v>1341</v>
      </c>
      <c r="G13" s="695">
        <v>0.22</v>
      </c>
      <c r="H13" s="700">
        <v>1</v>
      </c>
      <c r="I13" s="626"/>
      <c r="J13" s="751"/>
      <c r="L13" s="376" t="s">
        <v>127</v>
      </c>
      <c r="M13" s="376" t="s">
        <v>1320</v>
      </c>
      <c r="N13" s="376" t="s">
        <v>1337</v>
      </c>
      <c r="O13" s="376" t="s">
        <v>1338</v>
      </c>
      <c r="P13" s="376" t="s">
        <v>1339</v>
      </c>
      <c r="Q13" s="376"/>
      <c r="R13" s="376"/>
      <c r="T13" s="751"/>
      <c r="V13" s="609">
        <f t="shared" si="0"/>
        <v>0</v>
      </c>
      <c r="W13" s="700"/>
      <c r="X13" s="610"/>
      <c r="Y13" s="610"/>
      <c r="Z13" s="610"/>
    </row>
    <row r="14" spans="1:27" ht="26.4" outlineLevel="3">
      <c r="A14" s="376"/>
      <c r="B14" s="376" t="s">
        <v>130</v>
      </c>
      <c r="C14" s="376" t="s">
        <v>131</v>
      </c>
      <c r="D14" s="376" t="s">
        <v>17</v>
      </c>
      <c r="E14" s="376" t="s">
        <v>127</v>
      </c>
      <c r="F14" s="608" t="s">
        <v>1342</v>
      </c>
      <c r="G14" s="695">
        <v>0.22</v>
      </c>
      <c r="H14" s="700">
        <v>1</v>
      </c>
      <c r="I14" s="626"/>
      <c r="J14" s="751"/>
      <c r="L14" s="376" t="s">
        <v>127</v>
      </c>
      <c r="M14" s="376" t="s">
        <v>1320</v>
      </c>
      <c r="N14" s="376" t="s">
        <v>1337</v>
      </c>
      <c r="O14" s="376" t="s">
        <v>1338</v>
      </c>
      <c r="P14" s="376" t="s">
        <v>1339</v>
      </c>
      <c r="Q14" s="376"/>
      <c r="R14" s="376"/>
      <c r="T14" s="751"/>
      <c r="V14" s="609">
        <f t="shared" si="0"/>
        <v>0</v>
      </c>
      <c r="W14" s="700"/>
      <c r="X14" s="610"/>
      <c r="Y14" s="610"/>
      <c r="Z14" s="610"/>
    </row>
    <row r="15" spans="1:27" ht="26.4" outlineLevel="3">
      <c r="A15" s="376"/>
      <c r="B15" s="376" t="s">
        <v>130</v>
      </c>
      <c r="C15" s="376" t="s">
        <v>131</v>
      </c>
      <c r="D15" s="376" t="s">
        <v>17</v>
      </c>
      <c r="E15" s="376" t="s">
        <v>127</v>
      </c>
      <c r="F15" s="608" t="s">
        <v>1343</v>
      </c>
      <c r="G15" s="695">
        <v>0.22</v>
      </c>
      <c r="H15" s="700">
        <v>1</v>
      </c>
      <c r="I15" s="626"/>
      <c r="J15" s="751"/>
      <c r="L15" s="376" t="s">
        <v>127</v>
      </c>
      <c r="M15" s="376" t="s">
        <v>1320</v>
      </c>
      <c r="N15" s="376" t="s">
        <v>1337</v>
      </c>
      <c r="O15" s="376" t="s">
        <v>1338</v>
      </c>
      <c r="P15" s="376" t="s">
        <v>1339</v>
      </c>
      <c r="Q15" s="376"/>
      <c r="R15" s="376"/>
      <c r="T15" s="751"/>
      <c r="V15" s="609">
        <f t="shared" si="0"/>
        <v>0</v>
      </c>
      <c r="W15" s="700"/>
      <c r="X15" s="610"/>
      <c r="Y15" s="610"/>
      <c r="Z15" s="610"/>
    </row>
    <row r="16" spans="1:27" outlineLevel="3">
      <c r="A16" s="376"/>
      <c r="B16" s="376" t="s">
        <v>130</v>
      </c>
      <c r="C16" s="376" t="s">
        <v>131</v>
      </c>
      <c r="D16" s="376" t="s">
        <v>17</v>
      </c>
      <c r="E16" s="376" t="s">
        <v>127</v>
      </c>
      <c r="F16" s="608" t="s">
        <v>1344</v>
      </c>
      <c r="G16" s="695">
        <v>0.03</v>
      </c>
      <c r="H16" s="700">
        <v>1</v>
      </c>
      <c r="I16" s="626"/>
      <c r="J16" s="751"/>
      <c r="L16" s="376" t="s">
        <v>127</v>
      </c>
      <c r="M16" s="376" t="s">
        <v>1320</v>
      </c>
      <c r="N16" s="376" t="s">
        <v>1337</v>
      </c>
      <c r="O16" s="376" t="s">
        <v>1338</v>
      </c>
      <c r="P16" s="376" t="s">
        <v>1339</v>
      </c>
      <c r="Q16" s="376"/>
      <c r="R16" s="376"/>
      <c r="T16" s="751"/>
      <c r="V16" s="609">
        <f t="shared" si="0"/>
        <v>0</v>
      </c>
      <c r="W16" s="700"/>
      <c r="X16" s="610"/>
      <c r="Y16" s="610"/>
      <c r="Z16" s="610"/>
    </row>
    <row r="17" spans="2:23" outlineLevel="3">
      <c r="B17" s="376" t="s">
        <v>130</v>
      </c>
      <c r="C17" s="376" t="s">
        <v>131</v>
      </c>
      <c r="D17" s="376" t="s">
        <v>17</v>
      </c>
      <c r="E17" s="376" t="s">
        <v>127</v>
      </c>
      <c r="F17" s="608" t="s">
        <v>1324</v>
      </c>
      <c r="G17" s="609">
        <v>0.02</v>
      </c>
      <c r="H17" s="692">
        <v>1</v>
      </c>
      <c r="I17" s="626"/>
      <c r="J17" s="751"/>
      <c r="L17" s="376" t="s">
        <v>127</v>
      </c>
      <c r="M17" s="376" t="s">
        <v>1320</v>
      </c>
      <c r="N17" s="376" t="s">
        <v>1337</v>
      </c>
      <c r="O17" s="376" t="s">
        <v>1338</v>
      </c>
      <c r="P17" s="376" t="s">
        <v>1339</v>
      </c>
      <c r="Q17" s="376"/>
      <c r="R17" s="376"/>
      <c r="T17" s="751"/>
      <c r="V17" s="609">
        <f>IF(W17=1,G17,0)</f>
        <v>0</v>
      </c>
      <c r="W17" s="692"/>
    </row>
    <row r="18" spans="2:23" outlineLevel="3">
      <c r="B18" s="376" t="s">
        <v>130</v>
      </c>
      <c r="C18" s="376" t="s">
        <v>131</v>
      </c>
      <c r="D18" s="376" t="s">
        <v>17</v>
      </c>
      <c r="E18" s="376" t="s">
        <v>127</v>
      </c>
      <c r="F18" s="608" t="s">
        <v>1334</v>
      </c>
      <c r="G18" s="609">
        <v>0.01</v>
      </c>
      <c r="H18" s="692">
        <v>1</v>
      </c>
      <c r="I18" s="626"/>
      <c r="J18" s="751"/>
      <c r="L18" s="376" t="s">
        <v>127</v>
      </c>
      <c r="M18" s="376" t="s">
        <v>1320</v>
      </c>
      <c r="N18" s="376" t="s">
        <v>1337</v>
      </c>
      <c r="O18" s="376" t="s">
        <v>1338</v>
      </c>
      <c r="P18" s="376" t="s">
        <v>1339</v>
      </c>
      <c r="Q18" s="376"/>
      <c r="R18" s="376"/>
      <c r="T18" s="751"/>
      <c r="V18" s="609">
        <f>IF(W18=1,G18,0)</f>
        <v>0</v>
      </c>
      <c r="W18" s="692"/>
    </row>
    <row r="19" spans="2:23" outlineLevel="3">
      <c r="B19" s="376" t="s">
        <v>130</v>
      </c>
      <c r="C19" s="376" t="s">
        <v>131</v>
      </c>
      <c r="D19" s="376" t="s">
        <v>17</v>
      </c>
      <c r="E19" s="376" t="s">
        <v>127</v>
      </c>
      <c r="F19" s="608" t="s">
        <v>1347</v>
      </c>
      <c r="G19" s="695">
        <v>0.4</v>
      </c>
      <c r="H19" s="700">
        <v>1</v>
      </c>
      <c r="I19" s="626"/>
      <c r="J19" s="751"/>
      <c r="L19" s="376" t="s">
        <v>127</v>
      </c>
      <c r="M19" s="376" t="s">
        <v>1320</v>
      </c>
      <c r="N19" s="376" t="s">
        <v>1337</v>
      </c>
      <c r="O19" s="376" t="s">
        <v>1338</v>
      </c>
      <c r="P19" s="376" t="s">
        <v>1339</v>
      </c>
      <c r="Q19" s="376"/>
      <c r="R19" s="376"/>
      <c r="T19" s="751"/>
      <c r="V19" s="609">
        <f t="shared" si="0"/>
        <v>0</v>
      </c>
      <c r="W19" s="700"/>
    </row>
    <row r="20" spans="2:23" outlineLevel="3">
      <c r="B20" s="376" t="s">
        <v>130</v>
      </c>
      <c r="C20" s="376" t="s">
        <v>131</v>
      </c>
      <c r="D20" s="376" t="s">
        <v>17</v>
      </c>
      <c r="E20" s="376" t="s">
        <v>127</v>
      </c>
      <c r="F20" s="608" t="s">
        <v>1348</v>
      </c>
      <c r="G20" s="695">
        <v>0.4</v>
      </c>
      <c r="H20" s="700">
        <v>1</v>
      </c>
      <c r="I20" s="626"/>
      <c r="J20" s="751"/>
      <c r="L20" s="376" t="s">
        <v>127</v>
      </c>
      <c r="M20" s="376" t="s">
        <v>1320</v>
      </c>
      <c r="N20" s="376" t="s">
        <v>1337</v>
      </c>
      <c r="O20" s="376" t="s">
        <v>1338</v>
      </c>
      <c r="P20" s="376" t="s">
        <v>1339</v>
      </c>
      <c r="Q20" s="376"/>
      <c r="R20" s="376"/>
      <c r="T20" s="751"/>
      <c r="V20" s="609">
        <f t="shared" si="0"/>
        <v>0</v>
      </c>
      <c r="W20" s="700"/>
    </row>
    <row r="21" spans="2:23" s="612" customFormat="1" outlineLevel="1">
      <c r="B21" s="666" t="s">
        <v>160</v>
      </c>
      <c r="C21" s="666" t="s">
        <v>22</v>
      </c>
      <c r="D21" s="666"/>
      <c r="E21" s="666"/>
      <c r="F21" s="681" t="s">
        <v>262</v>
      </c>
      <c r="G21" s="701">
        <f>SUBTOTAL(9,G22:G25)</f>
        <v>0.30105801900000001</v>
      </c>
      <c r="H21" s="702">
        <f>SUBTOTAL(9,H22:H25)</f>
        <v>3</v>
      </c>
      <c r="I21" s="627"/>
      <c r="J21" s="753"/>
      <c r="L21" s="666"/>
      <c r="M21" s="666"/>
      <c r="N21" s="666"/>
      <c r="O21" s="666"/>
      <c r="P21" s="666"/>
      <c r="Q21" s="666"/>
      <c r="R21" s="666"/>
      <c r="T21" s="753"/>
      <c r="V21" s="701">
        <f>SUBTOTAL(9,V22:V25)</f>
        <v>0</v>
      </c>
      <c r="W21" s="702">
        <f>SUBTOTAL(9,W22:W25)</f>
        <v>0</v>
      </c>
    </row>
    <row r="22" spans="2:23" ht="26.4" outlineLevel="2">
      <c r="B22" s="684" t="s">
        <v>160</v>
      </c>
      <c r="C22" s="684" t="s">
        <v>22</v>
      </c>
      <c r="D22" s="684" t="s">
        <v>17</v>
      </c>
      <c r="E22" s="684"/>
      <c r="F22" s="685" t="s">
        <v>1364</v>
      </c>
      <c r="G22" s="686">
        <f>SUBTOTAL(9,G23:G25)</f>
        <v>0.30105801900000001</v>
      </c>
      <c r="H22" s="691">
        <f>SUBTOTAL(9,H23:H25)</f>
        <v>3</v>
      </c>
      <c r="I22" s="626"/>
      <c r="J22" s="751"/>
      <c r="L22" s="684"/>
      <c r="M22" s="684"/>
      <c r="N22" s="684"/>
      <c r="O22" s="684"/>
      <c r="P22" s="684"/>
      <c r="Q22" s="684"/>
      <c r="R22" s="684"/>
      <c r="T22" s="751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160</v>
      </c>
      <c r="C23" s="376" t="s">
        <v>22</v>
      </c>
      <c r="D23" s="376" t="s">
        <v>17</v>
      </c>
      <c r="E23" s="376" t="s">
        <v>127</v>
      </c>
      <c r="F23" s="608" t="s">
        <v>1365</v>
      </c>
      <c r="G23" s="609">
        <v>0.13060359000000002</v>
      </c>
      <c r="H23" s="692">
        <v>1</v>
      </c>
      <c r="I23" s="626"/>
      <c r="J23" s="751"/>
      <c r="L23" s="376" t="s">
        <v>127</v>
      </c>
      <c r="M23" s="376" t="s">
        <v>1320</v>
      </c>
      <c r="N23" s="376" t="s">
        <v>1337</v>
      </c>
      <c r="O23" s="376" t="s">
        <v>1366</v>
      </c>
      <c r="P23" s="376" t="s">
        <v>1338</v>
      </c>
      <c r="Q23" s="376"/>
      <c r="R23" s="376"/>
      <c r="T23" s="751"/>
      <c r="V23" s="609">
        <f t="shared" ref="V23:V25" si="1">IF(W23=1,G23,0)</f>
        <v>0</v>
      </c>
      <c r="W23" s="692"/>
    </row>
    <row r="24" spans="2:23" outlineLevel="3">
      <c r="B24" s="376" t="s">
        <v>160</v>
      </c>
      <c r="C24" s="376" t="s">
        <v>22</v>
      </c>
      <c r="D24" s="376" t="s">
        <v>17</v>
      </c>
      <c r="E24" s="376" t="s">
        <v>127</v>
      </c>
      <c r="F24" s="608" t="s">
        <v>1367</v>
      </c>
      <c r="G24" s="609">
        <v>7.8362154000000003E-2</v>
      </c>
      <c r="H24" s="692">
        <v>1</v>
      </c>
      <c r="I24" s="626"/>
      <c r="J24" s="751"/>
      <c r="L24" s="376" t="s">
        <v>127</v>
      </c>
      <c r="M24" s="376" t="s">
        <v>1320</v>
      </c>
      <c r="N24" s="376" t="s">
        <v>1337</v>
      </c>
      <c r="O24" s="376" t="s">
        <v>1366</v>
      </c>
      <c r="P24" s="376" t="s">
        <v>1338</v>
      </c>
      <c r="Q24" s="376"/>
      <c r="R24" s="376"/>
      <c r="T24" s="751"/>
      <c r="V24" s="609">
        <f t="shared" si="1"/>
        <v>0</v>
      </c>
      <c r="W24" s="692"/>
    </row>
    <row r="25" spans="2:23" outlineLevel="3">
      <c r="B25" s="376" t="s">
        <v>160</v>
      </c>
      <c r="C25" s="376" t="s">
        <v>22</v>
      </c>
      <c r="D25" s="376" t="s">
        <v>17</v>
      </c>
      <c r="E25" s="376" t="s">
        <v>127</v>
      </c>
      <c r="F25" s="608" t="s">
        <v>1368</v>
      </c>
      <c r="G25" s="609">
        <v>9.2092275000000001E-2</v>
      </c>
      <c r="H25" s="692">
        <v>1</v>
      </c>
      <c r="I25" s="626"/>
      <c r="J25" s="751"/>
      <c r="L25" s="376" t="s">
        <v>127</v>
      </c>
      <c r="M25" s="376" t="s">
        <v>1320</v>
      </c>
      <c r="N25" s="376" t="s">
        <v>1337</v>
      </c>
      <c r="O25" s="376" t="s">
        <v>1366</v>
      </c>
      <c r="P25" s="376" t="s">
        <v>1338</v>
      </c>
      <c r="Q25" s="376"/>
      <c r="R25" s="376"/>
      <c r="T25" s="751"/>
      <c r="V25" s="609">
        <f t="shared" si="1"/>
        <v>0</v>
      </c>
      <c r="W25" s="692"/>
    </row>
    <row r="26" spans="2:23" outlineLevel="1">
      <c r="B26" s="665" t="s">
        <v>167</v>
      </c>
      <c r="C26" s="665" t="s">
        <v>121</v>
      </c>
      <c r="D26" s="665"/>
      <c r="E26" s="665"/>
      <c r="F26" s="681" t="s">
        <v>262</v>
      </c>
      <c r="G26" s="701">
        <f>SUBTOTAL(9,G27:G29)</f>
        <v>0.39</v>
      </c>
      <c r="H26" s="702">
        <f>SUBTOTAL(9,H27:H29)</f>
        <v>2</v>
      </c>
      <c r="I26" s="626"/>
      <c r="J26" s="751"/>
      <c r="L26" s="665"/>
      <c r="M26" s="665"/>
      <c r="N26" s="665"/>
      <c r="O26" s="665"/>
      <c r="P26" s="665"/>
      <c r="Q26" s="665"/>
      <c r="R26" s="665"/>
      <c r="T26" s="751"/>
      <c r="V26" s="701">
        <f>SUBTOTAL(9,V27:V29)</f>
        <v>0</v>
      </c>
      <c r="W26" s="702">
        <f>SUBTOTAL(9,W27:W29)</f>
        <v>0</v>
      </c>
    </row>
    <row r="27" spans="2:23" outlineLevel="2">
      <c r="B27" s="684" t="s">
        <v>167</v>
      </c>
      <c r="C27" s="684" t="s">
        <v>121</v>
      </c>
      <c r="D27" s="684" t="s">
        <v>17</v>
      </c>
      <c r="E27" s="684"/>
      <c r="F27" s="685" t="s">
        <v>77</v>
      </c>
      <c r="G27" s="713">
        <f>SUBTOTAL(9,G28:G29)</f>
        <v>0.39</v>
      </c>
      <c r="H27" s="714">
        <f>SUBTOTAL(9,H28:H29)</f>
        <v>2</v>
      </c>
      <c r="I27" s="626"/>
      <c r="J27" s="751"/>
      <c r="L27" s="684"/>
      <c r="M27" s="684"/>
      <c r="N27" s="684"/>
      <c r="O27" s="684"/>
      <c r="P27" s="684"/>
      <c r="Q27" s="684"/>
      <c r="R27" s="684"/>
      <c r="T27" s="751"/>
      <c r="V27" s="713">
        <f>SUBTOTAL(9,V28:V29)</f>
        <v>0</v>
      </c>
      <c r="W27" s="714">
        <f>SUBTOTAL(9,W28:W29)</f>
        <v>0</v>
      </c>
    </row>
    <row r="28" spans="2:23" outlineLevel="3">
      <c r="B28" s="376" t="s">
        <v>167</v>
      </c>
      <c r="C28" s="376" t="s">
        <v>121</v>
      </c>
      <c r="D28" s="376" t="s">
        <v>17</v>
      </c>
      <c r="E28" s="376" t="s">
        <v>127</v>
      </c>
      <c r="F28" s="608" t="s">
        <v>1375</v>
      </c>
      <c r="G28" s="695">
        <v>0.3</v>
      </c>
      <c r="H28" s="700">
        <v>1</v>
      </c>
      <c r="I28" s="626"/>
      <c r="J28" s="751"/>
      <c r="L28" s="376" t="s">
        <v>127</v>
      </c>
      <c r="M28" s="376" t="s">
        <v>1320</v>
      </c>
      <c r="N28" s="376" t="s">
        <v>1376</v>
      </c>
      <c r="O28" s="376" t="s">
        <v>1377</v>
      </c>
      <c r="P28" s="376" t="s">
        <v>1378</v>
      </c>
      <c r="Q28" s="376"/>
      <c r="R28" s="376"/>
      <c r="T28" s="751"/>
      <c r="V28" s="609">
        <f t="shared" ref="V28:V29" si="2">IF(W28=1,G28,0)</f>
        <v>0</v>
      </c>
      <c r="W28" s="700"/>
    </row>
    <row r="29" spans="2:23" outlineLevel="3">
      <c r="B29" s="376" t="s">
        <v>167</v>
      </c>
      <c r="C29" s="376" t="s">
        <v>121</v>
      </c>
      <c r="D29" s="376" t="s">
        <v>17</v>
      </c>
      <c r="E29" s="376" t="s">
        <v>127</v>
      </c>
      <c r="F29" s="608" t="s">
        <v>1344</v>
      </c>
      <c r="G29" s="695">
        <v>0.09</v>
      </c>
      <c r="H29" s="700">
        <v>1</v>
      </c>
      <c r="I29" s="626"/>
      <c r="J29" s="751"/>
      <c r="L29" s="376" t="s">
        <v>127</v>
      </c>
      <c r="M29" s="376" t="s">
        <v>1320</v>
      </c>
      <c r="N29" s="376" t="s">
        <v>1376</v>
      </c>
      <c r="O29" s="376" t="s">
        <v>1377</v>
      </c>
      <c r="P29" s="376" t="s">
        <v>1378</v>
      </c>
      <c r="Q29" s="376"/>
      <c r="R29" s="376"/>
      <c r="T29" s="751"/>
      <c r="V29" s="609">
        <f t="shared" si="2"/>
        <v>0</v>
      </c>
      <c r="W29" s="700"/>
    </row>
    <row r="30" spans="2:23" outlineLevel="1">
      <c r="B30" s="665" t="s">
        <v>245</v>
      </c>
      <c r="C30" s="665" t="s">
        <v>246</v>
      </c>
      <c r="D30" s="665"/>
      <c r="E30" s="665"/>
      <c r="F30" s="681" t="s">
        <v>262</v>
      </c>
      <c r="G30" s="701">
        <f>SUBTOTAL(9,G31:G34)</f>
        <v>0.189</v>
      </c>
      <c r="H30" s="702">
        <f>SUBTOTAL(9,H31:H34)</f>
        <v>3</v>
      </c>
      <c r="I30" s="626"/>
      <c r="J30" s="751"/>
      <c r="L30" s="665"/>
      <c r="M30" s="665"/>
      <c r="N30" s="665"/>
      <c r="O30" s="665"/>
      <c r="P30" s="665"/>
      <c r="Q30" s="665"/>
      <c r="R30" s="665"/>
      <c r="T30" s="751"/>
      <c r="V30" s="701">
        <f>SUBTOTAL(9,V31:V34)</f>
        <v>0</v>
      </c>
      <c r="W30" s="702">
        <f>SUBTOTAL(9,W31:W34)</f>
        <v>0</v>
      </c>
    </row>
    <row r="31" spans="2:23" outlineLevel="2">
      <c r="B31" s="684" t="s">
        <v>245</v>
      </c>
      <c r="C31" s="684" t="s">
        <v>246</v>
      </c>
      <c r="D31" s="684" t="s">
        <v>17</v>
      </c>
      <c r="E31" s="684"/>
      <c r="F31" s="685" t="s">
        <v>1605</v>
      </c>
      <c r="G31" s="713">
        <f>SUBTOTAL(9,G32:G34)</f>
        <v>0.189</v>
      </c>
      <c r="H31" s="714">
        <f>SUBTOTAL(9,H32:H33)</f>
        <v>2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SUBTOTAL(9,V32:V33)</f>
        <v>0</v>
      </c>
      <c r="W31" s="714">
        <f>SUBTOTAL(9,W32:W33)</f>
        <v>0</v>
      </c>
    </row>
    <row r="32" spans="2:23" outlineLevel="3">
      <c r="B32" s="376" t="s">
        <v>245</v>
      </c>
      <c r="C32" s="376" t="s">
        <v>246</v>
      </c>
      <c r="D32" s="376" t="s">
        <v>17</v>
      </c>
      <c r="E32" s="376" t="s">
        <v>127</v>
      </c>
      <c r="F32" s="608" t="s">
        <v>236</v>
      </c>
      <c r="G32" s="695">
        <v>6.3E-2</v>
      </c>
      <c r="H32" s="700">
        <v>1</v>
      </c>
      <c r="I32" s="626"/>
      <c r="J32" s="751"/>
      <c r="L32" s="376" t="s">
        <v>127</v>
      </c>
      <c r="M32" s="376" t="s">
        <v>1376</v>
      </c>
      <c r="N32" s="376" t="s">
        <v>1329</v>
      </c>
      <c r="O32" s="376"/>
      <c r="P32" s="376"/>
      <c r="Q32" s="376"/>
      <c r="R32" s="376"/>
      <c r="T32" s="751"/>
      <c r="V32" s="609">
        <f t="shared" ref="V32:V34" si="3">IF(W32=1,G32,0)</f>
        <v>0</v>
      </c>
      <c r="W32" s="700"/>
    </row>
    <row r="33" spans="2:23" outlineLevel="3">
      <c r="B33" s="376" t="s">
        <v>245</v>
      </c>
      <c r="C33" s="376" t="s">
        <v>246</v>
      </c>
      <c r="D33" s="376" t="s">
        <v>17</v>
      </c>
      <c r="E33" s="376" t="s">
        <v>127</v>
      </c>
      <c r="F33" s="608" t="s">
        <v>237</v>
      </c>
      <c r="G33" s="695">
        <v>4.2000000000000003E-2</v>
      </c>
      <c r="H33" s="700">
        <v>1</v>
      </c>
      <c r="I33" s="626"/>
      <c r="J33" s="751"/>
      <c r="L33" s="376" t="s">
        <v>127</v>
      </c>
      <c r="M33" s="376" t="s">
        <v>1376</v>
      </c>
      <c r="N33" s="376" t="s">
        <v>1329</v>
      </c>
      <c r="O33" s="376"/>
      <c r="P33" s="376"/>
      <c r="Q33" s="376"/>
      <c r="R33" s="376"/>
      <c r="T33" s="751"/>
      <c r="V33" s="609">
        <f t="shared" si="3"/>
        <v>0</v>
      </c>
      <c r="W33" s="700"/>
    </row>
    <row r="34" spans="2:23" outlineLevel="3">
      <c r="B34" s="376" t="s">
        <v>245</v>
      </c>
      <c r="C34" s="376" t="s">
        <v>246</v>
      </c>
      <c r="D34" s="376" t="s">
        <v>17</v>
      </c>
      <c r="E34" s="376" t="s">
        <v>127</v>
      </c>
      <c r="F34" s="608" t="s">
        <v>238</v>
      </c>
      <c r="G34" s="695">
        <v>8.4000000000000005E-2</v>
      </c>
      <c r="H34" s="700">
        <v>1</v>
      </c>
      <c r="I34" s="626"/>
      <c r="J34" s="751"/>
      <c r="L34" s="376" t="s">
        <v>127</v>
      </c>
      <c r="M34" s="376" t="s">
        <v>1376</v>
      </c>
      <c r="N34" s="376" t="s">
        <v>1329</v>
      </c>
      <c r="O34" s="376"/>
      <c r="P34" s="376"/>
      <c r="Q34" s="376"/>
      <c r="R34" s="376"/>
      <c r="T34" s="751"/>
      <c r="V34" s="609">
        <f t="shared" si="3"/>
        <v>0</v>
      </c>
      <c r="W34" s="700"/>
    </row>
    <row r="35" spans="2:23" outlineLevel="1">
      <c r="B35" s="665" t="s">
        <v>248</v>
      </c>
      <c r="C35" s="665" t="s">
        <v>249</v>
      </c>
      <c r="D35" s="665"/>
      <c r="E35" s="665"/>
      <c r="F35" s="681" t="s">
        <v>262</v>
      </c>
      <c r="G35" s="701">
        <f>SUBTOTAL(9,G36:G40)</f>
        <v>0.77993999999999997</v>
      </c>
      <c r="H35" s="702">
        <f>SUBTOTAL(9,H36:H40)</f>
        <v>4</v>
      </c>
      <c r="I35" s="626"/>
      <c r="J35" s="751"/>
      <c r="L35" s="665"/>
      <c r="M35" s="665"/>
      <c r="N35" s="665"/>
      <c r="O35" s="665"/>
      <c r="P35" s="665"/>
      <c r="Q35" s="665"/>
      <c r="R35" s="665"/>
      <c r="T35" s="751"/>
      <c r="V35" s="701">
        <f>SUBTOTAL(9,V36:V40)</f>
        <v>0</v>
      </c>
      <c r="W35" s="702">
        <f>SUBTOTAL(9,W36:W40)</f>
        <v>0</v>
      </c>
    </row>
    <row r="36" spans="2:23" outlineLevel="2">
      <c r="B36" s="684" t="s">
        <v>248</v>
      </c>
      <c r="C36" s="684" t="s">
        <v>249</v>
      </c>
      <c r="D36" s="684" t="s">
        <v>17</v>
      </c>
      <c r="E36" s="684"/>
      <c r="F36" s="685" t="s">
        <v>77</v>
      </c>
      <c r="G36" s="713">
        <f>SUBTOTAL(9,G37:G40)</f>
        <v>0.77993999999999997</v>
      </c>
      <c r="H36" s="714">
        <f>SUBTOTAL(9,H37:H40)</f>
        <v>4</v>
      </c>
      <c r="I36" s="626"/>
      <c r="J36" s="751"/>
      <c r="L36" s="684"/>
      <c r="M36" s="684"/>
      <c r="N36" s="684"/>
      <c r="O36" s="684"/>
      <c r="P36" s="684"/>
      <c r="Q36" s="684"/>
      <c r="R36" s="684"/>
      <c r="T36" s="751"/>
      <c r="V36" s="713">
        <f>SUBTOTAL(9,V37:V40)</f>
        <v>0</v>
      </c>
      <c r="W36" s="714">
        <f>SUBTOTAL(9,W37:W40)</f>
        <v>0</v>
      </c>
    </row>
    <row r="37" spans="2:23" outlineLevel="3">
      <c r="B37" s="376" t="s">
        <v>248</v>
      </c>
      <c r="C37" s="376" t="s">
        <v>249</v>
      </c>
      <c r="D37" s="376" t="s">
        <v>17</v>
      </c>
      <c r="E37" s="376" t="s">
        <v>127</v>
      </c>
      <c r="F37" s="608" t="s">
        <v>237</v>
      </c>
      <c r="G37" s="609">
        <v>0.12999000000000002</v>
      </c>
      <c r="H37" s="700">
        <v>1</v>
      </c>
      <c r="I37" s="626"/>
      <c r="J37" s="751"/>
      <c r="L37" s="376" t="s">
        <v>127</v>
      </c>
      <c r="M37" s="376" t="s">
        <v>1331</v>
      </c>
      <c r="N37" s="376" t="s">
        <v>1321</v>
      </c>
      <c r="O37" s="376" t="s">
        <v>1332</v>
      </c>
      <c r="P37" s="376"/>
      <c r="Q37" s="376"/>
      <c r="R37" s="376"/>
      <c r="T37" s="751"/>
      <c r="V37" s="609">
        <f t="shared" ref="V37:V40" si="4">IF(W37=1,G37,0)</f>
        <v>0</v>
      </c>
      <c r="W37" s="700"/>
    </row>
    <row r="38" spans="2:23" outlineLevel="3">
      <c r="B38" s="376" t="s">
        <v>248</v>
      </c>
      <c r="C38" s="376" t="s">
        <v>249</v>
      </c>
      <c r="D38" s="376" t="s">
        <v>17</v>
      </c>
      <c r="E38" s="376" t="s">
        <v>127</v>
      </c>
      <c r="F38" s="608" t="s">
        <v>238</v>
      </c>
      <c r="G38" s="695">
        <v>0.25998000000000004</v>
      </c>
      <c r="H38" s="700">
        <v>1</v>
      </c>
      <c r="I38" s="626"/>
      <c r="J38" s="751"/>
      <c r="L38" s="376" t="s">
        <v>127</v>
      </c>
      <c r="M38" s="376" t="s">
        <v>1331</v>
      </c>
      <c r="N38" s="376" t="s">
        <v>1321</v>
      </c>
      <c r="O38" s="376" t="s">
        <v>1332</v>
      </c>
      <c r="P38" s="376"/>
      <c r="Q38" s="376"/>
      <c r="R38" s="376"/>
      <c r="T38" s="751"/>
      <c r="V38" s="609">
        <f t="shared" si="4"/>
        <v>0</v>
      </c>
      <c r="W38" s="700"/>
    </row>
    <row r="39" spans="2:23" outlineLevel="3">
      <c r="B39" s="376" t="s">
        <v>248</v>
      </c>
      <c r="C39" s="376" t="s">
        <v>249</v>
      </c>
      <c r="D39" s="376" t="s">
        <v>17</v>
      </c>
      <c r="E39" s="376" t="s">
        <v>127</v>
      </c>
      <c r="F39" s="608" t="s">
        <v>242</v>
      </c>
      <c r="G39" s="695">
        <v>0.19498499999999999</v>
      </c>
      <c r="H39" s="700">
        <v>1</v>
      </c>
      <c r="I39" s="626"/>
      <c r="J39" s="751"/>
      <c r="L39" s="376" t="s">
        <v>127</v>
      </c>
      <c r="M39" s="376" t="s">
        <v>1331</v>
      </c>
      <c r="N39" s="376" t="s">
        <v>1321</v>
      </c>
      <c r="O39" s="376" t="s">
        <v>1332</v>
      </c>
      <c r="P39" s="376"/>
      <c r="Q39" s="376"/>
      <c r="R39" s="376"/>
      <c r="T39" s="751"/>
      <c r="V39" s="609">
        <f t="shared" si="4"/>
        <v>0</v>
      </c>
      <c r="W39" s="700"/>
    </row>
    <row r="40" spans="2:23" outlineLevel="3">
      <c r="B40" s="376" t="s">
        <v>248</v>
      </c>
      <c r="C40" s="376" t="s">
        <v>249</v>
      </c>
      <c r="D40" s="376" t="s">
        <v>17</v>
      </c>
      <c r="E40" s="376" t="s">
        <v>127</v>
      </c>
      <c r="F40" s="608" t="s">
        <v>239</v>
      </c>
      <c r="G40" s="695">
        <v>0.19498499999999999</v>
      </c>
      <c r="H40" s="700">
        <v>1</v>
      </c>
      <c r="I40" s="626"/>
      <c r="J40" s="751"/>
      <c r="L40" s="376" t="s">
        <v>127</v>
      </c>
      <c r="M40" s="376" t="s">
        <v>1331</v>
      </c>
      <c r="N40" s="376" t="s">
        <v>1321</v>
      </c>
      <c r="O40" s="376" t="s">
        <v>1332</v>
      </c>
      <c r="P40" s="376"/>
      <c r="Q40" s="376"/>
      <c r="R40" s="376"/>
      <c r="T40" s="751"/>
      <c r="V40" s="609">
        <f t="shared" si="4"/>
        <v>0</v>
      </c>
      <c r="W40" s="700"/>
    </row>
    <row r="41" spans="2:23" outlineLevel="1">
      <c r="B41" s="665" t="s">
        <v>258</v>
      </c>
      <c r="C41" s="665" t="s">
        <v>259</v>
      </c>
      <c r="D41" s="665"/>
      <c r="E41" s="665"/>
      <c r="F41" s="681" t="s">
        <v>262</v>
      </c>
      <c r="G41" s="701">
        <f>SUBTOTAL(9,G42:G44)</f>
        <v>0.43996002400000001</v>
      </c>
      <c r="H41" s="702">
        <f>SUBTOTAL(9,H42:H44)</f>
        <v>2</v>
      </c>
      <c r="I41" s="626"/>
      <c r="J41" s="751"/>
      <c r="L41" s="665"/>
      <c r="M41" s="665"/>
      <c r="N41" s="665"/>
      <c r="O41" s="665"/>
      <c r="P41" s="665"/>
      <c r="Q41" s="665"/>
      <c r="R41" s="665"/>
      <c r="T41" s="751"/>
      <c r="V41" s="701">
        <f>SUBTOTAL(9,V42:V44)</f>
        <v>0</v>
      </c>
      <c r="W41" s="702">
        <f>SUBTOTAL(9,W42:W44)</f>
        <v>0</v>
      </c>
    </row>
    <row r="42" spans="2:23" outlineLevel="2">
      <c r="B42" s="684" t="s">
        <v>258</v>
      </c>
      <c r="C42" s="684" t="s">
        <v>259</v>
      </c>
      <c r="D42" s="684" t="s">
        <v>17</v>
      </c>
      <c r="E42" s="684"/>
      <c r="F42" s="685" t="s">
        <v>1436</v>
      </c>
      <c r="G42" s="686">
        <f>SUBTOTAL(9,G43:G44)</f>
        <v>0.43996002400000001</v>
      </c>
      <c r="H42" s="691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>
        <f>SUBTOTAL(9,V43:V44)</f>
        <v>0</v>
      </c>
      <c r="W42" s="691">
        <f>SUBTOTAL(9,W43:W44)</f>
        <v>0</v>
      </c>
    </row>
    <row r="43" spans="2:23" outlineLevel="3">
      <c r="B43" s="376" t="s">
        <v>258</v>
      </c>
      <c r="C43" s="376" t="s">
        <v>259</v>
      </c>
      <c r="D43" s="376" t="s">
        <v>17</v>
      </c>
      <c r="E43" s="376" t="s">
        <v>127</v>
      </c>
      <c r="F43" s="608" t="s">
        <v>1422</v>
      </c>
      <c r="G43" s="609">
        <v>0.17598400959999999</v>
      </c>
      <c r="H43" s="692">
        <v>1</v>
      </c>
      <c r="I43" s="626"/>
      <c r="J43" s="751"/>
      <c r="L43" s="376" t="s">
        <v>127</v>
      </c>
      <c r="M43" s="376" t="s">
        <v>1320</v>
      </c>
      <c r="N43" s="376" t="s">
        <v>1376</v>
      </c>
      <c r="O43" s="376" t="s">
        <v>1378</v>
      </c>
      <c r="P43" s="376"/>
      <c r="Q43" s="376"/>
      <c r="R43" s="376"/>
      <c r="T43" s="751"/>
      <c r="V43" s="609">
        <f t="shared" ref="V43:V44" si="5">IF(W43=1,G43,0)</f>
        <v>0</v>
      </c>
      <c r="W43" s="692"/>
    </row>
    <row r="44" spans="2:23" outlineLevel="3">
      <c r="B44" s="376" t="s">
        <v>258</v>
      </c>
      <c r="C44" s="376" t="s">
        <v>259</v>
      </c>
      <c r="D44" s="376" t="s">
        <v>17</v>
      </c>
      <c r="E44" s="376" t="s">
        <v>127</v>
      </c>
      <c r="F44" s="608" t="s">
        <v>236</v>
      </c>
      <c r="G44" s="609">
        <v>0.26397601440000001</v>
      </c>
      <c r="H44" s="692">
        <v>1</v>
      </c>
      <c r="I44" s="626"/>
      <c r="J44" s="751"/>
      <c r="L44" s="376" t="s">
        <v>127</v>
      </c>
      <c r="M44" s="376" t="s">
        <v>1320</v>
      </c>
      <c r="N44" s="376" t="s">
        <v>1376</v>
      </c>
      <c r="O44" s="376" t="s">
        <v>1378</v>
      </c>
      <c r="P44" s="376"/>
      <c r="Q44" s="376"/>
      <c r="R44" s="376"/>
      <c r="T44" s="751"/>
      <c r="V44" s="609">
        <f t="shared" si="5"/>
        <v>0</v>
      </c>
      <c r="W44" s="692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280</v>
      </c>
      <c r="C46" s="430"/>
      <c r="D46" s="430"/>
      <c r="E46" s="430"/>
      <c r="F46" s="697"/>
      <c r="G46" s="738">
        <f>SUBTOTAL(9,G48:G70)</f>
        <v>46.325319718675303</v>
      </c>
      <c r="H46" s="739">
        <f>SUBTOTAL(9,H48:H70)</f>
        <v>15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SUBTOTAL(9,V48:V70)</f>
        <v>0</v>
      </c>
      <c r="W46" s="739">
        <f>SUBTOTAL(9,W48:W70)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5" t="s">
        <v>281</v>
      </c>
      <c r="C48" s="665" t="s">
        <v>70</v>
      </c>
      <c r="D48" s="665"/>
      <c r="E48" s="665"/>
      <c r="F48" s="681" t="s">
        <v>262</v>
      </c>
      <c r="G48" s="724">
        <f>SUBTOTAL(9,G49:G52)</f>
        <v>1.18</v>
      </c>
      <c r="H48" s="725">
        <f>SUBTOTAL(9,H49:H52)</f>
        <v>3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SUBTOTAL(9,V49:V52)</f>
        <v>0</v>
      </c>
      <c r="W48" s="725">
        <f>SUBTOTAL(9,W49:W52)</f>
        <v>0</v>
      </c>
    </row>
    <row r="49" spans="2:23" outlineLevel="2">
      <c r="B49" s="684" t="s">
        <v>281</v>
      </c>
      <c r="C49" s="684" t="s">
        <v>70</v>
      </c>
      <c r="D49" s="684" t="s">
        <v>17</v>
      </c>
      <c r="E49" s="684"/>
      <c r="F49" s="685" t="s">
        <v>1606</v>
      </c>
      <c r="G49" s="686">
        <f>SUBTOTAL(9,G50:G52)</f>
        <v>1.18</v>
      </c>
      <c r="H49" s="691">
        <f>SUBTOTAL(9,H50:H52)</f>
        <v>3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281</v>
      </c>
      <c r="C50" s="376" t="s">
        <v>70</v>
      </c>
      <c r="D50" s="376" t="s">
        <v>17</v>
      </c>
      <c r="E50" s="376" t="s">
        <v>127</v>
      </c>
      <c r="F50" s="608" t="s">
        <v>418</v>
      </c>
      <c r="G50" s="609">
        <v>0.54</v>
      </c>
      <c r="H50" s="692">
        <v>1</v>
      </c>
      <c r="I50" s="626"/>
      <c r="J50" s="751"/>
      <c r="L50" s="376" t="s">
        <v>127</v>
      </c>
      <c r="M50" s="376" t="s">
        <v>1320</v>
      </c>
      <c r="N50" s="376" t="s">
        <v>1376</v>
      </c>
      <c r="O50" s="376" t="s">
        <v>1378</v>
      </c>
      <c r="P50" s="376"/>
      <c r="Q50" s="376"/>
      <c r="R50" s="376"/>
      <c r="T50" s="751"/>
      <c r="V50" s="609">
        <f t="shared" ref="V50:V52" si="6">IF(W50=1,G50,0)</f>
        <v>0</v>
      </c>
      <c r="W50" s="692"/>
    </row>
    <row r="51" spans="2:23" outlineLevel="3">
      <c r="B51" s="376" t="s">
        <v>281</v>
      </c>
      <c r="C51" s="376" t="s">
        <v>70</v>
      </c>
      <c r="D51" s="376" t="s">
        <v>17</v>
      </c>
      <c r="E51" s="376" t="s">
        <v>127</v>
      </c>
      <c r="F51" s="608" t="s">
        <v>236</v>
      </c>
      <c r="G51" s="609">
        <v>0.43</v>
      </c>
      <c r="H51" s="692">
        <v>1</v>
      </c>
      <c r="I51" s="626"/>
      <c r="J51" s="751"/>
      <c r="L51" s="376" t="s">
        <v>127</v>
      </c>
      <c r="M51" s="376" t="s">
        <v>1320</v>
      </c>
      <c r="N51" s="376" t="s">
        <v>1376</v>
      </c>
      <c r="O51" s="376" t="s">
        <v>1378</v>
      </c>
      <c r="P51" s="376"/>
      <c r="Q51" s="376"/>
      <c r="R51" s="376"/>
      <c r="T51" s="751"/>
      <c r="V51" s="609">
        <f t="shared" si="6"/>
        <v>0</v>
      </c>
      <c r="W51" s="692"/>
    </row>
    <row r="52" spans="2:23" outlineLevel="3">
      <c r="B52" s="376" t="s">
        <v>281</v>
      </c>
      <c r="C52" s="376" t="s">
        <v>70</v>
      </c>
      <c r="D52" s="376" t="s">
        <v>17</v>
      </c>
      <c r="E52" s="376" t="s">
        <v>127</v>
      </c>
      <c r="F52" s="608" t="s">
        <v>32</v>
      </c>
      <c r="G52" s="609">
        <v>0.21</v>
      </c>
      <c r="H52" s="692">
        <v>1</v>
      </c>
      <c r="I52" s="626"/>
      <c r="J52" s="751"/>
      <c r="L52" s="376" t="s">
        <v>127</v>
      </c>
      <c r="M52" s="376" t="s">
        <v>1320</v>
      </c>
      <c r="N52" s="376" t="s">
        <v>1376</v>
      </c>
      <c r="O52" s="376" t="s">
        <v>1378</v>
      </c>
      <c r="P52" s="376"/>
      <c r="Q52" s="376"/>
      <c r="R52" s="376"/>
      <c r="T52" s="751"/>
      <c r="V52" s="609">
        <f t="shared" si="6"/>
        <v>0</v>
      </c>
      <c r="W52" s="692"/>
    </row>
    <row r="53" spans="2:23" s="612" customFormat="1" outlineLevel="1">
      <c r="B53" s="666" t="s">
        <v>296</v>
      </c>
      <c r="C53" s="666" t="s">
        <v>297</v>
      </c>
      <c r="D53" s="666"/>
      <c r="E53" s="666"/>
      <c r="F53" s="681" t="s">
        <v>262</v>
      </c>
      <c r="G53" s="724">
        <f>SUBTOTAL(9,G54:G57)</f>
        <v>8.7813947704253064</v>
      </c>
      <c r="H53" s="725">
        <f>SUBTOTAL(9,H54:H57)</f>
        <v>3</v>
      </c>
      <c r="I53" s="627"/>
      <c r="J53" s="753"/>
      <c r="L53" s="666"/>
      <c r="M53" s="666"/>
      <c r="N53" s="666"/>
      <c r="O53" s="666"/>
      <c r="P53" s="666"/>
      <c r="Q53" s="666"/>
      <c r="R53" s="666"/>
      <c r="T53" s="753"/>
      <c r="V53" s="724">
        <f>SUBTOTAL(9,V54:V57)</f>
        <v>0</v>
      </c>
      <c r="W53" s="725">
        <f>SUBTOTAL(9,W54:W57)</f>
        <v>0</v>
      </c>
    </row>
    <row r="54" spans="2:23" ht="26.4" outlineLevel="2">
      <c r="B54" s="684" t="s">
        <v>296</v>
      </c>
      <c r="C54" s="684" t="s">
        <v>297</v>
      </c>
      <c r="D54" s="684" t="s">
        <v>17</v>
      </c>
      <c r="E54" s="684"/>
      <c r="F54" s="685" t="s">
        <v>1466</v>
      </c>
      <c r="G54" s="686">
        <f>SUBTOTAL(9,G55:G57)</f>
        <v>8.7813947704253064</v>
      </c>
      <c r="H54" s="691">
        <f>SUBTOTAL(9,H55:H57)</f>
        <v>3</v>
      </c>
      <c r="I54" s="626"/>
      <c r="J54" s="751"/>
      <c r="L54" s="684"/>
      <c r="M54" s="684"/>
      <c r="N54" s="684"/>
      <c r="O54" s="684"/>
      <c r="P54" s="684"/>
      <c r="Q54" s="684"/>
      <c r="R54" s="684"/>
      <c r="T54" s="751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296</v>
      </c>
      <c r="C55" s="376" t="s">
        <v>297</v>
      </c>
      <c r="D55" s="376" t="s">
        <v>17</v>
      </c>
      <c r="E55" s="376" t="s">
        <v>127</v>
      </c>
      <c r="F55" s="608" t="s">
        <v>1212</v>
      </c>
      <c r="G55" s="609">
        <v>4.3906973852126532</v>
      </c>
      <c r="H55" s="692">
        <v>1</v>
      </c>
      <c r="I55" s="626"/>
      <c r="J55" s="751"/>
      <c r="L55" s="376" t="s">
        <v>127</v>
      </c>
      <c r="M55" s="376" t="s">
        <v>1320</v>
      </c>
      <c r="N55" s="376" t="s">
        <v>1337</v>
      </c>
      <c r="O55" s="376" t="s">
        <v>1467</v>
      </c>
      <c r="P55" s="376" t="s">
        <v>1338</v>
      </c>
      <c r="Q55" s="376"/>
      <c r="R55" s="376"/>
      <c r="T55" s="751"/>
      <c r="V55" s="609">
        <f t="shared" ref="V55:V57" si="7">IF(W55=1,G55,0)</f>
        <v>0</v>
      </c>
      <c r="W55" s="692"/>
    </row>
    <row r="56" spans="2:23" outlineLevel="3">
      <c r="B56" s="376" t="s">
        <v>296</v>
      </c>
      <c r="C56" s="376" t="s">
        <v>297</v>
      </c>
      <c r="D56" s="376" t="s">
        <v>17</v>
      </c>
      <c r="E56" s="376" t="s">
        <v>127</v>
      </c>
      <c r="F56" s="608" t="s">
        <v>1468</v>
      </c>
      <c r="G56" s="609">
        <v>2.1953486926063266</v>
      </c>
      <c r="H56" s="692">
        <v>1</v>
      </c>
      <c r="I56" s="626"/>
      <c r="J56" s="751"/>
      <c r="L56" s="376" t="s">
        <v>127</v>
      </c>
      <c r="M56" s="376" t="s">
        <v>1320</v>
      </c>
      <c r="N56" s="376" t="s">
        <v>1337</v>
      </c>
      <c r="O56" s="376" t="s">
        <v>1467</v>
      </c>
      <c r="P56" s="376" t="s">
        <v>1338</v>
      </c>
      <c r="Q56" s="376"/>
      <c r="R56" s="376"/>
      <c r="T56" s="751"/>
      <c r="V56" s="609">
        <f t="shared" si="7"/>
        <v>0</v>
      </c>
      <c r="W56" s="692"/>
    </row>
    <row r="57" spans="2:23" outlineLevel="3">
      <c r="B57" s="376" t="s">
        <v>296</v>
      </c>
      <c r="C57" s="376" t="s">
        <v>297</v>
      </c>
      <c r="D57" s="376" t="s">
        <v>17</v>
      </c>
      <c r="E57" s="376" t="s">
        <v>127</v>
      </c>
      <c r="F57" s="608" t="s">
        <v>1469</v>
      </c>
      <c r="G57" s="609">
        <v>2.1953486926063266</v>
      </c>
      <c r="H57" s="692">
        <v>1</v>
      </c>
      <c r="I57" s="626"/>
      <c r="J57" s="751"/>
      <c r="L57" s="376" t="s">
        <v>127</v>
      </c>
      <c r="M57" s="376" t="s">
        <v>1320</v>
      </c>
      <c r="N57" s="376" t="s">
        <v>1337</v>
      </c>
      <c r="O57" s="376" t="s">
        <v>1467</v>
      </c>
      <c r="P57" s="376" t="s">
        <v>1338</v>
      </c>
      <c r="Q57" s="376"/>
      <c r="R57" s="376"/>
      <c r="T57" s="751"/>
      <c r="V57" s="609">
        <f t="shared" si="7"/>
        <v>0</v>
      </c>
      <c r="W57" s="692"/>
    </row>
    <row r="58" spans="2:23" s="741" customFormat="1" outlineLevel="1">
      <c r="B58" s="666" t="s">
        <v>300</v>
      </c>
      <c r="C58" s="666" t="s">
        <v>301</v>
      </c>
      <c r="D58" s="666"/>
      <c r="E58" s="666"/>
      <c r="F58" s="681" t="s">
        <v>262</v>
      </c>
      <c r="G58" s="724">
        <f>SUBTOTAL(9,G59:G65)</f>
        <v>20.561850000000003</v>
      </c>
      <c r="H58" s="725">
        <f>SUBTOTAL(9,H59:H65)</f>
        <v>6</v>
      </c>
      <c r="I58" s="740"/>
      <c r="J58" s="757"/>
      <c r="K58" s="748"/>
      <c r="L58" s="666"/>
      <c r="M58" s="666"/>
      <c r="N58" s="666"/>
      <c r="O58" s="666"/>
      <c r="P58" s="666"/>
      <c r="Q58" s="666"/>
      <c r="R58" s="666"/>
      <c r="S58" s="748"/>
      <c r="T58" s="757"/>
      <c r="U58" s="748"/>
      <c r="V58" s="724">
        <f>SUBTOTAL(9,V59:V65)</f>
        <v>0</v>
      </c>
      <c r="W58" s="725">
        <f>SUBTOTAL(9,W59:W65)</f>
        <v>0</v>
      </c>
    </row>
    <row r="59" spans="2:23" s="741" customFormat="1" outlineLevel="2">
      <c r="B59" s="687" t="s">
        <v>301</v>
      </c>
      <c r="C59" s="687" t="s">
        <v>301</v>
      </c>
      <c r="D59" s="687" t="s">
        <v>17</v>
      </c>
      <c r="E59" s="687"/>
      <c r="F59" s="717" t="s">
        <v>1612</v>
      </c>
      <c r="G59" s="742">
        <f>SUBTOTAL(9,G60:G65)</f>
        <v>20.561850000000003</v>
      </c>
      <c r="H59" s="743">
        <f>SUBTOTAL(9,H60:H65)</f>
        <v>6</v>
      </c>
      <c r="I59" s="740"/>
      <c r="J59" s="757"/>
      <c r="K59" s="748"/>
      <c r="L59" s="687"/>
      <c r="M59" s="687" t="s">
        <v>1475</v>
      </c>
      <c r="N59" s="687"/>
      <c r="O59" s="687"/>
      <c r="P59" s="687"/>
      <c r="Q59" s="687"/>
      <c r="R59" s="687"/>
      <c r="S59" s="748"/>
      <c r="T59" s="757"/>
      <c r="U59" s="748"/>
      <c r="V59" s="742">
        <f>SUBTOTAL(9,V60:V65)</f>
        <v>0</v>
      </c>
      <c r="W59" s="743">
        <f>SUBTOTAL(9,W60:W65)</f>
        <v>0</v>
      </c>
    </row>
    <row r="60" spans="2:23" s="741" customFormat="1" outlineLevel="3">
      <c r="B60" s="387" t="s">
        <v>301</v>
      </c>
      <c r="C60" s="387" t="s">
        <v>301</v>
      </c>
      <c r="D60" s="387" t="s">
        <v>17</v>
      </c>
      <c r="E60" s="387" t="s">
        <v>127</v>
      </c>
      <c r="F60" s="705" t="s">
        <v>418</v>
      </c>
      <c r="G60" s="706">
        <v>4.7746000000000013</v>
      </c>
      <c r="H60" s="707">
        <v>1</v>
      </c>
      <c r="I60" s="740"/>
      <c r="J60" s="757"/>
      <c r="K60" s="748"/>
      <c r="L60" s="387" t="s">
        <v>127</v>
      </c>
      <c r="M60" s="387" t="s">
        <v>1331</v>
      </c>
      <c r="N60" s="387" t="s">
        <v>1476</v>
      </c>
      <c r="O60" s="387" t="s">
        <v>1477</v>
      </c>
      <c r="P60" s="387"/>
      <c r="Q60" s="387"/>
      <c r="R60" s="387"/>
      <c r="S60" s="748"/>
      <c r="T60" s="757"/>
      <c r="U60" s="748"/>
      <c r="V60" s="609">
        <f t="shared" ref="V60:V64" si="8">IF(W60=1,G60,0)</f>
        <v>0</v>
      </c>
      <c r="W60" s="707"/>
    </row>
    <row r="61" spans="2:23" s="741" customFormat="1" outlineLevel="3">
      <c r="B61" s="387" t="s">
        <v>301</v>
      </c>
      <c r="C61" s="387" t="s">
        <v>301</v>
      </c>
      <c r="D61" s="387" t="s">
        <v>17</v>
      </c>
      <c r="E61" s="387" t="s">
        <v>127</v>
      </c>
      <c r="F61" s="705" t="s">
        <v>236</v>
      </c>
      <c r="G61" s="706">
        <v>4.3640000000000008</v>
      </c>
      <c r="H61" s="707">
        <v>1</v>
      </c>
      <c r="I61" s="740"/>
      <c r="J61" s="757"/>
      <c r="K61" s="748"/>
      <c r="L61" s="387" t="s">
        <v>127</v>
      </c>
      <c r="M61" s="387" t="s">
        <v>1331</v>
      </c>
      <c r="N61" s="387" t="s">
        <v>1476</v>
      </c>
      <c r="O61" s="387" t="s">
        <v>1477</v>
      </c>
      <c r="P61" s="387"/>
      <c r="Q61" s="387"/>
      <c r="R61" s="387"/>
      <c r="S61" s="748"/>
      <c r="T61" s="757"/>
      <c r="U61" s="748"/>
      <c r="V61" s="609">
        <f t="shared" si="8"/>
        <v>0</v>
      </c>
      <c r="W61" s="707"/>
    </row>
    <row r="62" spans="2:23" s="741" customFormat="1" outlineLevel="3">
      <c r="B62" s="387" t="s">
        <v>301</v>
      </c>
      <c r="C62" s="387" t="s">
        <v>301</v>
      </c>
      <c r="D62" s="387" t="s">
        <v>17</v>
      </c>
      <c r="E62" s="387" t="s">
        <v>127</v>
      </c>
      <c r="F62" s="705" t="s">
        <v>1427</v>
      </c>
      <c r="G62" s="706">
        <v>2.2846500000000005</v>
      </c>
      <c r="H62" s="707">
        <v>1</v>
      </c>
      <c r="I62" s="740"/>
      <c r="J62" s="757"/>
      <c r="K62" s="748"/>
      <c r="L62" s="387" t="s">
        <v>127</v>
      </c>
      <c r="M62" s="387" t="s">
        <v>1331</v>
      </c>
      <c r="N62" s="387" t="s">
        <v>1476</v>
      </c>
      <c r="O62" s="387" t="s">
        <v>1477</v>
      </c>
      <c r="P62" s="387"/>
      <c r="Q62" s="387"/>
      <c r="R62" s="387"/>
      <c r="S62" s="748"/>
      <c r="T62" s="757"/>
      <c r="U62" s="748"/>
      <c r="V62" s="609">
        <f t="shared" si="8"/>
        <v>0</v>
      </c>
      <c r="W62" s="707"/>
    </row>
    <row r="63" spans="2:23" s="741" customFormat="1" outlineLevel="3">
      <c r="B63" s="387" t="s">
        <v>301</v>
      </c>
      <c r="C63" s="387" t="s">
        <v>301</v>
      </c>
      <c r="D63" s="387" t="s">
        <v>17</v>
      </c>
      <c r="E63" s="387" t="s">
        <v>127</v>
      </c>
      <c r="F63" s="705" t="s">
        <v>1487</v>
      </c>
      <c r="G63" s="706">
        <v>2.3873000000000006</v>
      </c>
      <c r="H63" s="707">
        <v>1</v>
      </c>
      <c r="I63" s="740"/>
      <c r="J63" s="757"/>
      <c r="K63" s="748"/>
      <c r="L63" s="387" t="s">
        <v>127</v>
      </c>
      <c r="M63" s="387" t="s">
        <v>1331</v>
      </c>
      <c r="N63" s="387" t="s">
        <v>1476</v>
      </c>
      <c r="O63" s="387" t="s">
        <v>1477</v>
      </c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41" customFormat="1" outlineLevel="3">
      <c r="B64" s="387" t="s">
        <v>301</v>
      </c>
      <c r="C64" s="387" t="s">
        <v>301</v>
      </c>
      <c r="D64" s="387" t="s">
        <v>17</v>
      </c>
      <c r="E64" s="387" t="s">
        <v>127</v>
      </c>
      <c r="F64" s="705" t="s">
        <v>1468</v>
      </c>
      <c r="G64" s="706">
        <v>2.3873000000000006</v>
      </c>
      <c r="H64" s="707">
        <v>1</v>
      </c>
      <c r="I64" s="740"/>
      <c r="J64" s="757"/>
      <c r="K64" s="748"/>
      <c r="L64" s="387" t="s">
        <v>127</v>
      </c>
      <c r="M64" s="387" t="s">
        <v>1331</v>
      </c>
      <c r="N64" s="387" t="s">
        <v>1476</v>
      </c>
      <c r="O64" s="387" t="s">
        <v>1477</v>
      </c>
      <c r="P64" s="387"/>
      <c r="Q64" s="387"/>
      <c r="R64" s="387"/>
      <c r="S64" s="748"/>
      <c r="T64" s="757"/>
      <c r="U64" s="748"/>
      <c r="V64" s="609">
        <f t="shared" si="8"/>
        <v>0</v>
      </c>
      <c r="W64" s="707"/>
    </row>
    <row r="65" spans="2:23" s="741" customFormat="1" outlineLevel="3">
      <c r="B65" s="387" t="s">
        <v>301</v>
      </c>
      <c r="C65" s="387" t="s">
        <v>301</v>
      </c>
      <c r="D65" s="387" t="s">
        <v>17</v>
      </c>
      <c r="E65" s="387" t="s">
        <v>127</v>
      </c>
      <c r="F65" s="705" t="s">
        <v>1613</v>
      </c>
      <c r="G65" s="706">
        <v>4.3640000000000008</v>
      </c>
      <c r="H65" s="707">
        <v>1</v>
      </c>
      <c r="I65" s="740"/>
      <c r="J65" s="757"/>
      <c r="K65" s="748"/>
      <c r="L65" s="387" t="s">
        <v>127</v>
      </c>
      <c r="M65" s="387" t="s">
        <v>1331</v>
      </c>
      <c r="N65" s="387" t="s">
        <v>1476</v>
      </c>
      <c r="O65" s="387" t="s">
        <v>1477</v>
      </c>
      <c r="P65" s="387"/>
      <c r="Q65" s="387"/>
      <c r="R65" s="387"/>
      <c r="S65" s="748"/>
      <c r="T65" s="757"/>
      <c r="U65" s="748"/>
      <c r="V65" s="609">
        <f>IF(W65=1,G65,0)</f>
        <v>0</v>
      </c>
      <c r="W65" s="707"/>
    </row>
    <row r="66" spans="2:23" outlineLevel="1">
      <c r="B66" s="666" t="s">
        <v>360</v>
      </c>
      <c r="C66" s="666" t="s">
        <v>361</v>
      </c>
      <c r="D66" s="667"/>
      <c r="E66" s="665"/>
      <c r="F66" s="681" t="s">
        <v>262</v>
      </c>
      <c r="G66" s="724">
        <f>SUBTOTAL(9,G67:G70)</f>
        <v>15.802074948250002</v>
      </c>
      <c r="H66" s="725">
        <f>SUBTOTAL(9,H67:H70)</f>
        <v>3</v>
      </c>
      <c r="I66" s="626"/>
      <c r="J66" s="751"/>
      <c r="L66" s="665"/>
      <c r="M66" s="665"/>
      <c r="N66" s="665"/>
      <c r="O66" s="665"/>
      <c r="P66" s="665"/>
      <c r="Q66" s="665"/>
      <c r="R66" s="665"/>
      <c r="T66" s="751"/>
      <c r="V66" s="724">
        <f>SUBTOTAL(9,V67:V70)</f>
        <v>0</v>
      </c>
      <c r="W66" s="725">
        <f>SUBTOTAL(9,W67:W70)</f>
        <v>0</v>
      </c>
    </row>
    <row r="67" spans="2:23" outlineLevel="2">
      <c r="B67" s="684" t="s">
        <v>360</v>
      </c>
      <c r="C67" s="687" t="s">
        <v>362</v>
      </c>
      <c r="D67" s="684" t="s">
        <v>17</v>
      </c>
      <c r="E67" s="684"/>
      <c r="F67" s="685" t="s">
        <v>236</v>
      </c>
      <c r="G67" s="686">
        <f>SUBTOTAL(9,G68:G70)</f>
        <v>15.802074948250002</v>
      </c>
      <c r="H67" s="691">
        <f>SUBTOTAL(9,H68:H70)</f>
        <v>3</v>
      </c>
      <c r="I67" s="626"/>
      <c r="J67" s="751"/>
      <c r="L67" s="684"/>
      <c r="M67" s="684"/>
      <c r="N67" s="684"/>
      <c r="O67" s="684"/>
      <c r="P67" s="684"/>
      <c r="Q67" s="684"/>
      <c r="R67" s="684"/>
      <c r="T67" s="751"/>
      <c r="V67" s="686">
        <f>SUBTOTAL(9,V68:V70)</f>
        <v>0</v>
      </c>
      <c r="W67" s="691">
        <f>SUBTOTAL(9,W68:W70)</f>
        <v>0</v>
      </c>
    </row>
    <row r="68" spans="2:23" outlineLevel="3">
      <c r="B68" s="376" t="s">
        <v>360</v>
      </c>
      <c r="C68" s="387" t="s">
        <v>362</v>
      </c>
      <c r="D68" s="376" t="s">
        <v>17</v>
      </c>
      <c r="E68" s="376" t="s">
        <v>127</v>
      </c>
      <c r="F68" s="608" t="s">
        <v>418</v>
      </c>
      <c r="G68" s="609">
        <v>6.3210374741250011</v>
      </c>
      <c r="H68" s="692">
        <v>1</v>
      </c>
      <c r="I68" s="626"/>
      <c r="J68" s="751"/>
      <c r="L68" s="376" t="s">
        <v>127</v>
      </c>
      <c r="M68" s="376" t="s">
        <v>1320</v>
      </c>
      <c r="N68" s="376" t="s">
        <v>1337</v>
      </c>
      <c r="O68" s="376" t="s">
        <v>1329</v>
      </c>
      <c r="P68" s="376"/>
      <c r="Q68" s="376"/>
      <c r="R68" s="376"/>
      <c r="T68" s="751"/>
      <c r="V68" s="609">
        <f t="shared" ref="V68:V70" si="9">IF(W68=1,G68,0)</f>
        <v>0</v>
      </c>
      <c r="W68" s="692"/>
    </row>
    <row r="69" spans="2:23" outlineLevel="3">
      <c r="B69" s="376" t="s">
        <v>360</v>
      </c>
      <c r="C69" s="387" t="s">
        <v>362</v>
      </c>
      <c r="D69" s="376" t="s">
        <v>17</v>
      </c>
      <c r="E69" s="376" t="s">
        <v>127</v>
      </c>
      <c r="F69" s="608" t="s">
        <v>236</v>
      </c>
      <c r="G69" s="609">
        <v>6.3210374741250011</v>
      </c>
      <c r="H69" s="692">
        <v>1</v>
      </c>
      <c r="I69" s="626"/>
      <c r="J69" s="751"/>
      <c r="L69" s="376" t="s">
        <v>127</v>
      </c>
      <c r="M69" s="376" t="s">
        <v>1320</v>
      </c>
      <c r="N69" s="376" t="s">
        <v>1337</v>
      </c>
      <c r="O69" s="376" t="s">
        <v>1329</v>
      </c>
      <c r="P69" s="376"/>
      <c r="Q69" s="376"/>
      <c r="R69" s="376"/>
      <c r="T69" s="751"/>
      <c r="V69" s="609">
        <f>IF(W69=1,G69,0)</f>
        <v>0</v>
      </c>
      <c r="W69" s="692"/>
    </row>
    <row r="70" spans="2:23" outlineLevel="3">
      <c r="B70" s="376" t="s">
        <v>360</v>
      </c>
      <c r="C70" s="387" t="s">
        <v>362</v>
      </c>
      <c r="D70" s="376" t="s">
        <v>17</v>
      </c>
      <c r="E70" s="376" t="s">
        <v>127</v>
      </c>
      <c r="F70" s="608" t="s">
        <v>32</v>
      </c>
      <c r="G70" s="609">
        <v>3.16</v>
      </c>
      <c r="H70" s="692">
        <v>1</v>
      </c>
      <c r="I70" s="626"/>
      <c r="J70" s="751"/>
      <c r="L70" s="376" t="s">
        <v>127</v>
      </c>
      <c r="M70" s="376" t="s">
        <v>1320</v>
      </c>
      <c r="N70" s="376" t="s">
        <v>1337</v>
      </c>
      <c r="O70" s="376" t="s">
        <v>1329</v>
      </c>
      <c r="P70" s="376"/>
      <c r="Q70" s="376"/>
      <c r="R70" s="376"/>
      <c r="T70" s="751"/>
      <c r="V70" s="609">
        <f t="shared" si="9"/>
        <v>0</v>
      </c>
      <c r="W70" s="692"/>
    </row>
  </sheetData>
  <autoFilter ref="B4:W70" xr:uid="{57F02A47-1D5F-458C-8847-CD7E7A6C8A72}"/>
  <printOptions horizontalCentered="1" gridLines="1"/>
  <pageMargins left="0.35433070866141736" right="0.23622047244094491" top="0.55118110236220474" bottom="0.74803149606299213" header="0.31496062992125984" footer="0.31496062992125984"/>
  <pageSetup paperSize="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F-2ECE-4F81-A6B3-A610FEE619DF}">
  <sheetPr>
    <outlinePr summaryBelow="0" summaryRight="0"/>
  </sheetPr>
  <dimension ref="A2:AK71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4140625" defaultRowHeight="13.2" outlineLevelRow="3" outlineLevelCol="1"/>
  <cols>
    <col min="1" max="1" width="0.5546875" style="416" customWidth="1"/>
    <col min="2" max="2" width="22.6640625" style="416" customWidth="1"/>
    <col min="3" max="3" width="17.6640625" style="416" bestFit="1" customWidth="1"/>
    <col min="4" max="4" width="16.33203125" style="416" customWidth="1"/>
    <col min="5" max="5" width="14.44140625" style="416" customWidth="1"/>
    <col min="6" max="6" width="53.6640625" style="749" customWidth="1"/>
    <col min="7" max="7" width="13.33203125" style="416" bestFit="1" customWidth="1"/>
    <col min="8" max="8" width="9.5546875" style="416" customWidth="1" outlineLevel="1"/>
    <col min="9" max="11" width="0.5546875" style="416" customWidth="1"/>
    <col min="12" max="12" width="14.44140625" style="416" customWidth="1"/>
    <col min="13" max="13" width="14.44140625" style="416" customWidth="1" collapsed="1"/>
    <col min="14" max="18" width="14.44140625" style="416" hidden="1" customWidth="1" outlineLevel="1"/>
    <col min="19" max="21" width="0.5546875" style="416" customWidth="1"/>
    <col min="22" max="22" width="16.33203125" style="416" customWidth="1" collapsed="1"/>
    <col min="23" max="23" width="14.33203125" style="416" hidden="1" customWidth="1" outlineLevel="1"/>
    <col min="24" max="26" width="9.44140625" style="416"/>
    <col min="27" max="27" width="9.44140625" style="416" bestFit="1" customWidth="1"/>
    <col min="28" max="16384" width="9.44140625" style="416"/>
  </cols>
  <sheetData>
    <row r="2" spans="1:37" ht="17.399999999999999">
      <c r="A2" s="376"/>
      <c r="B2" s="418" t="s">
        <v>1683</v>
      </c>
      <c r="C2" s="418"/>
      <c r="D2" s="418"/>
      <c r="E2" s="418"/>
      <c r="F2" s="423"/>
      <c r="G2" s="689">
        <f>SUBTOTAL(9,G6:G71)</f>
        <v>37.79990571998097</v>
      </c>
      <c r="H2" s="690">
        <f>SUBTOTAL(9,H6:H71)</f>
        <v>63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SUBTOTAL(9,V6:V66)</f>
        <v>0</v>
      </c>
      <c r="W2" s="764">
        <f>SUBTOTAL(9,W6:W66)</f>
        <v>0</v>
      </c>
      <c r="X2" s="610">
        <f>G2-V2</f>
        <v>37.79990571998097</v>
      </c>
      <c r="Y2" s="610">
        <f>H2-W2</f>
        <v>63</v>
      </c>
    </row>
    <row r="3" spans="1:3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7" s="44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3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7" ht="15">
      <c r="A6" s="376"/>
      <c r="B6" s="430" t="s">
        <v>13</v>
      </c>
      <c r="C6" s="430"/>
      <c r="D6" s="430"/>
      <c r="E6" s="430"/>
      <c r="F6" s="697"/>
      <c r="G6" s="698">
        <f>SUBTOTAL(9,G8:G58)</f>
        <v>11.230497719980974</v>
      </c>
      <c r="H6" s="699">
        <f>SUBTOTAL(9,H8:H58)</f>
        <v>43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SUBTOTAL(9,V8:V58)</f>
        <v>0</v>
      </c>
      <c r="W6" s="699">
        <f>SUBTOTAL(9,W8:W58)</f>
        <v>0</v>
      </c>
      <c r="X6" s="610"/>
      <c r="Y6" s="610"/>
      <c r="Z6" s="610"/>
      <c r="AA6" s="610"/>
    </row>
    <row r="7" spans="1:3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7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01">
        <f>SUBTOTAL(9,G9:G12)</f>
        <v>0.35761529836000006</v>
      </c>
      <c r="H8" s="702">
        <f>SUBTOTAL(9,H9:H12)</f>
        <v>3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SUBTOTAL(9,V9:V12)</f>
        <v>0</v>
      </c>
      <c r="W8" s="702">
        <f>SUBTOTAL(9,W9:W12)</f>
        <v>0</v>
      </c>
      <c r="X8" s="610"/>
      <c r="Y8" s="610"/>
      <c r="Z8" s="610"/>
    </row>
    <row r="9" spans="1:37" outlineLevel="2">
      <c r="A9" s="376"/>
      <c r="B9" s="684" t="s">
        <v>14</v>
      </c>
      <c r="C9" s="684" t="s">
        <v>15</v>
      </c>
      <c r="D9" s="684" t="s">
        <v>17</v>
      </c>
      <c r="E9" s="684"/>
      <c r="F9" s="685" t="s">
        <v>1194</v>
      </c>
      <c r="G9" s="686">
        <f>SUBTOTAL(9,G10:G12)</f>
        <v>0.35761529836000006</v>
      </c>
      <c r="H9" s="691">
        <f>SUBTOTAL(9,H10:H12)</f>
        <v>3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7" ht="26.4" outlineLevel="3">
      <c r="A10" s="376"/>
      <c r="B10" s="376" t="s">
        <v>14</v>
      </c>
      <c r="C10" s="376" t="s">
        <v>18</v>
      </c>
      <c r="D10" s="376" t="s">
        <v>17</v>
      </c>
      <c r="E10" s="376" t="s">
        <v>19</v>
      </c>
      <c r="F10" s="608" t="s">
        <v>410</v>
      </c>
      <c r="G10" s="609">
        <v>0.27</v>
      </c>
      <c r="H10" s="700">
        <v>1</v>
      </c>
      <c r="I10" s="626"/>
      <c r="J10" s="751"/>
      <c r="L10" s="376" t="s">
        <v>19</v>
      </c>
      <c r="M10" s="376" t="s">
        <v>1195</v>
      </c>
      <c r="N10" s="376" t="s">
        <v>1196</v>
      </c>
      <c r="O10" s="376"/>
      <c r="P10" s="376"/>
      <c r="Q10" s="376"/>
      <c r="R10" s="376"/>
      <c r="T10" s="751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7" ht="24.6" customHeight="1" outlineLevel="3">
      <c r="A11" s="376"/>
      <c r="B11" s="376" t="s">
        <v>14</v>
      </c>
      <c r="C11" s="376" t="s">
        <v>18</v>
      </c>
      <c r="D11" s="376" t="s">
        <v>17</v>
      </c>
      <c r="E11" s="376" t="s">
        <v>19</v>
      </c>
      <c r="F11" s="608" t="s">
        <v>1197</v>
      </c>
      <c r="G11" s="695">
        <v>4.5377035860000005E-2</v>
      </c>
      <c r="H11" s="700">
        <v>1</v>
      </c>
      <c r="I11" s="626"/>
      <c r="J11" s="751"/>
      <c r="L11" s="376" t="s">
        <v>19</v>
      </c>
      <c r="M11" s="376" t="s">
        <v>1198</v>
      </c>
      <c r="N11" s="376" t="s">
        <v>1199</v>
      </c>
      <c r="O11" s="376"/>
      <c r="P11" s="376"/>
      <c r="Q11" s="376"/>
      <c r="R11" s="376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7" ht="13.95" customHeight="1" outlineLevel="3">
      <c r="A12" s="376"/>
      <c r="B12" s="376" t="s">
        <v>14</v>
      </c>
      <c r="C12" s="376" t="s">
        <v>22</v>
      </c>
      <c r="D12" s="376" t="s">
        <v>17</v>
      </c>
      <c r="E12" s="376" t="s">
        <v>19</v>
      </c>
      <c r="F12" s="608" t="s">
        <v>186</v>
      </c>
      <c r="G12" s="609">
        <v>4.2238262499999998E-2</v>
      </c>
      <c r="H12" s="692">
        <v>1</v>
      </c>
      <c r="I12" s="626"/>
      <c r="J12" s="751"/>
      <c r="L12" s="376" t="s">
        <v>19</v>
      </c>
      <c r="M12" s="376" t="s">
        <v>1198</v>
      </c>
      <c r="N12" s="376" t="s">
        <v>1199</v>
      </c>
      <c r="O12" s="376"/>
      <c r="P12" s="376"/>
      <c r="Q12" s="376"/>
      <c r="R12" s="376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7" s="612" customFormat="1" outlineLevel="1">
      <c r="A13" s="380"/>
      <c r="B13" s="665" t="s">
        <v>14</v>
      </c>
      <c r="C13" s="665" t="s">
        <v>29</v>
      </c>
      <c r="D13" s="665"/>
      <c r="E13" s="665"/>
      <c r="F13" s="681" t="s">
        <v>262</v>
      </c>
      <c r="G13" s="701">
        <f>SUBTOTAL(9,G14:G29)</f>
        <v>1.5631324216209741</v>
      </c>
      <c r="H13" s="702">
        <f>SUBTOTAL(9,H14:H29)</f>
        <v>15</v>
      </c>
      <c r="I13" s="627"/>
      <c r="J13" s="753"/>
      <c r="L13" s="665"/>
      <c r="M13" s="665"/>
      <c r="N13" s="665"/>
      <c r="O13" s="665"/>
      <c r="P13" s="665"/>
      <c r="Q13" s="665"/>
      <c r="R13" s="665"/>
      <c r="T13" s="753"/>
      <c r="V13" s="701">
        <f>SUBTOTAL(9,V14:V29)</f>
        <v>0</v>
      </c>
      <c r="W13" s="702">
        <f>SUBTOTAL(9,W14:W29)</f>
        <v>0</v>
      </c>
      <c r="X13" s="611"/>
      <c r="Y13" s="611"/>
      <c r="Z13" s="611"/>
      <c r="AD13" s="447"/>
      <c r="AE13" s="683"/>
    </row>
    <row r="14" spans="1:37" s="704" customFormat="1" outlineLevel="2">
      <c r="A14" s="376"/>
      <c r="B14" s="684" t="s">
        <v>14</v>
      </c>
      <c r="C14" s="684" t="s">
        <v>29</v>
      </c>
      <c r="D14" s="684" t="s">
        <v>17</v>
      </c>
      <c r="E14" s="684"/>
      <c r="F14" s="685" t="s">
        <v>1211</v>
      </c>
      <c r="G14" s="686">
        <f>SUBTOTAL(9,G15:G29)</f>
        <v>1.5631324216209741</v>
      </c>
      <c r="H14" s="691">
        <f>SUBTOTAL(9,H15:H29)</f>
        <v>15</v>
      </c>
      <c r="I14" s="703"/>
      <c r="J14" s="754"/>
      <c r="K14" s="750"/>
      <c r="L14" s="684"/>
      <c r="M14" s="684"/>
      <c r="N14" s="684"/>
      <c r="O14" s="684"/>
      <c r="P14" s="684"/>
      <c r="Q14" s="684"/>
      <c r="R14" s="684"/>
      <c r="S14" s="750"/>
      <c r="T14" s="754"/>
      <c r="U14" s="750"/>
      <c r="V14" s="686">
        <f>SUBTOTAL(9,V15:V29)</f>
        <v>0</v>
      </c>
      <c r="W14" s="691">
        <f>SUBTOTAL(9,W15:W29)</f>
        <v>0</v>
      </c>
      <c r="X14" s="610"/>
      <c r="Y14" s="610"/>
      <c r="Z14" s="610"/>
      <c r="AA14" s="416"/>
      <c r="AB14" s="416"/>
      <c r="AC14" s="416"/>
      <c r="AD14" s="447"/>
      <c r="AE14" s="683"/>
      <c r="AF14" s="416"/>
      <c r="AG14" s="416"/>
      <c r="AH14" s="416"/>
      <c r="AI14" s="416"/>
      <c r="AJ14" s="416"/>
      <c r="AK14" s="416"/>
    </row>
    <row r="15" spans="1:37" s="704" customFormat="1" outlineLevel="3">
      <c r="A15" s="376"/>
      <c r="B15" s="376" t="s">
        <v>14</v>
      </c>
      <c r="C15" s="376" t="s">
        <v>29</v>
      </c>
      <c r="D15" s="376" t="s">
        <v>17</v>
      </c>
      <c r="E15" s="387" t="s">
        <v>19</v>
      </c>
      <c r="F15" s="608" t="s">
        <v>1212</v>
      </c>
      <c r="G15" s="609">
        <v>0.27398366869616486</v>
      </c>
      <c r="H15" s="692">
        <v>1</v>
      </c>
      <c r="I15" s="626"/>
      <c r="J15" s="751"/>
      <c r="K15" s="416"/>
      <c r="L15" s="387" t="s">
        <v>19</v>
      </c>
      <c r="M15" s="387" t="s">
        <v>1195</v>
      </c>
      <c r="N15" s="387" t="s">
        <v>1213</v>
      </c>
      <c r="O15" s="387" t="s">
        <v>1199</v>
      </c>
      <c r="P15" s="387"/>
      <c r="Q15" s="387"/>
      <c r="R15" s="387"/>
      <c r="S15" s="416"/>
      <c r="T15" s="751"/>
      <c r="U15" s="416"/>
      <c r="V15" s="609">
        <f t="shared" ref="V15:V29" si="1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  <c r="AF15" s="416"/>
      <c r="AG15" s="416"/>
      <c r="AH15" s="416"/>
      <c r="AI15" s="416"/>
      <c r="AJ15" s="416"/>
      <c r="AK15" s="416"/>
    </row>
    <row r="16" spans="1:37" s="704" customFormat="1" outlineLevel="3">
      <c r="A16" s="376"/>
      <c r="B16" s="376" t="s">
        <v>14</v>
      </c>
      <c r="C16" s="376" t="s">
        <v>29</v>
      </c>
      <c r="D16" s="376" t="s">
        <v>17</v>
      </c>
      <c r="E16" s="387" t="s">
        <v>19</v>
      </c>
      <c r="F16" s="608" t="s">
        <v>1214</v>
      </c>
      <c r="G16" s="609">
        <v>0.36</v>
      </c>
      <c r="H16" s="692">
        <v>1</v>
      </c>
      <c r="I16" s="626"/>
      <c r="J16" s="751"/>
      <c r="K16" s="416"/>
      <c r="L16" s="387" t="s">
        <v>19</v>
      </c>
      <c r="M16" s="387" t="s">
        <v>1195</v>
      </c>
      <c r="N16" s="387" t="s">
        <v>1213</v>
      </c>
      <c r="O16" s="387" t="s">
        <v>1215</v>
      </c>
      <c r="P16" s="387"/>
      <c r="Q16" s="387"/>
      <c r="R16" s="387"/>
      <c r="S16" s="416"/>
      <c r="T16" s="751"/>
      <c r="U16" s="416"/>
      <c r="V16" s="609">
        <f t="shared" si="1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  <c r="AF16" s="416"/>
      <c r="AG16" s="416"/>
      <c r="AH16" s="416"/>
      <c r="AI16" s="416"/>
      <c r="AJ16" s="416"/>
      <c r="AK16" s="416"/>
    </row>
    <row r="17" spans="2:23" s="704" customFormat="1" outlineLevel="3">
      <c r="B17" s="376" t="s">
        <v>14</v>
      </c>
      <c r="C17" s="376" t="s">
        <v>29</v>
      </c>
      <c r="D17" s="376" t="s">
        <v>17</v>
      </c>
      <c r="E17" s="387" t="s">
        <v>19</v>
      </c>
      <c r="F17" s="608" t="s">
        <v>1589</v>
      </c>
      <c r="G17" s="609">
        <v>0.36</v>
      </c>
      <c r="H17" s="692">
        <v>1</v>
      </c>
      <c r="I17" s="626"/>
      <c r="J17" s="751"/>
      <c r="K17" s="416"/>
      <c r="L17" s="387" t="s">
        <v>19</v>
      </c>
      <c r="M17" s="387" t="s">
        <v>1195</v>
      </c>
      <c r="N17" s="387" t="s">
        <v>1213</v>
      </c>
      <c r="O17" s="387" t="s">
        <v>1215</v>
      </c>
      <c r="P17" s="387"/>
      <c r="Q17" s="387"/>
      <c r="R17" s="387"/>
      <c r="S17" s="416"/>
      <c r="T17" s="751"/>
      <c r="U17" s="416"/>
      <c r="V17" s="609">
        <f>IF(W17=1,G17,0)</f>
        <v>0</v>
      </c>
      <c r="W17" s="692"/>
    </row>
    <row r="18" spans="2:23" s="704" customFormat="1" ht="26.4" outlineLevel="3">
      <c r="B18" s="376" t="s">
        <v>14</v>
      </c>
      <c r="C18" s="376" t="s">
        <v>29</v>
      </c>
      <c r="D18" s="376" t="s">
        <v>17</v>
      </c>
      <c r="E18" s="387" t="s">
        <v>19</v>
      </c>
      <c r="F18" s="608" t="s">
        <v>1216</v>
      </c>
      <c r="G18" s="609">
        <v>4.3982695586700871E-2</v>
      </c>
      <c r="H18" s="692">
        <v>1</v>
      </c>
      <c r="I18" s="626"/>
      <c r="J18" s="751"/>
      <c r="K18" s="416"/>
      <c r="L18" s="387" t="s">
        <v>19</v>
      </c>
      <c r="M18" s="387" t="s">
        <v>1195</v>
      </c>
      <c r="N18" s="387" t="s">
        <v>1199</v>
      </c>
      <c r="O18" s="387"/>
      <c r="P18" s="387"/>
      <c r="Q18" s="387"/>
      <c r="R18" s="387"/>
      <c r="S18" s="416"/>
      <c r="T18" s="751"/>
      <c r="U18" s="416"/>
      <c r="V18" s="609">
        <f t="shared" si="1"/>
        <v>0</v>
      </c>
      <c r="W18" s="692"/>
    </row>
    <row r="19" spans="2:23" s="704" customFormat="1" ht="26.4" outlineLevel="3">
      <c r="B19" s="376" t="s">
        <v>14</v>
      </c>
      <c r="C19" s="376" t="s">
        <v>29</v>
      </c>
      <c r="D19" s="376" t="s">
        <v>17</v>
      </c>
      <c r="E19" s="387" t="s">
        <v>19</v>
      </c>
      <c r="F19" s="608" t="s">
        <v>1217</v>
      </c>
      <c r="G19" s="609">
        <v>4.3982695586700871E-2</v>
      </c>
      <c r="H19" s="692">
        <v>1</v>
      </c>
      <c r="I19" s="626"/>
      <c r="J19" s="751"/>
      <c r="K19" s="416"/>
      <c r="L19" s="387" t="s">
        <v>19</v>
      </c>
      <c r="M19" s="387" t="s">
        <v>1195</v>
      </c>
      <c r="N19" s="387" t="s">
        <v>1196</v>
      </c>
      <c r="O19" s="387"/>
      <c r="P19" s="387"/>
      <c r="Q19" s="387"/>
      <c r="R19" s="387"/>
      <c r="S19" s="416"/>
      <c r="T19" s="751"/>
      <c r="U19" s="416"/>
      <c r="V19" s="609">
        <f t="shared" si="1"/>
        <v>0</v>
      </c>
      <c r="W19" s="692"/>
    </row>
    <row r="20" spans="2:23" s="704" customFormat="1" ht="26.4" outlineLevel="3">
      <c r="B20" s="376" t="s">
        <v>14</v>
      </c>
      <c r="C20" s="376" t="s">
        <v>29</v>
      </c>
      <c r="D20" s="376" t="s">
        <v>17</v>
      </c>
      <c r="E20" s="387" t="s">
        <v>19</v>
      </c>
      <c r="F20" s="608" t="s">
        <v>1218</v>
      </c>
      <c r="G20" s="609">
        <v>6.5974043380051306E-2</v>
      </c>
      <c r="H20" s="692">
        <v>1</v>
      </c>
      <c r="I20" s="626"/>
      <c r="J20" s="751"/>
      <c r="K20" s="416"/>
      <c r="L20" s="387" t="s">
        <v>19</v>
      </c>
      <c r="M20" s="387" t="s">
        <v>1195</v>
      </c>
      <c r="N20" s="387" t="s">
        <v>1213</v>
      </c>
      <c r="O20" s="387"/>
      <c r="P20" s="387"/>
      <c r="Q20" s="387"/>
      <c r="R20" s="387"/>
      <c r="S20" s="416"/>
      <c r="T20" s="751"/>
      <c r="U20" s="416"/>
      <c r="V20" s="609">
        <f t="shared" si="1"/>
        <v>0</v>
      </c>
      <c r="W20" s="692"/>
    </row>
    <row r="21" spans="2:23" s="704" customFormat="1" ht="26.4" outlineLevel="3">
      <c r="B21" s="376" t="s">
        <v>14</v>
      </c>
      <c r="C21" s="376" t="s">
        <v>29</v>
      </c>
      <c r="D21" s="376" t="s">
        <v>17</v>
      </c>
      <c r="E21" s="387" t="s">
        <v>19</v>
      </c>
      <c r="F21" s="608" t="s">
        <v>1219</v>
      </c>
      <c r="G21" s="609">
        <v>6.5974043380051306E-2</v>
      </c>
      <c r="H21" s="692">
        <v>1</v>
      </c>
      <c r="I21" s="626"/>
      <c r="J21" s="751"/>
      <c r="K21" s="416"/>
      <c r="L21" s="387" t="s">
        <v>19</v>
      </c>
      <c r="M21" s="387" t="s">
        <v>1195</v>
      </c>
      <c r="N21" s="387" t="s">
        <v>1213</v>
      </c>
      <c r="O21" s="387"/>
      <c r="P21" s="387"/>
      <c r="Q21" s="387"/>
      <c r="R21" s="387"/>
      <c r="S21" s="416"/>
      <c r="T21" s="751"/>
      <c r="U21" s="416"/>
      <c r="V21" s="609">
        <f t="shared" si="1"/>
        <v>0</v>
      </c>
      <c r="W21" s="692"/>
    </row>
    <row r="22" spans="2:23" s="704" customFormat="1" ht="26.4" outlineLevel="3">
      <c r="B22" s="376" t="s">
        <v>14</v>
      </c>
      <c r="C22" s="376" t="s">
        <v>29</v>
      </c>
      <c r="D22" s="376" t="s">
        <v>17</v>
      </c>
      <c r="E22" s="387" t="s">
        <v>19</v>
      </c>
      <c r="F22" s="608" t="s">
        <v>1220</v>
      </c>
      <c r="G22" s="609">
        <v>6.5974043380051306E-2</v>
      </c>
      <c r="H22" s="692">
        <v>1</v>
      </c>
      <c r="I22" s="626"/>
      <c r="J22" s="751"/>
      <c r="K22" s="416"/>
      <c r="L22" s="387" t="s">
        <v>19</v>
      </c>
      <c r="M22" s="387" t="s">
        <v>1195</v>
      </c>
      <c r="N22" s="387" t="s">
        <v>1213</v>
      </c>
      <c r="O22" s="387"/>
      <c r="P22" s="387"/>
      <c r="Q22" s="387"/>
      <c r="R22" s="387"/>
      <c r="S22" s="416"/>
      <c r="T22" s="751"/>
      <c r="U22" s="416"/>
      <c r="V22" s="609">
        <f t="shared" si="1"/>
        <v>0</v>
      </c>
      <c r="W22" s="692"/>
    </row>
    <row r="23" spans="2:23" s="704" customFormat="1" ht="26.4" outlineLevel="3">
      <c r="B23" s="376" t="s">
        <v>14</v>
      </c>
      <c r="C23" s="376" t="s">
        <v>29</v>
      </c>
      <c r="D23" s="376" t="s">
        <v>17</v>
      </c>
      <c r="E23" s="387" t="s">
        <v>19</v>
      </c>
      <c r="F23" s="608" t="s">
        <v>1221</v>
      </c>
      <c r="G23" s="609">
        <v>6.5974043380051306E-2</v>
      </c>
      <c r="H23" s="692">
        <v>1</v>
      </c>
      <c r="I23" s="626"/>
      <c r="J23" s="751"/>
      <c r="K23" s="416"/>
      <c r="L23" s="387" t="s">
        <v>19</v>
      </c>
      <c r="M23" s="387" t="s">
        <v>1195</v>
      </c>
      <c r="N23" s="387" t="s">
        <v>1213</v>
      </c>
      <c r="O23" s="387"/>
      <c r="P23" s="387"/>
      <c r="Q23" s="387"/>
      <c r="R23" s="387"/>
      <c r="S23" s="416"/>
      <c r="T23" s="751"/>
      <c r="U23" s="416"/>
      <c r="V23" s="609">
        <f t="shared" si="1"/>
        <v>0</v>
      </c>
      <c r="W23" s="692"/>
    </row>
    <row r="24" spans="2:23" s="704" customFormat="1" ht="26.4" outlineLevel="3">
      <c r="B24" s="376" t="s">
        <v>14</v>
      </c>
      <c r="C24" s="376" t="s">
        <v>29</v>
      </c>
      <c r="D24" s="376" t="s">
        <v>17</v>
      </c>
      <c r="E24" s="387" t="s">
        <v>19</v>
      </c>
      <c r="F24" s="608" t="s">
        <v>1222</v>
      </c>
      <c r="G24" s="609">
        <v>1.466089852890029E-2</v>
      </c>
      <c r="H24" s="692">
        <v>1</v>
      </c>
      <c r="I24" s="626"/>
      <c r="J24" s="751"/>
      <c r="K24" s="416"/>
      <c r="L24" s="387" t="s">
        <v>19</v>
      </c>
      <c r="M24" s="387" t="s">
        <v>1195</v>
      </c>
      <c r="N24" s="387" t="s">
        <v>1213</v>
      </c>
      <c r="O24" s="387"/>
      <c r="P24" s="387"/>
      <c r="Q24" s="387"/>
      <c r="R24" s="387"/>
      <c r="S24" s="416"/>
      <c r="T24" s="751"/>
      <c r="U24" s="416"/>
      <c r="V24" s="609">
        <f t="shared" si="1"/>
        <v>0</v>
      </c>
      <c r="W24" s="692"/>
    </row>
    <row r="25" spans="2:23" s="704" customFormat="1" ht="26.4" outlineLevel="3">
      <c r="B25" s="376" t="s">
        <v>14</v>
      </c>
      <c r="C25" s="376" t="s">
        <v>29</v>
      </c>
      <c r="D25" s="376" t="s">
        <v>17</v>
      </c>
      <c r="E25" s="387" t="s">
        <v>19</v>
      </c>
      <c r="F25" s="608" t="s">
        <v>1223</v>
      </c>
      <c r="G25" s="609">
        <v>2.932179705780058E-2</v>
      </c>
      <c r="H25" s="692">
        <v>1</v>
      </c>
      <c r="I25" s="626"/>
      <c r="J25" s="751"/>
      <c r="K25" s="416"/>
      <c r="L25" s="387" t="s">
        <v>19</v>
      </c>
      <c r="M25" s="387" t="s">
        <v>1195</v>
      </c>
      <c r="N25" s="387" t="s">
        <v>1196</v>
      </c>
      <c r="O25" s="387"/>
      <c r="P25" s="387"/>
      <c r="Q25" s="387"/>
      <c r="R25" s="387"/>
      <c r="S25" s="416"/>
      <c r="T25" s="751"/>
      <c r="U25" s="416"/>
      <c r="V25" s="609">
        <f t="shared" si="1"/>
        <v>0</v>
      </c>
      <c r="W25" s="692"/>
    </row>
    <row r="26" spans="2:23" s="704" customFormat="1" ht="26.4" outlineLevel="3">
      <c r="B26" s="376" t="s">
        <v>14</v>
      </c>
      <c r="C26" s="376" t="s">
        <v>29</v>
      </c>
      <c r="D26" s="376" t="s">
        <v>17</v>
      </c>
      <c r="E26" s="387" t="s">
        <v>19</v>
      </c>
      <c r="F26" s="608" t="s">
        <v>1590</v>
      </c>
      <c r="G26" s="609">
        <v>2.932179705780058E-2</v>
      </c>
      <c r="H26" s="692">
        <v>1</v>
      </c>
      <c r="I26" s="626"/>
      <c r="J26" s="751"/>
      <c r="K26" s="416"/>
      <c r="L26" s="387" t="s">
        <v>19</v>
      </c>
      <c r="M26" s="387" t="s">
        <v>1195</v>
      </c>
      <c r="N26" s="387" t="s">
        <v>1196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692"/>
    </row>
    <row r="27" spans="2:23" s="704" customFormat="1" ht="26.4" outlineLevel="3">
      <c r="B27" s="376" t="s">
        <v>14</v>
      </c>
      <c r="C27" s="376" t="s">
        <v>29</v>
      </c>
      <c r="D27" s="376" t="s">
        <v>17</v>
      </c>
      <c r="E27" s="387" t="s">
        <v>19</v>
      </c>
      <c r="F27" s="608" t="s">
        <v>1224</v>
      </c>
      <c r="G27" s="609">
        <v>4.3982695586700871E-2</v>
      </c>
      <c r="H27" s="692">
        <v>1</v>
      </c>
      <c r="I27" s="626"/>
      <c r="J27" s="751"/>
      <c r="K27" s="416"/>
      <c r="L27" s="387" t="s">
        <v>19</v>
      </c>
      <c r="M27" s="387" t="s">
        <v>1195</v>
      </c>
      <c r="N27" s="387" t="s">
        <v>1196</v>
      </c>
      <c r="O27" s="387"/>
      <c r="P27" s="387"/>
      <c r="Q27" s="387"/>
      <c r="R27" s="387"/>
      <c r="S27" s="416"/>
      <c r="T27" s="751"/>
      <c r="U27" s="416"/>
      <c r="V27" s="609">
        <f t="shared" si="1"/>
        <v>0</v>
      </c>
      <c r="W27" s="692"/>
    </row>
    <row r="28" spans="2:23" s="704" customFormat="1" outlineLevel="3">
      <c r="B28" s="387" t="s">
        <v>14</v>
      </c>
      <c r="C28" s="387" t="s">
        <v>29</v>
      </c>
      <c r="D28" s="387" t="s">
        <v>17</v>
      </c>
      <c r="E28" s="387" t="s">
        <v>19</v>
      </c>
      <c r="F28" s="705" t="s">
        <v>221</v>
      </c>
      <c r="G28" s="706">
        <v>0.05</v>
      </c>
      <c r="H28" s="707">
        <v>1</v>
      </c>
      <c r="I28" s="626"/>
      <c r="J28" s="751"/>
      <c r="K28" s="416"/>
      <c r="L28" s="387" t="s">
        <v>19</v>
      </c>
      <c r="M28" s="387" t="s">
        <v>1198</v>
      </c>
      <c r="N28" s="387" t="s">
        <v>1199</v>
      </c>
      <c r="O28" s="387"/>
      <c r="P28" s="387"/>
      <c r="Q28" s="387"/>
      <c r="R28" s="387"/>
      <c r="S28" s="416"/>
      <c r="T28" s="751"/>
      <c r="U28" s="416"/>
      <c r="V28" s="609">
        <f t="shared" si="1"/>
        <v>0</v>
      </c>
      <c r="W28" s="707"/>
    </row>
    <row r="29" spans="2:23" s="704" customFormat="1" outlineLevel="3">
      <c r="B29" s="387" t="s">
        <v>14</v>
      </c>
      <c r="C29" s="387" t="s">
        <v>29</v>
      </c>
      <c r="D29" s="387" t="s">
        <v>17</v>
      </c>
      <c r="E29" s="387" t="s">
        <v>19</v>
      </c>
      <c r="F29" s="705" t="s">
        <v>1225</v>
      </c>
      <c r="G29" s="706">
        <v>0.05</v>
      </c>
      <c r="H29" s="707">
        <v>1</v>
      </c>
      <c r="I29" s="626"/>
      <c r="J29" s="751"/>
      <c r="K29" s="416"/>
      <c r="L29" s="387" t="s">
        <v>19</v>
      </c>
      <c r="M29" s="387" t="s">
        <v>1198</v>
      </c>
      <c r="N29" s="387" t="s">
        <v>1199</v>
      </c>
      <c r="O29" s="387"/>
      <c r="P29" s="387"/>
      <c r="Q29" s="387"/>
      <c r="R29" s="387"/>
      <c r="S29" s="416"/>
      <c r="T29" s="751"/>
      <c r="U29" s="416"/>
      <c r="V29" s="609">
        <f t="shared" si="1"/>
        <v>0</v>
      </c>
      <c r="W29" s="707"/>
    </row>
    <row r="30" spans="2:23" s="711" customFormat="1" outlineLevel="1">
      <c r="B30" s="666" t="s">
        <v>74</v>
      </c>
      <c r="C30" s="666" t="s">
        <v>75</v>
      </c>
      <c r="D30" s="666"/>
      <c r="E30" s="666"/>
      <c r="F30" s="681" t="s">
        <v>262</v>
      </c>
      <c r="G30" s="708">
        <f>SUBTOTAL(9,G31:G39)</f>
        <v>3.3658999999999999</v>
      </c>
      <c r="H30" s="709">
        <f>SUBTOTAL(9,H31:H39)</f>
        <v>8</v>
      </c>
      <c r="I30" s="710"/>
      <c r="J30" s="755"/>
      <c r="L30" s="666"/>
      <c r="M30" s="666"/>
      <c r="N30" s="666"/>
      <c r="O30" s="666"/>
      <c r="P30" s="666"/>
      <c r="Q30" s="666"/>
      <c r="R30" s="666"/>
      <c r="T30" s="755"/>
      <c r="V30" s="708">
        <f>SUBTOTAL(9,V31:V39)</f>
        <v>0</v>
      </c>
      <c r="W30" s="709">
        <f>SUBTOTAL(9,W31:W39)</f>
        <v>0</v>
      </c>
    </row>
    <row r="31" spans="2:23" outlineLevel="2">
      <c r="B31" s="684" t="s">
        <v>74</v>
      </c>
      <c r="C31" s="684" t="s">
        <v>75</v>
      </c>
      <c r="D31" s="684" t="s">
        <v>17</v>
      </c>
      <c r="E31" s="684"/>
      <c r="F31" s="712" t="s">
        <v>77</v>
      </c>
      <c r="G31" s="713">
        <f>SUBTOTAL(9,G32:G39)</f>
        <v>3.3658999999999999</v>
      </c>
      <c r="H31" s="714">
        <f>SUBTOTAL(9,H32:H39)</f>
        <v>8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SUBTOTAL(9,V32:V39)</f>
        <v>0</v>
      </c>
      <c r="W31" s="714">
        <f>SUBTOTAL(9,W32:W39)</f>
        <v>0</v>
      </c>
    </row>
    <row r="32" spans="2:23" outlineLevel="3">
      <c r="B32" s="376" t="s">
        <v>74</v>
      </c>
      <c r="C32" s="376" t="s">
        <v>75</v>
      </c>
      <c r="D32" s="376" t="s">
        <v>17</v>
      </c>
      <c r="E32" s="376" t="s">
        <v>19</v>
      </c>
      <c r="F32" s="623" t="s">
        <v>1257</v>
      </c>
      <c r="G32" s="720">
        <v>0.17</v>
      </c>
      <c r="H32" s="700">
        <v>1</v>
      </c>
      <c r="I32" s="626"/>
      <c r="J32" s="751"/>
      <c r="L32" s="376" t="s">
        <v>19</v>
      </c>
      <c r="M32" s="376" t="s">
        <v>1258</v>
      </c>
      <c r="N32" s="376" t="s">
        <v>1259</v>
      </c>
      <c r="O32" s="376"/>
      <c r="P32" s="376"/>
      <c r="Q32" s="376"/>
      <c r="R32" s="376"/>
      <c r="T32" s="751"/>
      <c r="V32" s="609">
        <f t="shared" ref="V32:V39" si="2">IF(W32=1,G32,0)</f>
        <v>0</v>
      </c>
      <c r="W32" s="700"/>
    </row>
    <row r="33" spans="2:23" ht="26.4" outlineLevel="3">
      <c r="B33" s="376" t="s">
        <v>74</v>
      </c>
      <c r="C33" s="376" t="s">
        <v>75</v>
      </c>
      <c r="D33" s="376" t="s">
        <v>17</v>
      </c>
      <c r="E33" s="376" t="s">
        <v>19</v>
      </c>
      <c r="F33" s="623" t="s">
        <v>1260</v>
      </c>
      <c r="G33" s="720">
        <v>0.17</v>
      </c>
      <c r="H33" s="700">
        <v>1</v>
      </c>
      <c r="I33" s="626"/>
      <c r="J33" s="751"/>
      <c r="L33" s="376" t="s">
        <v>19</v>
      </c>
      <c r="M33" s="376" t="s">
        <v>1258</v>
      </c>
      <c r="N33" s="376" t="s">
        <v>1259</v>
      </c>
      <c r="O33" s="376"/>
      <c r="P33" s="376"/>
      <c r="Q33" s="376"/>
      <c r="R33" s="376"/>
      <c r="T33" s="751"/>
      <c r="V33" s="609">
        <f t="shared" si="2"/>
        <v>0</v>
      </c>
      <c r="W33" s="700"/>
    </row>
    <row r="34" spans="2:23" outlineLevel="3">
      <c r="B34" s="376" t="s">
        <v>74</v>
      </c>
      <c r="C34" s="376" t="s">
        <v>75</v>
      </c>
      <c r="D34" s="376" t="s">
        <v>17</v>
      </c>
      <c r="E34" s="376" t="s">
        <v>19</v>
      </c>
      <c r="F34" s="623" t="s">
        <v>1261</v>
      </c>
      <c r="G34" s="720">
        <v>1.18</v>
      </c>
      <c r="H34" s="700">
        <v>1</v>
      </c>
      <c r="I34" s="626"/>
      <c r="J34" s="751"/>
      <c r="L34" s="376" t="s">
        <v>19</v>
      </c>
      <c r="M34" s="376" t="s">
        <v>1262</v>
      </c>
      <c r="N34" s="376"/>
      <c r="O34" s="376"/>
      <c r="P34" s="376"/>
      <c r="Q34" s="376"/>
      <c r="R34" s="376"/>
      <c r="T34" s="751"/>
      <c r="V34" s="609">
        <f t="shared" si="2"/>
        <v>0</v>
      </c>
      <c r="W34" s="700"/>
    </row>
    <row r="35" spans="2:23" outlineLevel="3">
      <c r="B35" s="376" t="s">
        <v>74</v>
      </c>
      <c r="C35" s="376" t="s">
        <v>75</v>
      </c>
      <c r="D35" s="376" t="s">
        <v>17</v>
      </c>
      <c r="E35" s="376" t="s">
        <v>19</v>
      </c>
      <c r="F35" s="623" t="s">
        <v>1263</v>
      </c>
      <c r="G35" s="720">
        <f>10659000/10^7</f>
        <v>1.0659000000000001</v>
      </c>
      <c r="H35" s="700">
        <v>1</v>
      </c>
      <c r="I35" s="626"/>
      <c r="J35" s="751"/>
      <c r="L35" s="376" t="s">
        <v>19</v>
      </c>
      <c r="M35" s="376" t="s">
        <v>1243</v>
      </c>
      <c r="N35" s="376" t="s">
        <v>1264</v>
      </c>
      <c r="O35" s="376"/>
      <c r="P35" s="376"/>
      <c r="Q35" s="376"/>
      <c r="R35" s="376"/>
      <c r="T35" s="751"/>
      <c r="V35" s="609">
        <f t="shared" si="2"/>
        <v>0</v>
      </c>
      <c r="W35" s="700"/>
    </row>
    <row r="36" spans="2:23" outlineLevel="3">
      <c r="B36" s="376" t="s">
        <v>74</v>
      </c>
      <c r="C36" s="376" t="s">
        <v>75</v>
      </c>
      <c r="D36" s="376" t="s">
        <v>17</v>
      </c>
      <c r="E36" s="376" t="s">
        <v>19</v>
      </c>
      <c r="F36" s="623" t="s">
        <v>1265</v>
      </c>
      <c r="G36" s="720">
        <v>0.45</v>
      </c>
      <c r="H36" s="700">
        <v>1</v>
      </c>
      <c r="I36" s="626"/>
      <c r="J36" s="751"/>
      <c r="L36" s="376" t="s">
        <v>19</v>
      </c>
      <c r="M36" s="376" t="s">
        <v>1266</v>
      </c>
      <c r="N36" s="376"/>
      <c r="O36" s="376"/>
      <c r="P36" s="376"/>
      <c r="Q36" s="376"/>
      <c r="R36" s="376"/>
      <c r="T36" s="751"/>
      <c r="V36" s="609">
        <f t="shared" si="2"/>
        <v>0</v>
      </c>
      <c r="W36" s="700"/>
    </row>
    <row r="37" spans="2:23" outlineLevel="3">
      <c r="B37" s="376" t="s">
        <v>74</v>
      </c>
      <c r="C37" s="376" t="s">
        <v>75</v>
      </c>
      <c r="D37" s="376" t="s">
        <v>17</v>
      </c>
      <c r="E37" s="376" t="s">
        <v>19</v>
      </c>
      <c r="F37" s="623" t="s">
        <v>1267</v>
      </c>
      <c r="G37" s="720">
        <v>0.15</v>
      </c>
      <c r="H37" s="700">
        <v>1</v>
      </c>
      <c r="I37" s="626"/>
      <c r="J37" s="751"/>
      <c r="L37" s="376" t="s">
        <v>19</v>
      </c>
      <c r="M37" s="376" t="s">
        <v>1266</v>
      </c>
      <c r="N37" s="376"/>
      <c r="O37" s="376"/>
      <c r="P37" s="376"/>
      <c r="Q37" s="376"/>
      <c r="R37" s="376"/>
      <c r="T37" s="751"/>
      <c r="V37" s="609">
        <f t="shared" si="2"/>
        <v>0</v>
      </c>
      <c r="W37" s="700"/>
    </row>
    <row r="38" spans="2:23" outlineLevel="3">
      <c r="B38" s="376" t="s">
        <v>74</v>
      </c>
      <c r="C38" s="376" t="s">
        <v>75</v>
      </c>
      <c r="D38" s="376" t="s">
        <v>17</v>
      </c>
      <c r="E38" s="376" t="s">
        <v>19</v>
      </c>
      <c r="F38" s="623" t="s">
        <v>1268</v>
      </c>
      <c r="G38" s="720">
        <v>0.15</v>
      </c>
      <c r="H38" s="700">
        <v>1</v>
      </c>
      <c r="I38" s="626"/>
      <c r="J38" s="751"/>
      <c r="L38" s="376" t="s">
        <v>19</v>
      </c>
      <c r="M38" s="376" t="s">
        <v>1266</v>
      </c>
      <c r="N38" s="376"/>
      <c r="O38" s="376"/>
      <c r="P38" s="376"/>
      <c r="Q38" s="376"/>
      <c r="R38" s="376"/>
      <c r="T38" s="751"/>
      <c r="V38" s="609">
        <f t="shared" si="2"/>
        <v>0</v>
      </c>
      <c r="W38" s="700"/>
    </row>
    <row r="39" spans="2:23" outlineLevel="3">
      <c r="B39" s="387" t="s">
        <v>74</v>
      </c>
      <c r="C39" s="387" t="s">
        <v>75</v>
      </c>
      <c r="D39" s="387" t="s">
        <v>17</v>
      </c>
      <c r="E39" s="387" t="s">
        <v>19</v>
      </c>
      <c r="F39" s="705" t="s">
        <v>1269</v>
      </c>
      <c r="G39" s="721">
        <v>0.03</v>
      </c>
      <c r="H39" s="722">
        <v>1</v>
      </c>
      <c r="I39" s="626"/>
      <c r="J39" s="751"/>
      <c r="L39" s="387" t="s">
        <v>19</v>
      </c>
      <c r="M39" s="387" t="s">
        <v>1266</v>
      </c>
      <c r="N39" s="387" t="s">
        <v>1270</v>
      </c>
      <c r="O39" s="387"/>
      <c r="P39" s="387"/>
      <c r="Q39" s="387"/>
      <c r="R39" s="387"/>
      <c r="T39" s="751"/>
      <c r="V39" s="609">
        <f t="shared" si="2"/>
        <v>0</v>
      </c>
      <c r="W39" s="722"/>
    </row>
    <row r="40" spans="2:23" s="612" customFormat="1" outlineLevel="1">
      <c r="B40" s="666" t="s">
        <v>91</v>
      </c>
      <c r="C40" s="666" t="s">
        <v>92</v>
      </c>
      <c r="D40" s="666"/>
      <c r="E40" s="666"/>
      <c r="F40" s="681" t="s">
        <v>262</v>
      </c>
      <c r="G40" s="724">
        <f>SUBTOTAL(9,G41:G58)</f>
        <v>5.9438499999999976</v>
      </c>
      <c r="H40" s="725">
        <f>SUBTOTAL(9,H41:H58)</f>
        <v>17</v>
      </c>
      <c r="I40" s="627"/>
      <c r="J40" s="753"/>
      <c r="L40" s="666"/>
      <c r="M40" s="666"/>
      <c r="N40" s="666"/>
      <c r="O40" s="666"/>
      <c r="P40" s="666"/>
      <c r="Q40" s="666"/>
      <c r="R40" s="666"/>
      <c r="T40" s="753"/>
      <c r="V40" s="724">
        <f>SUBTOTAL(9,V41:V58)</f>
        <v>0</v>
      </c>
      <c r="W40" s="725">
        <f>SUBTOTAL(9,W41:W58)</f>
        <v>0</v>
      </c>
    </row>
    <row r="41" spans="2:23" outlineLevel="2">
      <c r="B41" s="684" t="s">
        <v>91</v>
      </c>
      <c r="C41" s="684" t="s">
        <v>92</v>
      </c>
      <c r="D41" s="684" t="s">
        <v>17</v>
      </c>
      <c r="E41" s="687"/>
      <c r="F41" s="685" t="s">
        <v>112</v>
      </c>
      <c r="G41" s="713">
        <f>SUBTOTAL(9,G42:G58)</f>
        <v>5.9438499999999976</v>
      </c>
      <c r="H41" s="714">
        <f>SUBTOTAL(9,H42:H58)</f>
        <v>17</v>
      </c>
      <c r="I41" s="626"/>
      <c r="J41" s="751"/>
      <c r="L41" s="687"/>
      <c r="M41" s="687"/>
      <c r="N41" s="687"/>
      <c r="O41" s="687"/>
      <c r="P41" s="687"/>
      <c r="Q41" s="687"/>
      <c r="R41" s="687"/>
      <c r="T41" s="751"/>
      <c r="V41" s="713">
        <f>SUBTOTAL(9,V42:V58)</f>
        <v>0</v>
      </c>
      <c r="W41" s="714">
        <f>SUBTOTAL(9,W42:W58)</f>
        <v>0</v>
      </c>
    </row>
    <row r="42" spans="2:23" outlineLevel="3">
      <c r="B42" s="376" t="s">
        <v>91</v>
      </c>
      <c r="C42" s="376" t="s">
        <v>92</v>
      </c>
      <c r="D42" s="376" t="s">
        <v>17</v>
      </c>
      <c r="E42" s="387" t="s">
        <v>19</v>
      </c>
      <c r="F42" s="623" t="s">
        <v>1283</v>
      </c>
      <c r="G42" s="695">
        <v>0.2</v>
      </c>
      <c r="H42" s="700">
        <v>1</v>
      </c>
      <c r="I42" s="626"/>
      <c r="J42" s="751"/>
      <c r="L42" s="387" t="s">
        <v>19</v>
      </c>
      <c r="M42" s="387" t="s">
        <v>1284</v>
      </c>
      <c r="N42" s="387" t="s">
        <v>1285</v>
      </c>
      <c r="O42" s="387"/>
      <c r="P42" s="387"/>
      <c r="Q42" s="387"/>
      <c r="R42" s="387"/>
      <c r="T42" s="751"/>
      <c r="V42" s="609">
        <f t="shared" ref="V42:V58" si="3">IF(W42=1,G42,0)</f>
        <v>0</v>
      </c>
      <c r="W42" s="700"/>
    </row>
    <row r="43" spans="2:23" outlineLevel="3">
      <c r="B43" s="376" t="s">
        <v>91</v>
      </c>
      <c r="C43" s="376" t="s">
        <v>92</v>
      </c>
      <c r="D43" s="376" t="s">
        <v>17</v>
      </c>
      <c r="E43" s="387" t="s">
        <v>19</v>
      </c>
      <c r="F43" s="623" t="s">
        <v>1286</v>
      </c>
      <c r="G43" s="695">
        <v>0.41</v>
      </c>
      <c r="H43" s="700">
        <v>1</v>
      </c>
      <c r="I43" s="626"/>
      <c r="J43" s="751"/>
      <c r="L43" s="387" t="s">
        <v>19</v>
      </c>
      <c r="M43" s="387" t="s">
        <v>1284</v>
      </c>
      <c r="N43" s="387" t="s">
        <v>1285</v>
      </c>
      <c r="O43" s="387"/>
      <c r="P43" s="387"/>
      <c r="Q43" s="387"/>
      <c r="R43" s="387"/>
      <c r="T43" s="751"/>
      <c r="V43" s="609">
        <f t="shared" si="3"/>
        <v>0</v>
      </c>
      <c r="W43" s="700"/>
    </row>
    <row r="44" spans="2:23" outlineLevel="3">
      <c r="B44" s="376" t="s">
        <v>91</v>
      </c>
      <c r="C44" s="376" t="s">
        <v>92</v>
      </c>
      <c r="D44" s="376" t="s">
        <v>17</v>
      </c>
      <c r="E44" s="387" t="s">
        <v>19</v>
      </c>
      <c r="F44" s="623" t="s">
        <v>1287</v>
      </c>
      <c r="G44" s="695">
        <v>0.61</v>
      </c>
      <c r="H44" s="700">
        <v>1</v>
      </c>
      <c r="I44" s="626"/>
      <c r="J44" s="751"/>
      <c r="L44" s="387" t="s">
        <v>19</v>
      </c>
      <c r="M44" s="387" t="s">
        <v>1284</v>
      </c>
      <c r="N44" s="387" t="s">
        <v>1285</v>
      </c>
      <c r="O44" s="387"/>
      <c r="P44" s="387"/>
      <c r="Q44" s="387"/>
      <c r="R44" s="387"/>
      <c r="T44" s="751"/>
      <c r="V44" s="609">
        <f t="shared" si="3"/>
        <v>0</v>
      </c>
      <c r="W44" s="700"/>
    </row>
    <row r="45" spans="2:23" outlineLevel="3">
      <c r="B45" s="376" t="s">
        <v>91</v>
      </c>
      <c r="C45" s="376" t="s">
        <v>92</v>
      </c>
      <c r="D45" s="376" t="s">
        <v>17</v>
      </c>
      <c r="E45" s="387" t="s">
        <v>19</v>
      </c>
      <c r="F45" s="623" t="s">
        <v>1288</v>
      </c>
      <c r="G45" s="695">
        <v>0.82</v>
      </c>
      <c r="H45" s="700">
        <v>1</v>
      </c>
      <c r="I45" s="626"/>
      <c r="J45" s="751"/>
      <c r="L45" s="387" t="s">
        <v>19</v>
      </c>
      <c r="M45" s="387" t="s">
        <v>1284</v>
      </c>
      <c r="N45" s="387" t="s">
        <v>1285</v>
      </c>
      <c r="O45" s="387"/>
      <c r="P45" s="387"/>
      <c r="Q45" s="387"/>
      <c r="R45" s="387"/>
      <c r="T45" s="751"/>
      <c r="V45" s="609">
        <f t="shared" si="3"/>
        <v>0</v>
      </c>
      <c r="W45" s="700"/>
    </row>
    <row r="46" spans="2:23" outlineLevel="3">
      <c r="B46" s="376" t="s">
        <v>91</v>
      </c>
      <c r="C46" s="376" t="s">
        <v>92</v>
      </c>
      <c r="D46" s="376" t="s">
        <v>17</v>
      </c>
      <c r="E46" s="387" t="s">
        <v>19</v>
      </c>
      <c r="F46" s="623" t="s">
        <v>1289</v>
      </c>
      <c r="G46" s="695">
        <v>0.48</v>
      </c>
      <c r="H46" s="700">
        <v>1</v>
      </c>
      <c r="I46" s="626"/>
      <c r="J46" s="751"/>
      <c r="L46" s="387" t="s">
        <v>19</v>
      </c>
      <c r="M46" s="387" t="s">
        <v>1285</v>
      </c>
      <c r="N46" s="387" t="s">
        <v>1290</v>
      </c>
      <c r="O46" s="387"/>
      <c r="P46" s="387"/>
      <c r="Q46" s="387"/>
      <c r="R46" s="387"/>
      <c r="T46" s="751"/>
      <c r="V46" s="609">
        <f t="shared" si="3"/>
        <v>0</v>
      </c>
      <c r="W46" s="700"/>
    </row>
    <row r="47" spans="2:23" ht="26.4" outlineLevel="3">
      <c r="B47" s="376" t="s">
        <v>91</v>
      </c>
      <c r="C47" s="376" t="s">
        <v>92</v>
      </c>
      <c r="D47" s="376" t="s">
        <v>17</v>
      </c>
      <c r="E47" s="387" t="s">
        <v>19</v>
      </c>
      <c r="F47" s="623" t="s">
        <v>1291</v>
      </c>
      <c r="G47" s="695">
        <v>0.9638500000000001</v>
      </c>
      <c r="H47" s="700">
        <v>1</v>
      </c>
      <c r="I47" s="626"/>
      <c r="J47" s="751"/>
      <c r="L47" s="387" t="s">
        <v>19</v>
      </c>
      <c r="M47" s="387" t="s">
        <v>1285</v>
      </c>
      <c r="N47" s="387" t="s">
        <v>1290</v>
      </c>
      <c r="O47" s="387"/>
      <c r="P47" s="387"/>
      <c r="Q47" s="387"/>
      <c r="R47" s="387"/>
      <c r="T47" s="751"/>
      <c r="V47" s="609">
        <f t="shared" si="3"/>
        <v>0</v>
      </c>
      <c r="W47" s="700"/>
    </row>
    <row r="48" spans="2:23" outlineLevel="3">
      <c r="B48" s="376" t="s">
        <v>91</v>
      </c>
      <c r="C48" s="376" t="s">
        <v>92</v>
      </c>
      <c r="D48" s="376" t="s">
        <v>17</v>
      </c>
      <c r="E48" s="387" t="s">
        <v>19</v>
      </c>
      <c r="F48" s="623" t="s">
        <v>1684</v>
      </c>
      <c r="G48" s="695">
        <v>0.52</v>
      </c>
      <c r="H48" s="700">
        <v>1</v>
      </c>
      <c r="I48" s="626"/>
      <c r="J48" s="751"/>
      <c r="L48" s="387" t="s">
        <v>19</v>
      </c>
      <c r="M48" s="387" t="s">
        <v>1290</v>
      </c>
      <c r="N48" s="387" t="s">
        <v>1293</v>
      </c>
      <c r="O48" s="387"/>
      <c r="P48" s="387"/>
      <c r="Q48" s="387"/>
      <c r="R48" s="387"/>
      <c r="T48" s="751"/>
      <c r="V48" s="609">
        <f t="shared" si="3"/>
        <v>0</v>
      </c>
      <c r="W48" s="700"/>
    </row>
    <row r="49" spans="2:23" outlineLevel="3">
      <c r="B49" s="376" t="s">
        <v>91</v>
      </c>
      <c r="C49" s="376" t="s">
        <v>92</v>
      </c>
      <c r="D49" s="376" t="s">
        <v>17</v>
      </c>
      <c r="E49" s="387" t="s">
        <v>19</v>
      </c>
      <c r="F49" s="623" t="s">
        <v>1596</v>
      </c>
      <c r="G49" s="695">
        <v>0.52</v>
      </c>
      <c r="H49" s="700">
        <v>1</v>
      </c>
      <c r="I49" s="626"/>
      <c r="J49" s="751"/>
      <c r="L49" s="387" t="s">
        <v>19</v>
      </c>
      <c r="M49" s="387" t="s">
        <v>1295</v>
      </c>
      <c r="O49" s="751"/>
      <c r="Q49" s="609"/>
      <c r="R49" s="610"/>
      <c r="T49" s="751"/>
    </row>
    <row r="50" spans="2:23" outlineLevel="3">
      <c r="B50" s="376" t="s">
        <v>91</v>
      </c>
      <c r="C50" s="376" t="s">
        <v>92</v>
      </c>
      <c r="D50" s="376" t="s">
        <v>17</v>
      </c>
      <c r="E50" s="387" t="s">
        <v>19</v>
      </c>
      <c r="F50" s="623" t="s">
        <v>1294</v>
      </c>
      <c r="G50" s="695">
        <v>0.52</v>
      </c>
      <c r="H50" s="700">
        <v>1</v>
      </c>
      <c r="I50" s="626"/>
      <c r="J50" s="751"/>
      <c r="L50" s="387" t="s">
        <v>19</v>
      </c>
      <c r="M50" s="387" t="s">
        <v>1295</v>
      </c>
      <c r="N50" s="387" t="s">
        <v>1285</v>
      </c>
      <c r="O50" s="387"/>
      <c r="P50" s="387"/>
      <c r="Q50" s="387"/>
      <c r="R50" s="387"/>
      <c r="T50" s="751"/>
      <c r="V50" s="609">
        <f t="shared" si="3"/>
        <v>0</v>
      </c>
      <c r="W50" s="700"/>
    </row>
    <row r="51" spans="2:23" outlineLevel="3">
      <c r="B51" s="376" t="s">
        <v>91</v>
      </c>
      <c r="C51" s="376" t="s">
        <v>92</v>
      </c>
      <c r="D51" s="376" t="s">
        <v>17</v>
      </c>
      <c r="E51" s="387" t="s">
        <v>19</v>
      </c>
      <c r="F51" s="623" t="s">
        <v>1296</v>
      </c>
      <c r="G51" s="695">
        <v>0.52</v>
      </c>
      <c r="H51" s="700">
        <v>1</v>
      </c>
      <c r="I51" s="626"/>
      <c r="J51" s="751"/>
      <c r="L51" s="387" t="s">
        <v>19</v>
      </c>
      <c r="M51" s="387" t="s">
        <v>1285</v>
      </c>
      <c r="N51" s="387" t="s">
        <v>1295</v>
      </c>
      <c r="O51" s="387"/>
      <c r="P51" s="387"/>
      <c r="Q51" s="387"/>
      <c r="R51" s="387"/>
      <c r="T51" s="751"/>
      <c r="V51" s="609">
        <f t="shared" si="3"/>
        <v>0</v>
      </c>
      <c r="W51" s="700"/>
    </row>
    <row r="52" spans="2:23" outlineLevel="3">
      <c r="B52" s="376" t="s">
        <v>91</v>
      </c>
      <c r="C52" s="376" t="s">
        <v>92</v>
      </c>
      <c r="D52" s="376" t="s">
        <v>17</v>
      </c>
      <c r="E52" s="387" t="s">
        <v>19</v>
      </c>
      <c r="F52" s="623" t="s">
        <v>1297</v>
      </c>
      <c r="G52" s="695">
        <v>0.17</v>
      </c>
      <c r="H52" s="700">
        <v>1</v>
      </c>
      <c r="I52" s="626"/>
      <c r="J52" s="751"/>
      <c r="L52" s="387" t="s">
        <v>19</v>
      </c>
      <c r="M52" s="387" t="s">
        <v>1284</v>
      </c>
      <c r="N52" s="387" t="s">
        <v>1285</v>
      </c>
      <c r="O52" s="387"/>
      <c r="P52" s="387"/>
      <c r="Q52" s="387"/>
      <c r="R52" s="387"/>
      <c r="T52" s="751"/>
      <c r="V52" s="609">
        <f t="shared" si="3"/>
        <v>0</v>
      </c>
      <c r="W52" s="700"/>
    </row>
    <row r="53" spans="2:23" outlineLevel="3">
      <c r="B53" s="376" t="s">
        <v>91</v>
      </c>
      <c r="C53" s="376" t="s">
        <v>92</v>
      </c>
      <c r="D53" s="376" t="s">
        <v>17</v>
      </c>
      <c r="E53" s="387" t="s">
        <v>19</v>
      </c>
      <c r="F53" s="623" t="s">
        <v>1301</v>
      </c>
      <c r="G53" s="695">
        <v>0.02</v>
      </c>
      <c r="H53" s="700">
        <v>1</v>
      </c>
      <c r="I53" s="626"/>
      <c r="J53" s="751"/>
      <c r="L53" s="387" t="s">
        <v>19</v>
      </c>
      <c r="M53" s="387" t="s">
        <v>1285</v>
      </c>
      <c r="N53" s="387" t="s">
        <v>1290</v>
      </c>
      <c r="O53" s="387"/>
      <c r="P53" s="387"/>
      <c r="Q53" s="387"/>
      <c r="R53" s="387"/>
      <c r="T53" s="751"/>
      <c r="V53" s="609">
        <f t="shared" si="3"/>
        <v>0</v>
      </c>
      <c r="W53" s="700"/>
    </row>
    <row r="54" spans="2:23" outlineLevel="3">
      <c r="B54" s="376" t="s">
        <v>91</v>
      </c>
      <c r="C54" s="376" t="s">
        <v>92</v>
      </c>
      <c r="D54" s="376" t="s">
        <v>17</v>
      </c>
      <c r="E54" s="387" t="s">
        <v>19</v>
      </c>
      <c r="F54" s="623" t="s">
        <v>1302</v>
      </c>
      <c r="G54" s="695">
        <v>0.03</v>
      </c>
      <c r="H54" s="700">
        <v>1</v>
      </c>
      <c r="I54" s="626"/>
      <c r="J54" s="751"/>
      <c r="L54" s="387" t="s">
        <v>19</v>
      </c>
      <c r="M54" s="387" t="s">
        <v>1284</v>
      </c>
      <c r="N54" s="387" t="s">
        <v>1285</v>
      </c>
      <c r="O54" s="387"/>
      <c r="P54" s="387"/>
      <c r="Q54" s="387"/>
      <c r="R54" s="387"/>
      <c r="T54" s="751"/>
      <c r="V54" s="609">
        <f t="shared" si="3"/>
        <v>0</v>
      </c>
      <c r="W54" s="700"/>
    </row>
    <row r="55" spans="2:23" outlineLevel="3">
      <c r="B55" s="376" t="s">
        <v>91</v>
      </c>
      <c r="C55" s="376" t="s">
        <v>92</v>
      </c>
      <c r="D55" s="376" t="s">
        <v>17</v>
      </c>
      <c r="E55" s="387" t="s">
        <v>19</v>
      </c>
      <c r="F55" s="623" t="s">
        <v>1275</v>
      </c>
      <c r="G55" s="695">
        <v>0.03</v>
      </c>
      <c r="H55" s="700">
        <v>1</v>
      </c>
      <c r="I55" s="626"/>
      <c r="J55" s="751"/>
      <c r="L55" s="387" t="s">
        <v>19</v>
      </c>
      <c r="M55" s="387" t="s">
        <v>1284</v>
      </c>
      <c r="N55" s="387" t="s">
        <v>1285</v>
      </c>
      <c r="O55" s="387"/>
      <c r="P55" s="387"/>
      <c r="Q55" s="387"/>
      <c r="R55" s="387"/>
      <c r="T55" s="751"/>
      <c r="V55" s="609">
        <f t="shared" si="3"/>
        <v>0</v>
      </c>
      <c r="W55" s="700"/>
    </row>
    <row r="56" spans="2:23" outlineLevel="3">
      <c r="B56" s="376" t="s">
        <v>91</v>
      </c>
      <c r="C56" s="376" t="s">
        <v>92</v>
      </c>
      <c r="D56" s="376" t="s">
        <v>17</v>
      </c>
      <c r="E56" s="387" t="s">
        <v>19</v>
      </c>
      <c r="F56" s="623" t="s">
        <v>1303</v>
      </c>
      <c r="G56" s="695">
        <v>1.4999999999999999E-2</v>
      </c>
      <c r="H56" s="700">
        <v>1</v>
      </c>
      <c r="I56" s="626"/>
      <c r="J56" s="751"/>
      <c r="L56" s="387" t="s">
        <v>19</v>
      </c>
      <c r="M56" s="387" t="s">
        <v>1284</v>
      </c>
      <c r="N56" s="387" t="s">
        <v>1285</v>
      </c>
      <c r="O56" s="387"/>
      <c r="P56" s="387"/>
      <c r="Q56" s="387"/>
      <c r="R56" s="387"/>
      <c r="T56" s="751"/>
      <c r="V56" s="609">
        <f t="shared" si="3"/>
        <v>0</v>
      </c>
      <c r="W56" s="700"/>
    </row>
    <row r="57" spans="2:23" outlineLevel="3">
      <c r="B57" s="376" t="s">
        <v>91</v>
      </c>
      <c r="C57" s="376" t="s">
        <v>92</v>
      </c>
      <c r="D57" s="376" t="s">
        <v>17</v>
      </c>
      <c r="E57" s="387" t="s">
        <v>19</v>
      </c>
      <c r="F57" s="623" t="s">
        <v>1304</v>
      </c>
      <c r="G57" s="695">
        <v>1.4999999999999999E-2</v>
      </c>
      <c r="H57" s="700">
        <v>1</v>
      </c>
      <c r="I57" s="626"/>
      <c r="J57" s="751"/>
      <c r="L57" s="387" t="s">
        <v>19</v>
      </c>
      <c r="M57" s="387" t="s">
        <v>1284</v>
      </c>
      <c r="N57" s="387" t="s">
        <v>1285</v>
      </c>
      <c r="O57" s="387"/>
      <c r="P57" s="387"/>
      <c r="Q57" s="387"/>
      <c r="R57" s="387"/>
      <c r="T57" s="751"/>
      <c r="V57" s="609">
        <f t="shared" si="3"/>
        <v>0</v>
      </c>
      <c r="W57" s="700"/>
    </row>
    <row r="58" spans="2:23" outlineLevel="3">
      <c r="B58" s="376" t="s">
        <v>91</v>
      </c>
      <c r="C58" s="376" t="s">
        <v>92</v>
      </c>
      <c r="D58" s="376" t="s">
        <v>17</v>
      </c>
      <c r="E58" s="387" t="s">
        <v>19</v>
      </c>
      <c r="F58" s="623" t="s">
        <v>1271</v>
      </c>
      <c r="G58" s="695">
        <v>0.1</v>
      </c>
      <c r="H58" s="700">
        <v>1</v>
      </c>
      <c r="I58" s="626"/>
      <c r="J58" s="751"/>
      <c r="L58" s="387" t="s">
        <v>19</v>
      </c>
      <c r="M58" s="387" t="s">
        <v>1284</v>
      </c>
      <c r="N58" s="387" t="s">
        <v>1285</v>
      </c>
      <c r="O58" s="387"/>
      <c r="P58" s="387"/>
      <c r="Q58" s="387"/>
      <c r="R58" s="387"/>
      <c r="T58" s="751"/>
      <c r="V58" s="609">
        <f t="shared" si="3"/>
        <v>0</v>
      </c>
      <c r="W58" s="700"/>
    </row>
    <row r="59" spans="2:23" ht="3" customHeight="1" outlineLevel="1">
      <c r="B59" s="392"/>
      <c r="C59" s="376"/>
      <c r="D59" s="392"/>
      <c r="E59" s="392"/>
      <c r="F59" s="608"/>
      <c r="G59" s="695"/>
      <c r="H59" s="700"/>
      <c r="I59" s="626"/>
      <c r="J59" s="751"/>
      <c r="L59" s="392"/>
      <c r="M59" s="392"/>
      <c r="N59" s="392"/>
      <c r="O59" s="392"/>
      <c r="P59" s="392"/>
      <c r="Q59" s="392"/>
      <c r="R59" s="392"/>
      <c r="T59" s="751"/>
      <c r="V59" s="695"/>
      <c r="W59" s="700"/>
    </row>
    <row r="60" spans="2:23" ht="15">
      <c r="B60" s="430" t="s">
        <v>280</v>
      </c>
      <c r="C60" s="430"/>
      <c r="D60" s="430"/>
      <c r="E60" s="430"/>
      <c r="F60" s="697"/>
      <c r="G60" s="738">
        <f>SUBTOTAL(9,G62:G66)</f>
        <v>24.364999999999998</v>
      </c>
      <c r="H60" s="739">
        <f>SUBTOTAL(9,H62:H66)</f>
        <v>2</v>
      </c>
      <c r="I60" s="626"/>
      <c r="J60" s="751"/>
      <c r="L60" s="430"/>
      <c r="M60" s="430"/>
      <c r="N60" s="430"/>
      <c r="O60" s="430"/>
      <c r="P60" s="430"/>
      <c r="Q60" s="430"/>
      <c r="R60" s="430"/>
      <c r="T60" s="751"/>
      <c r="V60" s="738">
        <f>SUBTOTAL(9,V62:V66)</f>
        <v>0</v>
      </c>
      <c r="W60" s="739">
        <f>SUBTOTAL(9,W62:W66)</f>
        <v>0</v>
      </c>
    </row>
    <row r="61" spans="2:23" ht="3" customHeight="1" outlineLevel="1">
      <c r="B61" s="376"/>
      <c r="C61" s="376"/>
      <c r="D61" s="376"/>
      <c r="E61" s="376"/>
      <c r="F61" s="608"/>
      <c r="G61" s="609"/>
      <c r="H61" s="692"/>
      <c r="I61" s="626"/>
      <c r="J61" s="751"/>
      <c r="L61" s="376"/>
      <c r="M61" s="376"/>
      <c r="N61" s="376"/>
      <c r="O61" s="376"/>
      <c r="P61" s="376"/>
      <c r="Q61" s="376"/>
      <c r="R61" s="376"/>
      <c r="T61" s="751"/>
      <c r="V61" s="609"/>
      <c r="W61" s="692"/>
    </row>
    <row r="62" spans="2:23" outlineLevel="2">
      <c r="B62" s="684" t="s">
        <v>350</v>
      </c>
      <c r="C62" s="684" t="s">
        <v>350</v>
      </c>
      <c r="D62" s="684" t="s">
        <v>17</v>
      </c>
      <c r="E62" s="684"/>
      <c r="F62" s="685" t="s">
        <v>418</v>
      </c>
      <c r="G62" s="686">
        <f>SUBTOTAL(9,G63)</f>
        <v>5.9650000000000007</v>
      </c>
      <c r="H62" s="691">
        <f>SUBTOTAL(9,H63)</f>
        <v>1</v>
      </c>
      <c r="I62" s="626"/>
      <c r="J62" s="751"/>
      <c r="L62" s="684"/>
      <c r="M62" s="684"/>
      <c r="N62" s="684"/>
      <c r="O62" s="684"/>
      <c r="P62" s="684"/>
      <c r="Q62" s="684"/>
      <c r="R62" s="684"/>
      <c r="T62" s="751"/>
      <c r="V62" s="686">
        <f>SUBTOTAL(9,V63)</f>
        <v>0</v>
      </c>
      <c r="W62" s="691">
        <f>SUBTOTAL(9,W63)</f>
        <v>0</v>
      </c>
    </row>
    <row r="63" spans="2:23" outlineLevel="3">
      <c r="B63" s="376" t="s">
        <v>350</v>
      </c>
      <c r="C63" s="376" t="s">
        <v>350</v>
      </c>
      <c r="D63" s="376" t="s">
        <v>17</v>
      </c>
      <c r="E63" s="376" t="s">
        <v>19</v>
      </c>
      <c r="F63" s="608" t="s">
        <v>1539</v>
      </c>
      <c r="G63" s="609">
        <v>5.9650000000000007</v>
      </c>
      <c r="H63" s="692">
        <v>1</v>
      </c>
      <c r="I63" s="626"/>
      <c r="J63" s="751"/>
      <c r="L63" s="376" t="s">
        <v>19</v>
      </c>
      <c r="M63" s="376" t="s">
        <v>1540</v>
      </c>
      <c r="N63" s="376" t="s">
        <v>1243</v>
      </c>
      <c r="O63" s="376"/>
      <c r="P63" s="376"/>
      <c r="Q63" s="376"/>
      <c r="R63" s="376"/>
      <c r="T63" s="751"/>
      <c r="V63" s="609">
        <f t="shared" ref="V63" si="4">IF(W63=1,G63,0)</f>
        <v>0</v>
      </c>
      <c r="W63" s="692"/>
    </row>
    <row r="64" spans="2:23" s="748" customFormat="1" outlineLevel="1">
      <c r="B64" s="666" t="s">
        <v>378</v>
      </c>
      <c r="C64" s="666" t="s">
        <v>378</v>
      </c>
      <c r="D64" s="666"/>
      <c r="E64" s="666"/>
      <c r="F64" s="681" t="s">
        <v>262</v>
      </c>
      <c r="G64" s="724">
        <f>SUBTOTAL(9,G65:G66)</f>
        <v>18.399999999999999</v>
      </c>
      <c r="H64" s="725">
        <f>SUBTOTAL(9,H65:H66)</f>
        <v>1</v>
      </c>
      <c r="I64" s="740"/>
      <c r="J64" s="757"/>
      <c r="L64" s="666"/>
      <c r="M64" s="666"/>
      <c r="N64" s="666"/>
      <c r="O64" s="666"/>
      <c r="P64" s="666"/>
      <c r="Q64" s="666"/>
      <c r="R64" s="666"/>
      <c r="T64" s="757"/>
      <c r="V64" s="724">
        <f>SUBTOTAL(9,V65:V66)</f>
        <v>0</v>
      </c>
      <c r="W64" s="725">
        <f>SUBTOTAL(9,W65:W66)</f>
        <v>0</v>
      </c>
    </row>
    <row r="65" spans="2:23" s="748" customFormat="1" outlineLevel="2">
      <c r="B65" s="687" t="s">
        <v>378</v>
      </c>
      <c r="C65" s="687" t="s">
        <v>378</v>
      </c>
      <c r="D65" s="687" t="s">
        <v>17</v>
      </c>
      <c r="E65" s="687"/>
      <c r="F65" s="717" t="s">
        <v>418</v>
      </c>
      <c r="G65" s="742">
        <f>SUBTOTAL(9,G66)</f>
        <v>18.399999999999999</v>
      </c>
      <c r="H65" s="743">
        <f>SUBTOTAL(9,H66)</f>
        <v>1</v>
      </c>
      <c r="I65" s="740"/>
      <c r="J65" s="757"/>
      <c r="L65" s="687"/>
      <c r="M65" s="687"/>
      <c r="N65" s="687"/>
      <c r="O65" s="687"/>
      <c r="P65" s="687"/>
      <c r="Q65" s="687"/>
      <c r="R65" s="687"/>
      <c r="T65" s="757"/>
      <c r="V65" s="742">
        <f>SUBTOTAL(9,V66)</f>
        <v>0</v>
      </c>
      <c r="W65" s="743">
        <f>SUBTOTAL(9,W66)</f>
        <v>0</v>
      </c>
    </row>
    <row r="66" spans="2:23" s="748" customFormat="1" outlineLevel="3">
      <c r="B66" s="387" t="s">
        <v>378</v>
      </c>
      <c r="C66" s="387" t="s">
        <v>378</v>
      </c>
      <c r="D66" s="387" t="s">
        <v>17</v>
      </c>
      <c r="E66" s="387" t="s">
        <v>19</v>
      </c>
      <c r="F66" s="705" t="s">
        <v>418</v>
      </c>
      <c r="G66" s="706">
        <v>18.399999999999999</v>
      </c>
      <c r="H66" s="707">
        <v>1</v>
      </c>
      <c r="I66" s="740"/>
      <c r="J66" s="757"/>
      <c r="L66" s="387" t="s">
        <v>19</v>
      </c>
      <c r="M66" s="387" t="s">
        <v>1195</v>
      </c>
      <c r="N66" s="387"/>
      <c r="O66" s="387"/>
      <c r="P66" s="387"/>
      <c r="Q66" s="387"/>
      <c r="R66" s="387"/>
      <c r="T66" s="757"/>
      <c r="V66" s="609">
        <f t="shared" ref="V66" si="5">IF(W66=1,G66,0)</f>
        <v>0</v>
      </c>
      <c r="W66" s="707"/>
    </row>
    <row r="67" spans="2:23" ht="15">
      <c r="B67" s="430" t="s">
        <v>1633</v>
      </c>
      <c r="C67" s="430"/>
      <c r="D67" s="430"/>
      <c r="E67" s="430"/>
      <c r="F67" s="697"/>
      <c r="G67" s="738">
        <f>SUBTOTAL(9,G69:G336)</f>
        <v>2.2044079999999999</v>
      </c>
      <c r="H67" s="739">
        <f>SUBTOTAL(9,H69:H336)</f>
        <v>18</v>
      </c>
      <c r="I67" s="626"/>
      <c r="J67" s="751"/>
      <c r="L67" s="430"/>
      <c r="M67" s="430"/>
      <c r="N67" s="430"/>
      <c r="O67" s="430"/>
      <c r="P67" s="430"/>
      <c r="Q67" s="430"/>
      <c r="R67" s="430"/>
      <c r="T67" s="751"/>
      <c r="V67" s="738">
        <f>SUBTOTAL(9,V72:V336)</f>
        <v>0</v>
      </c>
      <c r="W67" s="739">
        <f>SUBTOTAL(9,W72:W336)</f>
        <v>0</v>
      </c>
    </row>
    <row r="68" spans="2:23" ht="3" customHeight="1" outlineLevel="1">
      <c r="B68" s="376"/>
      <c r="C68" s="376"/>
      <c r="D68" s="376"/>
      <c r="E68" s="376"/>
      <c r="F68" s="608"/>
      <c r="G68" s="609"/>
      <c r="H68" s="692"/>
      <c r="I68" s="626"/>
      <c r="J68" s="751"/>
      <c r="L68" s="376"/>
      <c r="M68" s="376"/>
      <c r="N68" s="376"/>
      <c r="O68" s="376"/>
      <c r="P68" s="376"/>
      <c r="Q68" s="376"/>
      <c r="R68" s="376"/>
      <c r="T68" s="751"/>
      <c r="V68" s="609"/>
      <c r="W68" s="692"/>
    </row>
    <row r="69" spans="2:23" outlineLevel="1">
      <c r="B69" s="666" t="s">
        <v>897</v>
      </c>
      <c r="C69" s="666" t="s">
        <v>1634</v>
      </c>
      <c r="D69" s="667"/>
      <c r="E69" s="665"/>
      <c r="F69" s="681" t="s">
        <v>262</v>
      </c>
      <c r="G69" s="725">
        <f>SUBTOTAL(9,G70:G71)</f>
        <v>2.2044079999999999</v>
      </c>
      <c r="H69" s="725">
        <f>SUBTOTAL(9,H70:H71)</f>
        <v>18</v>
      </c>
      <c r="I69" s="626"/>
      <c r="J69" s="751"/>
      <c r="L69" s="665"/>
      <c r="M69" s="665"/>
      <c r="N69" s="665"/>
      <c r="O69" s="665"/>
      <c r="P69" s="665"/>
      <c r="Q69" s="665"/>
      <c r="R69" s="665"/>
      <c r="T69" s="751"/>
      <c r="V69" s="724">
        <f>SUBTOTAL(9,V70:V71)</f>
        <v>0</v>
      </c>
      <c r="W69" s="725">
        <f>SUBTOTAL(9,W70:W71)</f>
        <v>0</v>
      </c>
    </row>
    <row r="70" spans="2:23" outlineLevel="2">
      <c r="B70" s="684" t="s">
        <v>1640</v>
      </c>
      <c r="C70" s="687" t="s">
        <v>1641</v>
      </c>
      <c r="D70" s="684" t="s">
        <v>897</v>
      </c>
      <c r="E70" s="684"/>
      <c r="F70" s="685"/>
      <c r="G70" s="686">
        <f>SUBTOTAL(9,G71:G71)</f>
        <v>2.2044079999999999</v>
      </c>
      <c r="H70" s="691">
        <f>SUBTOTAL(9,H71:H71)</f>
        <v>18</v>
      </c>
      <c r="I70" s="626"/>
      <c r="J70" s="751"/>
      <c r="L70" s="684"/>
      <c r="M70" s="684"/>
      <c r="N70" s="684"/>
      <c r="O70" s="684"/>
      <c r="P70" s="684"/>
      <c r="Q70" s="684"/>
      <c r="R70" s="684"/>
      <c r="T70" s="751"/>
      <c r="V70" s="686">
        <f>SUBTOTAL(9,V71:V71)</f>
        <v>0</v>
      </c>
      <c r="W70" s="691">
        <f>SUBTOTAL(9,W71:W71)</f>
        <v>0</v>
      </c>
    </row>
    <row r="71" spans="2:23" outlineLevel="3">
      <c r="B71" s="376" t="s">
        <v>1640</v>
      </c>
      <c r="C71" s="803" t="s">
        <v>1641</v>
      </c>
      <c r="D71" s="376" t="s">
        <v>897</v>
      </c>
      <c r="E71" s="376" t="s">
        <v>19</v>
      </c>
      <c r="F71" s="608" t="s">
        <v>1643</v>
      </c>
      <c r="G71" s="706">
        <v>2.2044079999999999</v>
      </c>
      <c r="H71" s="692">
        <v>18</v>
      </c>
      <c r="I71" s="626"/>
      <c r="J71" s="751"/>
      <c r="L71" s="376"/>
      <c r="M71" s="376"/>
      <c r="N71" s="376"/>
      <c r="O71" s="376"/>
      <c r="P71" s="376"/>
      <c r="Q71" s="376"/>
      <c r="R71" s="376"/>
      <c r="T71" s="751"/>
      <c r="V71" s="609">
        <f t="shared" ref="V71" si="6">IF(W71=1,G71,0)</f>
        <v>0</v>
      </c>
      <c r="W71" s="692"/>
    </row>
  </sheetData>
  <autoFilter ref="B4:W6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1B98-E2C4-4931-9DF2-D492C6576903}">
  <sheetPr>
    <outlinePr summaryBelow="0" summaryRight="0"/>
    <pageSetUpPr fitToPage="1"/>
  </sheetPr>
  <dimension ref="A2:AA91"/>
  <sheetViews>
    <sheetView zoomScale="90" zoomScaleNormal="90" workbookViewId="0">
      <pane xSplit="2" ySplit="4" topLeftCell="C86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4140625" defaultRowHeight="13.2" outlineLevelRow="3" outlineLevelCol="1"/>
  <cols>
    <col min="1" max="1" width="0.5546875" style="787" customWidth="1"/>
    <col min="2" max="2" width="22.6640625" style="787" customWidth="1"/>
    <col min="3" max="3" width="17.6640625" style="787" bestFit="1" customWidth="1"/>
    <col min="4" max="4" width="16.33203125" style="787" customWidth="1"/>
    <col min="5" max="5" width="14.44140625" style="787" customWidth="1"/>
    <col min="6" max="6" width="53.6640625" style="791" customWidth="1"/>
    <col min="7" max="7" width="13.33203125" style="787" bestFit="1" customWidth="1"/>
    <col min="8" max="8" width="9.5546875" style="787" customWidth="1" outlineLevel="1"/>
    <col min="9" max="11" width="0.5546875" style="787" customWidth="1"/>
    <col min="12" max="12" width="14.44140625" style="787" customWidth="1"/>
    <col min="13" max="13" width="14.44140625" style="787" customWidth="1" collapsed="1"/>
    <col min="14" max="18" width="14.44140625" style="787" hidden="1" customWidth="1" outlineLevel="1"/>
    <col min="19" max="21" width="0.5546875" style="787" customWidth="1"/>
    <col min="22" max="22" width="16.33203125" style="787" customWidth="1" collapsed="1"/>
    <col min="23" max="23" width="14.33203125" style="787" hidden="1" customWidth="1" outlineLevel="1"/>
    <col min="24" max="26" width="9.44140625" style="787" bestFit="1"/>
    <col min="27" max="27" width="9.44140625" style="787" bestFit="1" customWidth="1"/>
    <col min="28" max="16384" width="9.44140625" style="787"/>
  </cols>
  <sheetData>
    <row r="2" spans="1:27" ht="17.399999999999999">
      <c r="A2" s="376"/>
      <c r="B2" s="418" t="s">
        <v>1685</v>
      </c>
      <c r="C2" s="418"/>
      <c r="D2" s="418"/>
      <c r="E2" s="418"/>
      <c r="F2" s="423"/>
      <c r="G2" s="796">
        <f>SUBTOTAL(9,G6:G90)</f>
        <v>15.932359073197468</v>
      </c>
      <c r="H2" s="690">
        <f>SUBTOTAL(9,H6:H90)</f>
        <v>49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SUBTOTAL(9,V6:V90)</f>
        <v>0</v>
      </c>
      <c r="W2" s="764">
        <f>SUBTOTAL(9,W6:W90)</f>
        <v>0</v>
      </c>
      <c r="X2" s="610">
        <f>G2-V2</f>
        <v>15.932359073197468</v>
      </c>
      <c r="Y2" s="610">
        <f>H2-W2</f>
        <v>49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13</v>
      </c>
      <c r="C6" s="430"/>
      <c r="D6" s="430"/>
      <c r="E6" s="430"/>
      <c r="F6" s="697"/>
      <c r="G6" s="738">
        <f>SUBTOTAL(9,G8:G41)</f>
        <v>8.3869905467991117</v>
      </c>
      <c r="H6" s="739">
        <f>SUBTOTAL(9,H8:H41)</f>
        <v>24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SUBTOTAL(9,V8:V41)</f>
        <v>0</v>
      </c>
      <c r="W6" s="739">
        <f>SUBTOTAL(9,W8:W41)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173</v>
      </c>
      <c r="C8" s="665" t="s">
        <v>173</v>
      </c>
      <c r="D8" s="665"/>
      <c r="E8" s="665"/>
      <c r="F8" s="681" t="s">
        <v>262</v>
      </c>
      <c r="G8" s="797">
        <f>SUBTOTAL(9,G9:G13)</f>
        <v>1.547754763030085</v>
      </c>
      <c r="H8" s="798">
        <f>SUBTOTAL(9,H9:H13)</f>
        <v>4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SUBTOTAL(9,V9:V13)</f>
        <v>0</v>
      </c>
      <c r="W8" s="798">
        <f>SUBTOTAL(9,W9:W13)</f>
        <v>0</v>
      </c>
      <c r="X8" s="416"/>
      <c r="Y8" s="416"/>
      <c r="Z8" s="416"/>
      <c r="AA8" s="416"/>
    </row>
    <row r="9" spans="1:27" ht="26.4" outlineLevel="2">
      <c r="A9" s="376"/>
      <c r="B9" s="684" t="s">
        <v>173</v>
      </c>
      <c r="C9" s="684" t="s">
        <v>173</v>
      </c>
      <c r="D9" s="684" t="s">
        <v>17</v>
      </c>
      <c r="E9" s="684"/>
      <c r="F9" s="685" t="s">
        <v>1384</v>
      </c>
      <c r="G9" s="686">
        <f>SUBTOTAL(9,G10:G13)</f>
        <v>1.547754763030085</v>
      </c>
      <c r="H9" s="691">
        <f>SUBTOTAL(9,H10:H13)</f>
        <v>4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SUBTOTAL(9,V10:V13)</f>
        <v>0</v>
      </c>
      <c r="W9" s="691">
        <f>SUBTOTAL(9,W10:W13)</f>
        <v>0</v>
      </c>
      <c r="X9" s="416"/>
      <c r="Y9" s="416"/>
      <c r="Z9" s="416"/>
      <c r="AA9" s="416"/>
    </row>
    <row r="10" spans="1:27" outlineLevel="3">
      <c r="A10" s="376"/>
      <c r="B10" s="376" t="s">
        <v>173</v>
      </c>
      <c r="C10" s="376" t="s">
        <v>173</v>
      </c>
      <c r="D10" s="376" t="s">
        <v>17</v>
      </c>
      <c r="E10" s="376" t="s">
        <v>177</v>
      </c>
      <c r="F10" s="608" t="s">
        <v>195</v>
      </c>
      <c r="G10" s="609">
        <v>0.61910190521203401</v>
      </c>
      <c r="H10" s="692">
        <v>1</v>
      </c>
      <c r="I10" s="626"/>
      <c r="J10" s="751"/>
      <c r="K10" s="416"/>
      <c r="L10" s="376" t="s">
        <v>177</v>
      </c>
      <c r="M10" s="376" t="s">
        <v>1385</v>
      </c>
      <c r="N10" s="376" t="s">
        <v>1386</v>
      </c>
      <c r="O10" s="376" t="s">
        <v>1387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173</v>
      </c>
      <c r="C11" s="376" t="s">
        <v>173</v>
      </c>
      <c r="D11" s="376" t="s">
        <v>17</v>
      </c>
      <c r="E11" s="376" t="s">
        <v>177</v>
      </c>
      <c r="F11" s="608" t="s">
        <v>188</v>
      </c>
      <c r="G11" s="609">
        <v>0.61910190521203401</v>
      </c>
      <c r="H11" s="692">
        <v>1</v>
      </c>
      <c r="I11" s="626"/>
      <c r="J11" s="751"/>
      <c r="K11" s="416"/>
      <c r="L11" s="376" t="s">
        <v>177</v>
      </c>
      <c r="M11" s="376" t="s">
        <v>1385</v>
      </c>
      <c r="N11" s="376" t="s">
        <v>1386</v>
      </c>
      <c r="O11" s="376" t="s">
        <v>1387</v>
      </c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173</v>
      </c>
      <c r="C12" s="376" t="s">
        <v>173</v>
      </c>
      <c r="D12" s="376" t="s">
        <v>17</v>
      </c>
      <c r="E12" s="376" t="s">
        <v>177</v>
      </c>
      <c r="F12" s="608" t="s">
        <v>189</v>
      </c>
      <c r="G12" s="609">
        <v>0.1547754763030085</v>
      </c>
      <c r="H12" s="692">
        <v>1</v>
      </c>
      <c r="I12" s="626"/>
      <c r="J12" s="751"/>
      <c r="K12" s="416"/>
      <c r="L12" s="376" t="s">
        <v>177</v>
      </c>
      <c r="M12" s="376" t="s">
        <v>1385</v>
      </c>
      <c r="N12" s="376" t="s">
        <v>1386</v>
      </c>
      <c r="O12" s="376" t="s">
        <v>1387</v>
      </c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173</v>
      </c>
      <c r="C13" s="376" t="s">
        <v>173</v>
      </c>
      <c r="D13" s="376" t="s">
        <v>17</v>
      </c>
      <c r="E13" s="376" t="s">
        <v>177</v>
      </c>
      <c r="F13" s="608" t="s">
        <v>107</v>
      </c>
      <c r="G13" s="609">
        <v>0.1547754763030085</v>
      </c>
      <c r="H13" s="692">
        <v>1</v>
      </c>
      <c r="I13" s="416"/>
      <c r="J13" s="751"/>
      <c r="K13" s="416"/>
      <c r="L13" s="376" t="s">
        <v>177</v>
      </c>
      <c r="M13" s="376" t="s">
        <v>1385</v>
      </c>
      <c r="N13" s="376" t="s">
        <v>1386</v>
      </c>
      <c r="O13" s="376" t="s">
        <v>1387</v>
      </c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1">
      <c r="A14" s="376"/>
      <c r="B14" s="666" t="s">
        <v>182</v>
      </c>
      <c r="C14" s="666" t="s">
        <v>182</v>
      </c>
      <c r="D14" s="666"/>
      <c r="E14" s="666"/>
      <c r="F14" s="681" t="s">
        <v>262</v>
      </c>
      <c r="G14" s="797">
        <f>SUBTOTAL(9,G15:G26)</f>
        <v>5.7305795176560004</v>
      </c>
      <c r="H14" s="798">
        <f>SUBTOTAL(9,H15:H26)</f>
        <v>11</v>
      </c>
      <c r="I14" s="626"/>
      <c r="J14" s="751"/>
      <c r="K14" s="416"/>
      <c r="L14" s="666"/>
      <c r="M14" s="666"/>
      <c r="N14" s="666"/>
      <c r="O14" s="666"/>
      <c r="P14" s="666"/>
      <c r="Q14" s="666"/>
      <c r="R14" s="666"/>
      <c r="S14" s="416"/>
      <c r="T14" s="751"/>
      <c r="U14" s="416"/>
      <c r="V14" s="797">
        <f>SUBTOTAL(9,V15:V26)</f>
        <v>0</v>
      </c>
      <c r="W14" s="798">
        <f>SUBTOTAL(9,W15:W26)</f>
        <v>0</v>
      </c>
      <c r="X14" s="416"/>
      <c r="Y14" s="416"/>
      <c r="Z14" s="416"/>
      <c r="AA14" s="416"/>
    </row>
    <row r="15" spans="1:27" outlineLevel="2">
      <c r="A15" s="376"/>
      <c r="B15" s="684" t="s">
        <v>182</v>
      </c>
      <c r="C15" s="684" t="s">
        <v>182</v>
      </c>
      <c r="D15" s="684" t="s">
        <v>17</v>
      </c>
      <c r="E15" s="687"/>
      <c r="F15" s="685" t="s">
        <v>183</v>
      </c>
      <c r="G15" s="686">
        <f>SUBTOTAL(9,G16:G26)</f>
        <v>5.7305795176560004</v>
      </c>
      <c r="H15" s="691">
        <f>SUBTOTAL(9,H16:H26)</f>
        <v>11</v>
      </c>
      <c r="I15" s="626"/>
      <c r="J15" s="751"/>
      <c r="K15" s="416"/>
      <c r="L15" s="687"/>
      <c r="M15" s="687"/>
      <c r="N15" s="687"/>
      <c r="O15" s="687"/>
      <c r="P15" s="687"/>
      <c r="Q15" s="687"/>
      <c r="R15" s="687"/>
      <c r="S15" s="416"/>
      <c r="T15" s="751"/>
      <c r="U15" s="416"/>
      <c r="V15" s="686">
        <f>SUBTOTAL(9,V16:V26)</f>
        <v>0</v>
      </c>
      <c r="W15" s="691">
        <f>SUBTOTAL(9,W16:W26)</f>
        <v>0</v>
      </c>
      <c r="X15" s="416"/>
      <c r="Y15" s="416"/>
      <c r="Z15" s="416"/>
      <c r="AA15" s="416"/>
    </row>
    <row r="16" spans="1:27" outlineLevel="3">
      <c r="A16" s="376"/>
      <c r="B16" s="376" t="s">
        <v>182</v>
      </c>
      <c r="C16" s="376" t="s">
        <v>182</v>
      </c>
      <c r="D16" s="376" t="s">
        <v>17</v>
      </c>
      <c r="E16" s="387" t="s">
        <v>177</v>
      </c>
      <c r="F16" s="608" t="s">
        <v>184</v>
      </c>
      <c r="G16" s="609">
        <v>7.3716905132000007E-2</v>
      </c>
      <c r="H16" s="692">
        <v>1</v>
      </c>
      <c r="I16" s="626"/>
      <c r="J16" s="751"/>
      <c r="K16" s="416"/>
      <c r="L16" s="387" t="s">
        <v>177</v>
      </c>
      <c r="M16" s="387" t="s">
        <v>1395</v>
      </c>
      <c r="N16" s="387" t="s">
        <v>1396</v>
      </c>
      <c r="O16" s="387" t="s">
        <v>1397</v>
      </c>
      <c r="P16" s="387"/>
      <c r="Q16" s="387"/>
      <c r="R16" s="387"/>
      <c r="S16" s="416"/>
      <c r="T16" s="751"/>
      <c r="U16" s="416"/>
      <c r="V16" s="609">
        <f t="shared" ref="V16:V26" si="0">IF(W16=1,G16,0)</f>
        <v>0</v>
      </c>
      <c r="W16" s="692"/>
      <c r="X16" s="416"/>
      <c r="Y16" s="416"/>
      <c r="Z16" s="416"/>
      <c r="AA16" s="416"/>
    </row>
    <row r="17" spans="1:23" outlineLevel="3">
      <c r="A17" s="376" t="s">
        <v>185</v>
      </c>
      <c r="B17" s="376" t="s">
        <v>182</v>
      </c>
      <c r="C17" s="376" t="s">
        <v>182</v>
      </c>
      <c r="D17" s="376" t="s">
        <v>17</v>
      </c>
      <c r="E17" s="387" t="s">
        <v>177</v>
      </c>
      <c r="F17" s="608" t="s">
        <v>186</v>
      </c>
      <c r="G17" s="609">
        <v>7.3716905132000007E-2</v>
      </c>
      <c r="H17" s="692">
        <v>1</v>
      </c>
      <c r="I17" s="626"/>
      <c r="J17" s="751"/>
      <c r="K17" s="416"/>
      <c r="L17" s="387" t="s">
        <v>177</v>
      </c>
      <c r="M17" s="387" t="s">
        <v>1395</v>
      </c>
      <c r="N17" s="387" t="s">
        <v>1396</v>
      </c>
      <c r="O17" s="387" t="s">
        <v>1397</v>
      </c>
      <c r="P17" s="387"/>
      <c r="Q17" s="387"/>
      <c r="R17" s="387"/>
      <c r="S17" s="416"/>
      <c r="T17" s="751"/>
      <c r="U17" s="416"/>
      <c r="V17" s="609">
        <f t="shared" si="0"/>
        <v>0</v>
      </c>
      <c r="W17" s="692"/>
    </row>
    <row r="18" spans="1:23" outlineLevel="3">
      <c r="A18" s="376"/>
      <c r="B18" s="376" t="s">
        <v>182</v>
      </c>
      <c r="C18" s="376" t="s">
        <v>182</v>
      </c>
      <c r="D18" s="376" t="s">
        <v>17</v>
      </c>
      <c r="E18" s="387" t="s">
        <v>177</v>
      </c>
      <c r="F18" s="608" t="s">
        <v>187</v>
      </c>
      <c r="G18" s="609">
        <v>7.3716905132000007E-2</v>
      </c>
      <c r="H18" s="692">
        <v>1</v>
      </c>
      <c r="I18" s="626"/>
      <c r="J18" s="751"/>
      <c r="K18" s="416"/>
      <c r="L18" s="387" t="s">
        <v>177</v>
      </c>
      <c r="M18" s="387" t="s">
        <v>1395</v>
      </c>
      <c r="N18" s="387" t="s">
        <v>1396</v>
      </c>
      <c r="O18" s="387" t="s">
        <v>1397</v>
      </c>
      <c r="P18" s="387"/>
      <c r="Q18" s="387"/>
      <c r="R18" s="387"/>
      <c r="S18" s="416"/>
      <c r="T18" s="751"/>
      <c r="U18" s="416"/>
      <c r="V18" s="609">
        <f t="shared" si="0"/>
        <v>0</v>
      </c>
      <c r="W18" s="692"/>
    </row>
    <row r="19" spans="1:23" outlineLevel="3">
      <c r="A19" s="376"/>
      <c r="B19" s="376" t="s">
        <v>182</v>
      </c>
      <c r="C19" s="376" t="s">
        <v>182</v>
      </c>
      <c r="D19" s="376" t="s">
        <v>17</v>
      </c>
      <c r="E19" s="387" t="s">
        <v>177</v>
      </c>
      <c r="F19" s="608" t="s">
        <v>190</v>
      </c>
      <c r="G19" s="609">
        <v>6.4031962499999998E-2</v>
      </c>
      <c r="H19" s="692">
        <v>1</v>
      </c>
      <c r="I19" s="626"/>
      <c r="J19" s="751"/>
      <c r="K19" s="416"/>
      <c r="L19" s="387" t="s">
        <v>177</v>
      </c>
      <c r="M19" s="387" t="s">
        <v>1395</v>
      </c>
      <c r="N19" s="387" t="s">
        <v>1396</v>
      </c>
      <c r="O19" s="387" t="s">
        <v>1397</v>
      </c>
      <c r="P19" s="387"/>
      <c r="Q19" s="387"/>
      <c r="R19" s="387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182</v>
      </c>
      <c r="C20" s="376" t="s">
        <v>182</v>
      </c>
      <c r="D20" s="376" t="s">
        <v>17</v>
      </c>
      <c r="E20" s="387" t="s">
        <v>177</v>
      </c>
      <c r="F20" s="608" t="s">
        <v>191</v>
      </c>
      <c r="G20" s="609">
        <v>0.54994955184000005</v>
      </c>
      <c r="H20" s="692">
        <v>1</v>
      </c>
      <c r="I20" s="626"/>
      <c r="J20" s="751"/>
      <c r="K20" s="416"/>
      <c r="L20" s="387" t="s">
        <v>177</v>
      </c>
      <c r="M20" s="387" t="s">
        <v>1395</v>
      </c>
      <c r="N20" s="387" t="s">
        <v>1396</v>
      </c>
      <c r="O20" s="387" t="s">
        <v>1397</v>
      </c>
      <c r="P20" s="387"/>
      <c r="Q20" s="387"/>
      <c r="R20" s="387"/>
      <c r="S20" s="416"/>
      <c r="T20" s="751"/>
      <c r="U20" s="416"/>
      <c r="V20" s="609">
        <f t="shared" si="0"/>
        <v>0</v>
      </c>
      <c r="W20" s="692"/>
    </row>
    <row r="21" spans="1:23" outlineLevel="3">
      <c r="A21" s="376"/>
      <c r="B21" s="376" t="s">
        <v>182</v>
      </c>
      <c r="C21" s="376" t="s">
        <v>182</v>
      </c>
      <c r="D21" s="376" t="s">
        <v>17</v>
      </c>
      <c r="E21" s="387" t="s">
        <v>177</v>
      </c>
      <c r="F21" s="608" t="s">
        <v>192</v>
      </c>
      <c r="G21" s="609">
        <v>0.27497477592000003</v>
      </c>
      <c r="H21" s="692">
        <v>1</v>
      </c>
      <c r="I21" s="626"/>
      <c r="J21" s="751"/>
      <c r="K21" s="416"/>
      <c r="L21" s="387" t="s">
        <v>177</v>
      </c>
      <c r="M21" s="387" t="s">
        <v>1395</v>
      </c>
      <c r="N21" s="387" t="s">
        <v>1396</v>
      </c>
      <c r="O21" s="387" t="s">
        <v>1397</v>
      </c>
      <c r="P21" s="387"/>
      <c r="Q21" s="387"/>
      <c r="R21" s="387"/>
      <c r="S21" s="416"/>
      <c r="T21" s="751"/>
      <c r="U21" s="416"/>
      <c r="V21" s="609">
        <f t="shared" si="0"/>
        <v>0</v>
      </c>
      <c r="W21" s="692"/>
    </row>
    <row r="22" spans="1:23" outlineLevel="3">
      <c r="A22" s="376"/>
      <c r="B22" s="376" t="s">
        <v>182</v>
      </c>
      <c r="C22" s="376" t="s">
        <v>182</v>
      </c>
      <c r="D22" s="376" t="s">
        <v>17</v>
      </c>
      <c r="E22" s="387" t="s">
        <v>177</v>
      </c>
      <c r="F22" s="608" t="s">
        <v>193</v>
      </c>
      <c r="G22" s="609">
        <v>2.2352362560000003</v>
      </c>
      <c r="H22" s="692">
        <v>1</v>
      </c>
      <c r="I22" s="626"/>
      <c r="J22" s="751"/>
      <c r="K22" s="416"/>
      <c r="L22" s="387" t="s">
        <v>177</v>
      </c>
      <c r="M22" s="387" t="s">
        <v>1395</v>
      </c>
      <c r="N22" s="387" t="s">
        <v>1396</v>
      </c>
      <c r="O22" s="387" t="s">
        <v>1397</v>
      </c>
      <c r="P22" s="387"/>
      <c r="Q22" s="387"/>
      <c r="R22" s="387"/>
      <c r="S22" s="416"/>
      <c r="T22" s="751"/>
      <c r="U22" s="416"/>
      <c r="V22" s="609">
        <f t="shared" si="0"/>
        <v>0</v>
      </c>
      <c r="W22" s="692"/>
    </row>
    <row r="23" spans="1:23" outlineLevel="3">
      <c r="A23" s="376"/>
      <c r="B23" s="376" t="s">
        <v>182</v>
      </c>
      <c r="C23" s="376" t="s">
        <v>182</v>
      </c>
      <c r="D23" s="376" t="s">
        <v>17</v>
      </c>
      <c r="E23" s="387" t="s">
        <v>177</v>
      </c>
      <c r="F23" s="608" t="s">
        <v>194</v>
      </c>
      <c r="G23" s="609">
        <v>2.2352362560000003</v>
      </c>
      <c r="H23" s="692">
        <v>1</v>
      </c>
      <c r="I23" s="626"/>
      <c r="J23" s="751"/>
      <c r="K23" s="416"/>
      <c r="L23" s="387" t="s">
        <v>177</v>
      </c>
      <c r="M23" s="387" t="s">
        <v>1395</v>
      </c>
      <c r="N23" s="387" t="s">
        <v>1396</v>
      </c>
      <c r="O23" s="387" t="s">
        <v>1397</v>
      </c>
      <c r="P23" s="387"/>
      <c r="Q23" s="387"/>
      <c r="R23" s="387"/>
      <c r="S23" s="416"/>
      <c r="T23" s="751"/>
      <c r="U23" s="416"/>
      <c r="V23" s="609">
        <f t="shared" si="0"/>
        <v>0</v>
      </c>
      <c r="W23" s="692"/>
    </row>
    <row r="24" spans="1:23" outlineLevel="3">
      <c r="A24" s="376"/>
      <c r="B24" s="376" t="s">
        <v>182</v>
      </c>
      <c r="C24" s="376" t="s">
        <v>182</v>
      </c>
      <c r="D24" s="376" t="s">
        <v>17</v>
      </c>
      <c r="E24" s="387" t="s">
        <v>177</v>
      </c>
      <c r="F24" s="608" t="s">
        <v>1398</v>
      </c>
      <c r="G24" s="609"/>
      <c r="H24" s="692">
        <v>1</v>
      </c>
      <c r="I24" s="626"/>
      <c r="J24" s="751"/>
      <c r="K24" s="416"/>
      <c r="L24" s="387" t="s">
        <v>177</v>
      </c>
      <c r="M24" s="387" t="s">
        <v>1395</v>
      </c>
      <c r="N24" s="387" t="s">
        <v>1396</v>
      </c>
      <c r="O24" s="387" t="s">
        <v>1397</v>
      </c>
      <c r="P24" s="387"/>
      <c r="Q24" s="387"/>
      <c r="R24" s="387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182</v>
      </c>
      <c r="C25" s="376" t="s">
        <v>182</v>
      </c>
      <c r="D25" s="376" t="s">
        <v>17</v>
      </c>
      <c r="E25" s="387" t="s">
        <v>177</v>
      </c>
      <c r="F25" s="608" t="s">
        <v>195</v>
      </c>
      <c r="G25" s="609">
        <v>0.1125</v>
      </c>
      <c r="H25" s="692">
        <v>1</v>
      </c>
      <c r="I25" s="626"/>
      <c r="J25" s="751"/>
      <c r="K25" s="416"/>
      <c r="L25" s="387" t="s">
        <v>177</v>
      </c>
      <c r="M25" s="387" t="s">
        <v>1395</v>
      </c>
      <c r="N25" s="387" t="s">
        <v>1396</v>
      </c>
      <c r="O25" s="387" t="s">
        <v>1397</v>
      </c>
      <c r="P25" s="387"/>
      <c r="Q25" s="387"/>
      <c r="R25" s="387"/>
      <c r="S25" s="416"/>
      <c r="T25" s="751"/>
      <c r="U25" s="416"/>
      <c r="V25" s="609">
        <f t="shared" si="0"/>
        <v>0</v>
      </c>
      <c r="W25" s="692"/>
    </row>
    <row r="26" spans="1:23" outlineLevel="3">
      <c r="A26" s="376"/>
      <c r="B26" s="376" t="s">
        <v>182</v>
      </c>
      <c r="C26" s="376" t="s">
        <v>182</v>
      </c>
      <c r="D26" s="376" t="s">
        <v>17</v>
      </c>
      <c r="E26" s="387" t="s">
        <v>177</v>
      </c>
      <c r="F26" s="608" t="s">
        <v>196</v>
      </c>
      <c r="G26" s="609">
        <v>3.7499999999999999E-2</v>
      </c>
      <c r="H26" s="692">
        <v>1</v>
      </c>
      <c r="I26" s="626"/>
      <c r="J26" s="751"/>
      <c r="K26" s="416"/>
      <c r="L26" s="387" t="s">
        <v>177</v>
      </c>
      <c r="M26" s="387" t="s">
        <v>1395</v>
      </c>
      <c r="N26" s="387" t="s">
        <v>1396</v>
      </c>
      <c r="O26" s="387" t="s">
        <v>1397</v>
      </c>
      <c r="P26" s="387"/>
      <c r="Q26" s="387"/>
      <c r="R26" s="387"/>
      <c r="S26" s="416"/>
      <c r="T26" s="751"/>
      <c r="U26" s="416"/>
      <c r="V26" s="609">
        <f t="shared" si="0"/>
        <v>0</v>
      </c>
      <c r="W26" s="692"/>
    </row>
    <row r="27" spans="1:23" outlineLevel="1">
      <c r="A27" s="376"/>
      <c r="B27" s="665" t="s">
        <v>222</v>
      </c>
      <c r="C27" s="665" t="s">
        <v>222</v>
      </c>
      <c r="D27" s="665"/>
      <c r="E27" s="665"/>
      <c r="F27" s="681" t="s">
        <v>262</v>
      </c>
      <c r="G27" s="797">
        <f>SUBTOTAL(9,G28:G37)</f>
        <v>0.72823846611302523</v>
      </c>
      <c r="H27" s="798">
        <f>SUBTOTAL(9,H28:H37)</f>
        <v>7</v>
      </c>
      <c r="I27" s="626"/>
      <c r="J27" s="751"/>
      <c r="K27" s="416"/>
      <c r="L27" s="665"/>
      <c r="M27" s="665"/>
      <c r="N27" s="665"/>
      <c r="O27" s="665"/>
      <c r="P27" s="665"/>
      <c r="Q27" s="665"/>
      <c r="R27" s="665"/>
      <c r="S27" s="416"/>
      <c r="T27" s="751"/>
      <c r="U27" s="416"/>
      <c r="V27" s="797">
        <f>SUBTOTAL(9,V28:V37)</f>
        <v>0</v>
      </c>
      <c r="W27" s="798">
        <f>SUBTOTAL(9,W28:W37)</f>
        <v>0</v>
      </c>
    </row>
    <row r="28" spans="1:23" ht="26.4" outlineLevel="2">
      <c r="A28" s="376"/>
      <c r="B28" s="684" t="s">
        <v>222</v>
      </c>
      <c r="C28" s="684" t="s">
        <v>222</v>
      </c>
      <c r="D28" s="684" t="s">
        <v>17</v>
      </c>
      <c r="E28" s="684"/>
      <c r="F28" s="685" t="s">
        <v>1402</v>
      </c>
      <c r="G28" s="686">
        <f>SUBTOTAL(9,G29:G37)</f>
        <v>0.72823846611302523</v>
      </c>
      <c r="H28" s="691">
        <f>SUBTOTAL(9,H29:H37)</f>
        <v>7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SUBTOTAL(9,V29:V37)</f>
        <v>0</v>
      </c>
      <c r="W28" s="691">
        <f>SUBTOTAL(9,W29:W37)</f>
        <v>0</v>
      </c>
    </row>
    <row r="29" spans="1:23" outlineLevel="3">
      <c r="A29" s="376"/>
      <c r="B29" s="376" t="s">
        <v>222</v>
      </c>
      <c r="C29" s="376" t="s">
        <v>222</v>
      </c>
      <c r="D29" s="376" t="s">
        <v>17</v>
      </c>
      <c r="E29" s="376" t="s">
        <v>177</v>
      </c>
      <c r="F29" s="705" t="s">
        <v>1403</v>
      </c>
      <c r="G29" s="609">
        <v>0.25575333042562204</v>
      </c>
      <c r="H29" s="692">
        <v>1</v>
      </c>
      <c r="I29" s="626"/>
      <c r="J29" s="751"/>
      <c r="K29" s="416"/>
      <c r="L29" s="376" t="s">
        <v>177</v>
      </c>
      <c r="M29" s="376" t="s">
        <v>1395</v>
      </c>
      <c r="N29" s="376" t="s">
        <v>1397</v>
      </c>
      <c r="O29" s="376" t="s">
        <v>1404</v>
      </c>
      <c r="P29" s="376"/>
      <c r="Q29" s="376"/>
      <c r="R29" s="376"/>
      <c r="S29" s="416"/>
      <c r="T29" s="751"/>
      <c r="U29" s="416"/>
      <c r="V29" s="609">
        <f t="shared" ref="V29:V34" si="1">IF(W29=1,G29,0)</f>
        <v>0</v>
      </c>
      <c r="W29" s="692"/>
    </row>
    <row r="30" spans="1:23" outlineLevel="3">
      <c r="A30" s="376"/>
      <c r="B30" s="376" t="s">
        <v>222</v>
      </c>
      <c r="C30" s="376" t="s">
        <v>222</v>
      </c>
      <c r="D30" s="376" t="s">
        <v>17</v>
      </c>
      <c r="E30" s="376" t="s">
        <v>177</v>
      </c>
      <c r="F30" s="608" t="s">
        <v>1405</v>
      </c>
      <c r="G30" s="609">
        <v>8.1564148364617506E-2</v>
      </c>
      <c r="H30" s="692">
        <v>1</v>
      </c>
      <c r="I30" s="626"/>
      <c r="J30" s="751"/>
      <c r="K30" s="416"/>
      <c r="L30" s="376" t="s">
        <v>177</v>
      </c>
      <c r="M30" s="376" t="s">
        <v>1395</v>
      </c>
      <c r="N30" s="376" t="s">
        <v>1397</v>
      </c>
      <c r="O30" s="376" t="s">
        <v>1404</v>
      </c>
      <c r="P30" s="376"/>
      <c r="Q30" s="376"/>
      <c r="R30" s="376"/>
      <c r="S30" s="416"/>
      <c r="T30" s="751"/>
      <c r="U30" s="416"/>
      <c r="V30" s="609">
        <f t="shared" si="1"/>
        <v>0</v>
      </c>
      <c r="W30" s="692"/>
    </row>
    <row r="31" spans="1:23" outlineLevel="3">
      <c r="A31" s="376"/>
      <c r="B31" s="376" t="s">
        <v>222</v>
      </c>
      <c r="C31" s="376" t="s">
        <v>222</v>
      </c>
      <c r="D31" s="376" t="s">
        <v>17</v>
      </c>
      <c r="E31" s="376" t="s">
        <v>177</v>
      </c>
      <c r="F31" s="608" t="s">
        <v>1406</v>
      </c>
      <c r="G31" s="609">
        <v>0.18696938245168926</v>
      </c>
      <c r="H31" s="692">
        <v>1</v>
      </c>
      <c r="I31" s="626"/>
      <c r="J31" s="751"/>
      <c r="K31" s="416"/>
      <c r="L31" s="376" t="s">
        <v>177</v>
      </c>
      <c r="M31" s="376" t="s">
        <v>1395</v>
      </c>
      <c r="N31" s="376" t="s">
        <v>1397</v>
      </c>
      <c r="O31" s="376" t="s">
        <v>1404</v>
      </c>
      <c r="P31" s="376"/>
      <c r="Q31" s="376"/>
      <c r="R31" s="376"/>
      <c r="S31" s="416"/>
      <c r="T31" s="751"/>
      <c r="U31" s="416"/>
      <c r="V31" s="609">
        <f t="shared" si="1"/>
        <v>0</v>
      </c>
      <c r="W31" s="692"/>
    </row>
    <row r="32" spans="1:23" outlineLevel="3">
      <c r="A32" s="376"/>
      <c r="B32" s="376" t="s">
        <v>222</v>
      </c>
      <c r="C32" s="376" t="s">
        <v>222</v>
      </c>
      <c r="D32" s="376" t="s">
        <v>17</v>
      </c>
      <c r="E32" s="376" t="s">
        <v>177</v>
      </c>
      <c r="F32" s="608" t="s">
        <v>1407</v>
      </c>
      <c r="G32" s="609">
        <v>2.7188049454872507E-2</v>
      </c>
      <c r="H32" s="692">
        <v>1</v>
      </c>
      <c r="I32" s="626"/>
      <c r="J32" s="751"/>
      <c r="K32" s="416"/>
      <c r="L32" s="376" t="s">
        <v>177</v>
      </c>
      <c r="M32" s="376" t="s">
        <v>1395</v>
      </c>
      <c r="N32" s="376" t="s">
        <v>1397</v>
      </c>
      <c r="O32" s="376" t="s">
        <v>1404</v>
      </c>
      <c r="P32" s="376"/>
      <c r="Q32" s="376"/>
      <c r="R32" s="376"/>
      <c r="S32" s="416"/>
      <c r="T32" s="751"/>
      <c r="U32" s="416"/>
      <c r="V32" s="609">
        <f t="shared" si="1"/>
        <v>0</v>
      </c>
      <c r="W32" s="692"/>
    </row>
    <row r="33" spans="1:23" outlineLevel="3">
      <c r="A33" s="376"/>
      <c r="B33" s="376" t="s">
        <v>222</v>
      </c>
      <c r="C33" s="376" t="s">
        <v>222</v>
      </c>
      <c r="D33" s="376" t="s">
        <v>17</v>
      </c>
      <c r="E33" s="376" t="s">
        <v>177</v>
      </c>
      <c r="F33" s="608" t="s">
        <v>1408</v>
      </c>
      <c r="G33" s="609">
        <v>0.11218162947101355</v>
      </c>
      <c r="H33" s="692">
        <v>1</v>
      </c>
      <c r="I33" s="626"/>
      <c r="J33" s="751"/>
      <c r="K33" s="416"/>
      <c r="L33" s="376" t="s">
        <v>177</v>
      </c>
      <c r="M33" s="376" t="s">
        <v>1395</v>
      </c>
      <c r="N33" s="376" t="s">
        <v>1397</v>
      </c>
      <c r="O33" s="376" t="s">
        <v>1404</v>
      </c>
      <c r="P33" s="376"/>
      <c r="Q33" s="376"/>
      <c r="R33" s="376"/>
      <c r="S33" s="416"/>
      <c r="T33" s="751"/>
      <c r="U33" s="416"/>
      <c r="V33" s="609">
        <f t="shared" si="1"/>
        <v>0</v>
      </c>
      <c r="W33" s="692"/>
    </row>
    <row r="34" spans="1:23" outlineLevel="3">
      <c r="A34" s="376"/>
      <c r="B34" s="376" t="s">
        <v>222</v>
      </c>
      <c r="C34" s="376" t="s">
        <v>222</v>
      </c>
      <c r="D34" s="376" t="s">
        <v>17</v>
      </c>
      <c r="E34" s="376" t="s">
        <v>177</v>
      </c>
      <c r="F34" s="608" t="s">
        <v>1409</v>
      </c>
      <c r="G34" s="609">
        <v>3.7393876490337853E-2</v>
      </c>
      <c r="H34" s="692">
        <v>1</v>
      </c>
      <c r="I34" s="626"/>
      <c r="J34" s="751"/>
      <c r="K34" s="416"/>
      <c r="L34" s="376" t="s">
        <v>177</v>
      </c>
      <c r="M34" s="376" t="s">
        <v>1395</v>
      </c>
      <c r="N34" s="376" t="s">
        <v>1397</v>
      </c>
      <c r="O34" s="376" t="s">
        <v>1404</v>
      </c>
      <c r="P34" s="376"/>
      <c r="Q34" s="376"/>
      <c r="R34" s="376"/>
      <c r="S34" s="416"/>
      <c r="T34" s="751"/>
      <c r="U34" s="416"/>
      <c r="V34" s="609">
        <f t="shared" si="1"/>
        <v>0</v>
      </c>
      <c r="W34" s="692"/>
    </row>
    <row r="35" spans="1:23" outlineLevel="3">
      <c r="A35" s="376"/>
      <c r="B35" s="376" t="s">
        <v>222</v>
      </c>
      <c r="C35" s="376" t="s">
        <v>222</v>
      </c>
      <c r="D35" s="376" t="s">
        <v>17</v>
      </c>
      <c r="E35" s="376" t="s">
        <v>177</v>
      </c>
      <c r="F35" s="759" t="s">
        <v>1410</v>
      </c>
      <c r="G35" s="609"/>
      <c r="H35" s="692"/>
      <c r="I35" s="626"/>
      <c r="J35" s="751"/>
      <c r="K35" s="416"/>
      <c r="L35" s="376" t="s">
        <v>177</v>
      </c>
      <c r="M35" s="376"/>
      <c r="N35" s="376"/>
      <c r="O35" s="376"/>
      <c r="P35" s="376"/>
      <c r="Q35" s="376"/>
      <c r="R35" s="376"/>
      <c r="S35" s="416"/>
      <c r="T35" s="751"/>
      <c r="U35" s="416"/>
      <c r="V35" s="609"/>
      <c r="W35" s="692"/>
    </row>
    <row r="36" spans="1:23" outlineLevel="3">
      <c r="A36" s="376"/>
      <c r="B36" s="376" t="s">
        <v>222</v>
      </c>
      <c r="C36" s="376" t="s">
        <v>222</v>
      </c>
      <c r="D36" s="376" t="s">
        <v>17</v>
      </c>
      <c r="E36" s="376" t="s">
        <v>177</v>
      </c>
      <c r="F36" s="608" t="s">
        <v>1411</v>
      </c>
      <c r="G36" s="609">
        <v>2.7188049454872507E-2</v>
      </c>
      <c r="H36" s="692">
        <v>1</v>
      </c>
      <c r="I36" s="626"/>
      <c r="J36" s="751"/>
      <c r="K36" s="416"/>
      <c r="L36" s="376" t="s">
        <v>177</v>
      </c>
      <c r="M36" s="376" t="s">
        <v>1395</v>
      </c>
      <c r="N36" s="376" t="s">
        <v>1397</v>
      </c>
      <c r="O36" s="376" t="s">
        <v>1404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222</v>
      </c>
      <c r="C37" s="376" t="s">
        <v>222</v>
      </c>
      <c r="D37" s="376" t="s">
        <v>17</v>
      </c>
      <c r="E37" s="376" t="s">
        <v>177</v>
      </c>
      <c r="F37" s="759" t="s">
        <v>1412</v>
      </c>
      <c r="G37" s="728"/>
      <c r="H37" s="692"/>
      <c r="I37" s="626"/>
      <c r="J37" s="751"/>
      <c r="K37" s="416"/>
      <c r="L37" s="376" t="s">
        <v>177</v>
      </c>
      <c r="M37" s="376"/>
      <c r="N37" s="376"/>
      <c r="O37" s="376"/>
      <c r="P37" s="376"/>
      <c r="Q37" s="376"/>
      <c r="R37" s="376"/>
      <c r="S37" s="416"/>
      <c r="T37" s="751"/>
      <c r="U37" s="416"/>
      <c r="V37" s="728"/>
      <c r="W37" s="692"/>
    </row>
    <row r="38" spans="1:23" outlineLevel="1">
      <c r="A38" s="376"/>
      <c r="B38" s="665" t="s">
        <v>233</v>
      </c>
      <c r="C38" s="665" t="s">
        <v>233</v>
      </c>
      <c r="D38" s="665"/>
      <c r="E38" s="665"/>
      <c r="F38" s="681" t="s">
        <v>262</v>
      </c>
      <c r="G38" s="797">
        <f>SUBTOTAL(9,G39:G41)</f>
        <v>0.38041780000000003</v>
      </c>
      <c r="H38" s="798">
        <f>SUBTOTAL(9,H39:H41)</f>
        <v>2</v>
      </c>
      <c r="I38" s="626"/>
      <c r="J38" s="751"/>
      <c r="K38" s="416"/>
      <c r="L38" s="665"/>
      <c r="M38" s="665"/>
      <c r="N38" s="665"/>
      <c r="O38" s="665"/>
      <c r="P38" s="665"/>
      <c r="Q38" s="665"/>
      <c r="R38" s="665"/>
      <c r="S38" s="416"/>
      <c r="T38" s="751"/>
      <c r="U38" s="416"/>
      <c r="V38" s="797">
        <f>SUBTOTAL(9,V39:V41)</f>
        <v>0</v>
      </c>
      <c r="W38" s="798">
        <f>SUBTOTAL(9,W39:W41)</f>
        <v>0</v>
      </c>
    </row>
    <row r="39" spans="1:23" outlineLevel="2">
      <c r="A39" s="376"/>
      <c r="B39" s="684" t="s">
        <v>233</v>
      </c>
      <c r="C39" s="684" t="s">
        <v>233</v>
      </c>
      <c r="D39" s="684" t="s">
        <v>17</v>
      </c>
      <c r="E39" s="684"/>
      <c r="F39" s="685" t="s">
        <v>1421</v>
      </c>
      <c r="G39" s="686">
        <f>SUBTOTAL(9,G40:G41)</f>
        <v>0.38041780000000003</v>
      </c>
      <c r="H39" s="691">
        <f>SUBTOTAL(9,H40:H41)</f>
        <v>2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SUBTOTAL(9,V40:V41)</f>
        <v>0</v>
      </c>
      <c r="W39" s="691">
        <f>SUBTOTAL(9,W40:W41)</f>
        <v>0</v>
      </c>
    </row>
    <row r="40" spans="1:23" outlineLevel="3">
      <c r="A40" s="376"/>
      <c r="B40" s="376" t="s">
        <v>233</v>
      </c>
      <c r="C40" s="376" t="s">
        <v>233</v>
      </c>
      <c r="D40" s="376" t="s">
        <v>17</v>
      </c>
      <c r="E40" s="376" t="s">
        <v>177</v>
      </c>
      <c r="F40" s="608" t="s">
        <v>1422</v>
      </c>
      <c r="G40" s="609">
        <v>0.15216712000000002</v>
      </c>
      <c r="H40" s="692">
        <v>1</v>
      </c>
      <c r="I40" s="626"/>
      <c r="J40" s="751"/>
      <c r="K40" s="416"/>
      <c r="L40" s="376" t="s">
        <v>177</v>
      </c>
      <c r="M40" s="376" t="s">
        <v>1385</v>
      </c>
      <c r="N40" s="376" t="s">
        <v>1386</v>
      </c>
      <c r="O40" s="376"/>
      <c r="P40" s="376"/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233</v>
      </c>
      <c r="C41" s="376" t="s">
        <v>233</v>
      </c>
      <c r="D41" s="376" t="s">
        <v>17</v>
      </c>
      <c r="E41" s="376" t="s">
        <v>177</v>
      </c>
      <c r="F41" s="608" t="s">
        <v>236</v>
      </c>
      <c r="G41" s="609">
        <v>0.22825067999999998</v>
      </c>
      <c r="H41" s="692">
        <v>1</v>
      </c>
      <c r="I41" s="626"/>
      <c r="J41" s="751"/>
      <c r="K41" s="416"/>
      <c r="L41" s="376" t="s">
        <v>177</v>
      </c>
      <c r="M41" s="376" t="s">
        <v>1385</v>
      </c>
      <c r="N41" s="376" t="s">
        <v>1386</v>
      </c>
      <c r="O41" s="376"/>
      <c r="P41" s="376"/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ht="3" customHeight="1" outlineLevel="1">
      <c r="A42" s="376"/>
      <c r="B42" s="392"/>
      <c r="C42" s="376"/>
      <c r="D42" s="392"/>
      <c r="E42" s="392"/>
      <c r="F42" s="608"/>
      <c r="G42" s="609"/>
      <c r="H42" s="692"/>
      <c r="I42" s="626"/>
      <c r="J42" s="751"/>
      <c r="K42" s="416"/>
      <c r="L42" s="392"/>
      <c r="M42" s="392"/>
      <c r="N42" s="392"/>
      <c r="O42" s="392"/>
      <c r="P42" s="392"/>
      <c r="Q42" s="392"/>
      <c r="R42" s="392"/>
      <c r="S42" s="416"/>
      <c r="T42" s="751"/>
      <c r="U42" s="416"/>
      <c r="V42" s="609"/>
      <c r="W42" s="692"/>
    </row>
    <row r="43" spans="1:23" ht="15">
      <c r="A43" s="376"/>
      <c r="B43" s="430" t="s">
        <v>280</v>
      </c>
      <c r="C43" s="430"/>
      <c r="D43" s="430"/>
      <c r="E43" s="430"/>
      <c r="F43" s="697"/>
      <c r="G43" s="738">
        <f>SUBTOTAL(9,G51:G90)</f>
        <v>7.5453685263983532</v>
      </c>
      <c r="H43" s="739">
        <f>SUBTOTAL(9,H51:H90)</f>
        <v>22</v>
      </c>
      <c r="I43" s="626"/>
      <c r="J43" s="751"/>
      <c r="K43" s="416"/>
      <c r="L43" s="430"/>
      <c r="M43" s="430"/>
      <c r="N43" s="430"/>
      <c r="O43" s="430"/>
      <c r="P43" s="430"/>
      <c r="Q43" s="430"/>
      <c r="R43" s="430"/>
      <c r="S43" s="416"/>
      <c r="T43" s="751"/>
      <c r="U43" s="416"/>
      <c r="V43" s="738">
        <f>SUBTOTAL(9,V51:V90)</f>
        <v>0</v>
      </c>
      <c r="W43" s="739">
        <f>SUBTOTAL(9,W51:W90)</f>
        <v>0</v>
      </c>
    </row>
    <row r="44" spans="1:23" ht="3" customHeight="1" outlineLevel="1">
      <c r="A44" s="376"/>
      <c r="B44" s="376"/>
      <c r="C44" s="376"/>
      <c r="D44" s="376"/>
      <c r="E44" s="376"/>
      <c r="F44" s="608"/>
      <c r="G44" s="609"/>
      <c r="H44" s="692"/>
      <c r="I44" s="626"/>
      <c r="J44" s="751"/>
      <c r="K44" s="416"/>
      <c r="L44" s="376"/>
      <c r="M44" s="376"/>
      <c r="N44" s="376"/>
      <c r="O44" s="376"/>
      <c r="P44" s="376"/>
      <c r="Q44" s="376"/>
      <c r="R44" s="376"/>
      <c r="S44" s="416"/>
      <c r="T44" s="751"/>
      <c r="U44" s="416"/>
      <c r="V44" s="609"/>
      <c r="W44" s="692"/>
    </row>
    <row r="45" spans="1:23" outlineLevel="1">
      <c r="A45" s="376"/>
      <c r="B45" s="666" t="s">
        <v>1587</v>
      </c>
      <c r="C45" s="666" t="s">
        <v>1587</v>
      </c>
      <c r="D45" s="667"/>
      <c r="E45" s="665"/>
      <c r="F45" s="681" t="s">
        <v>262</v>
      </c>
      <c r="G45" s="708">
        <f>SUBTOTAL(9,G46:G50)</f>
        <v>0</v>
      </c>
      <c r="H45" s="709">
        <f>SUBTOTAL(9,H46:H50)</f>
        <v>3</v>
      </c>
      <c r="I45" s="626"/>
      <c r="J45" s="751"/>
      <c r="K45" s="416"/>
      <c r="L45" s="665"/>
      <c r="M45" s="665"/>
      <c r="N45" s="665"/>
      <c r="O45" s="665"/>
      <c r="P45" s="665"/>
      <c r="Q45" s="665"/>
      <c r="R45" s="665"/>
      <c r="S45" s="416"/>
      <c r="T45" s="751"/>
      <c r="U45" s="416"/>
      <c r="V45" s="708">
        <f>SUBTOTAL(9,V46:V50)</f>
        <v>0</v>
      </c>
      <c r="W45" s="709">
        <f>SUBTOTAL(9,W46:W50)</f>
        <v>0</v>
      </c>
    </row>
    <row r="46" spans="1:23" outlineLevel="2">
      <c r="A46" s="376"/>
      <c r="B46" s="684" t="s">
        <v>1587</v>
      </c>
      <c r="C46" s="687" t="s">
        <v>1587</v>
      </c>
      <c r="D46" s="684" t="s">
        <v>17</v>
      </c>
      <c r="E46" s="684"/>
      <c r="F46" s="685" t="s">
        <v>1606</v>
      </c>
      <c r="G46" s="686">
        <f>SUBTOTAL(9,G47:G48)</f>
        <v>0</v>
      </c>
      <c r="H46" s="691">
        <f>SUBTOTAL(9,H47:H50)</f>
        <v>3</v>
      </c>
      <c r="I46" s="626"/>
      <c r="J46" s="751"/>
      <c r="K46" s="416"/>
      <c r="L46" s="684"/>
      <c r="M46" s="684"/>
      <c r="N46" s="684"/>
      <c r="O46" s="684"/>
      <c r="P46" s="684"/>
      <c r="Q46" s="684"/>
      <c r="R46" s="684"/>
      <c r="S46" s="416"/>
      <c r="T46" s="751"/>
      <c r="U46" s="416"/>
      <c r="V46" s="686">
        <f>SUBTOTAL(9,V47:V48)</f>
        <v>0</v>
      </c>
      <c r="W46" s="691">
        <f>SUBTOTAL(9,W47:W48)</f>
        <v>0</v>
      </c>
    </row>
    <row r="47" spans="1:23" outlineLevel="3">
      <c r="A47" s="376"/>
      <c r="B47" s="376" t="s">
        <v>1587</v>
      </c>
      <c r="C47" s="387" t="s">
        <v>1587</v>
      </c>
      <c r="D47" s="376" t="s">
        <v>17</v>
      </c>
      <c r="E47" s="376" t="s">
        <v>177</v>
      </c>
      <c r="F47" s="608" t="s">
        <v>418</v>
      </c>
      <c r="G47" s="609"/>
      <c r="H47" s="692">
        <v>1</v>
      </c>
      <c r="I47" s="626"/>
      <c r="J47" s="751"/>
      <c r="K47" s="416"/>
      <c r="L47" s="376" t="s">
        <v>177</v>
      </c>
      <c r="M47" s="376" t="s">
        <v>1607</v>
      </c>
      <c r="N47" s="376"/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1:23" outlineLevel="3">
      <c r="A48" s="376"/>
      <c r="B48" s="376" t="s">
        <v>1587</v>
      </c>
      <c r="C48" s="387" t="s">
        <v>1587</v>
      </c>
      <c r="D48" s="376" t="s">
        <v>17</v>
      </c>
      <c r="E48" s="376" t="s">
        <v>177</v>
      </c>
      <c r="F48" s="608" t="s">
        <v>236</v>
      </c>
      <c r="G48" s="609"/>
      <c r="H48" s="692">
        <v>1</v>
      </c>
      <c r="I48" s="626"/>
      <c r="J48" s="751"/>
      <c r="K48" s="416"/>
      <c r="L48" s="376" t="s">
        <v>177</v>
      </c>
      <c r="M48" s="376" t="s">
        <v>1607</v>
      </c>
      <c r="N48" s="376"/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1587</v>
      </c>
      <c r="C49" s="387" t="s">
        <v>1587</v>
      </c>
      <c r="D49" s="376" t="s">
        <v>17</v>
      </c>
      <c r="E49" s="376" t="s">
        <v>177</v>
      </c>
      <c r="F49" s="608" t="s">
        <v>1608</v>
      </c>
      <c r="G49" s="609"/>
      <c r="H49" s="692"/>
      <c r="I49" s="626"/>
      <c r="J49" s="751"/>
      <c r="K49" s="416"/>
      <c r="L49" s="376" t="s">
        <v>177</v>
      </c>
      <c r="M49" s="376" t="s">
        <v>1607</v>
      </c>
      <c r="N49" s="376"/>
      <c r="O49" s="376"/>
      <c r="P49" s="376"/>
      <c r="Q49" s="376"/>
      <c r="R49" s="376"/>
      <c r="S49" s="416"/>
      <c r="T49" s="751"/>
      <c r="U49" s="416"/>
      <c r="V49" s="609"/>
      <c r="W49" s="692"/>
    </row>
    <row r="50" spans="2:23" outlineLevel="3">
      <c r="B50" s="376" t="s">
        <v>1587</v>
      </c>
      <c r="C50" s="387" t="s">
        <v>1587</v>
      </c>
      <c r="D50" s="376" t="s">
        <v>17</v>
      </c>
      <c r="E50" s="376" t="s">
        <v>177</v>
      </c>
      <c r="F50" s="608" t="s">
        <v>32</v>
      </c>
      <c r="G50" s="609"/>
      <c r="H50" s="692">
        <v>1</v>
      </c>
      <c r="I50" s="626"/>
      <c r="J50" s="751"/>
      <c r="K50" s="416"/>
      <c r="L50" s="376" t="s">
        <v>177</v>
      </c>
      <c r="M50" s="376" t="s">
        <v>1607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1">
      <c r="B51" s="665" t="s">
        <v>281</v>
      </c>
      <c r="C51" s="665" t="s">
        <v>70</v>
      </c>
      <c r="D51" s="665"/>
      <c r="E51" s="665"/>
      <c r="F51" s="681" t="s">
        <v>262</v>
      </c>
      <c r="G51" s="708">
        <f>SUBTOTAL(9,G52:G54)</f>
        <v>0.16999999999999998</v>
      </c>
      <c r="H51" s="709">
        <f>SUBTOTAL(9,H52:H54)</f>
        <v>2</v>
      </c>
      <c r="I51" s="626"/>
      <c r="J51" s="751"/>
      <c r="K51" s="416"/>
      <c r="L51" s="665"/>
      <c r="M51" s="665"/>
      <c r="N51" s="665"/>
      <c r="O51" s="665"/>
      <c r="P51" s="665"/>
      <c r="Q51" s="665"/>
      <c r="R51" s="665"/>
      <c r="S51" s="416"/>
      <c r="T51" s="751"/>
      <c r="U51" s="416"/>
      <c r="V51" s="708">
        <f>SUBTOTAL(9,V52:V54)</f>
        <v>0</v>
      </c>
      <c r="W51" s="709">
        <f>SUBTOTAL(9,W52:W54)</f>
        <v>0</v>
      </c>
    </row>
    <row r="52" spans="2:23" outlineLevel="2">
      <c r="B52" s="684" t="s">
        <v>281</v>
      </c>
      <c r="C52" s="684" t="s">
        <v>70</v>
      </c>
      <c r="D52" s="684" t="s">
        <v>17</v>
      </c>
      <c r="E52" s="684"/>
      <c r="F52" s="685" t="s">
        <v>1606</v>
      </c>
      <c r="G52" s="686">
        <f>SUBTOTAL(9,G53:G54)</f>
        <v>0.16999999999999998</v>
      </c>
      <c r="H52" s="691">
        <f>SUBTOTAL(9,H53:H54)</f>
        <v>2</v>
      </c>
      <c r="I52" s="626"/>
      <c r="J52" s="751"/>
      <c r="K52" s="416"/>
      <c r="L52" s="684"/>
      <c r="M52" s="684"/>
      <c r="N52" s="684"/>
      <c r="O52" s="684"/>
      <c r="P52" s="684"/>
      <c r="Q52" s="684"/>
      <c r="R52" s="684"/>
      <c r="S52" s="416"/>
      <c r="T52" s="751"/>
      <c r="U52" s="416"/>
      <c r="V52" s="686">
        <f>SUBTOTAL(9,V53:V54)</f>
        <v>0</v>
      </c>
      <c r="W52" s="691">
        <f>SUBTOTAL(9,W53:W54)</f>
        <v>0</v>
      </c>
    </row>
    <row r="53" spans="2:23" outlineLevel="3">
      <c r="B53" s="376" t="s">
        <v>281</v>
      </c>
      <c r="C53" s="376" t="s">
        <v>70</v>
      </c>
      <c r="D53" s="376" t="s">
        <v>17</v>
      </c>
      <c r="E53" s="376" t="s">
        <v>177</v>
      </c>
      <c r="F53" s="608" t="s">
        <v>370</v>
      </c>
      <c r="G53" s="609">
        <v>0.11</v>
      </c>
      <c r="H53" s="692">
        <v>1</v>
      </c>
      <c r="I53" s="626"/>
      <c r="J53" s="751"/>
      <c r="K53" s="416"/>
      <c r="L53" s="376" t="s">
        <v>177</v>
      </c>
      <c r="M53" s="376" t="s">
        <v>1320</v>
      </c>
      <c r="N53" s="376" t="s">
        <v>1376</v>
      </c>
      <c r="O53" s="376" t="s">
        <v>1378</v>
      </c>
      <c r="P53" s="376"/>
      <c r="Q53" s="376"/>
      <c r="R53" s="376"/>
      <c r="S53" s="416"/>
      <c r="T53" s="751"/>
      <c r="U53" s="416"/>
      <c r="V53" s="609">
        <f>IF(W53=1,G53,0)</f>
        <v>0</v>
      </c>
      <c r="W53" s="692"/>
    </row>
    <row r="54" spans="2:23" outlineLevel="3">
      <c r="B54" s="376" t="s">
        <v>281</v>
      </c>
      <c r="C54" s="376" t="s">
        <v>70</v>
      </c>
      <c r="D54" s="376" t="s">
        <v>17</v>
      </c>
      <c r="E54" s="376" t="s">
        <v>177</v>
      </c>
      <c r="F54" s="608" t="s">
        <v>287</v>
      </c>
      <c r="G54" s="609">
        <v>0.06</v>
      </c>
      <c r="H54" s="692">
        <v>1</v>
      </c>
      <c r="I54" s="626"/>
      <c r="J54" s="751"/>
      <c r="K54" s="416"/>
      <c r="L54" s="376" t="s">
        <v>177</v>
      </c>
      <c r="M54" s="376" t="s">
        <v>1320</v>
      </c>
      <c r="N54" s="376" t="s">
        <v>1376</v>
      </c>
      <c r="O54" s="376" t="s">
        <v>1378</v>
      </c>
      <c r="P54" s="376"/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2:23" outlineLevel="1">
      <c r="B55" s="665" t="s">
        <v>289</v>
      </c>
      <c r="C55" s="665" t="s">
        <v>29</v>
      </c>
      <c r="D55" s="665"/>
      <c r="E55" s="665"/>
      <c r="F55" s="681" t="s">
        <v>262</v>
      </c>
      <c r="G55" s="708">
        <f>SUBTOTAL(9,G56:G59)</f>
        <v>0.61820000000000008</v>
      </c>
      <c r="H55" s="709">
        <f>SUBTOTAL(9,H56:H59)</f>
        <v>3</v>
      </c>
      <c r="I55" s="626"/>
      <c r="J55" s="751"/>
      <c r="K55" s="416"/>
      <c r="L55" s="665"/>
      <c r="M55" s="665"/>
      <c r="N55" s="665"/>
      <c r="O55" s="665"/>
      <c r="P55" s="665"/>
      <c r="Q55" s="665"/>
      <c r="R55" s="665"/>
      <c r="S55" s="416"/>
      <c r="T55" s="751"/>
      <c r="U55" s="416"/>
      <c r="V55" s="708">
        <f>SUBTOTAL(9,V56:V59)</f>
        <v>0</v>
      </c>
      <c r="W55" s="709">
        <f>SUBTOTAL(9,W56:W59)</f>
        <v>0</v>
      </c>
    </row>
    <row r="56" spans="2:23" outlineLevel="2">
      <c r="B56" s="684" t="s">
        <v>289</v>
      </c>
      <c r="C56" s="684" t="s">
        <v>29</v>
      </c>
      <c r="D56" s="684" t="s">
        <v>17</v>
      </c>
      <c r="E56" s="684"/>
      <c r="F56" s="685" t="s">
        <v>1610</v>
      </c>
      <c r="G56" s="686">
        <f>SUBTOTAL(9,G57:G59)</f>
        <v>0.61820000000000008</v>
      </c>
      <c r="H56" s="691">
        <f>SUBTOTAL(9,H57:H59)</f>
        <v>3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SUBTOTAL(9,V57:V59)</f>
        <v>0</v>
      </c>
      <c r="W56" s="691">
        <f>SUBTOTAL(9,W57:W59)</f>
        <v>0</v>
      </c>
    </row>
    <row r="57" spans="2:23" outlineLevel="3">
      <c r="B57" s="376" t="s">
        <v>289</v>
      </c>
      <c r="C57" s="376" t="s">
        <v>29</v>
      </c>
      <c r="D57" s="376" t="s">
        <v>17</v>
      </c>
      <c r="E57" s="608" t="s">
        <v>177</v>
      </c>
      <c r="F57" s="608" t="s">
        <v>418</v>
      </c>
      <c r="G57" s="609">
        <v>0.24728000000000006</v>
      </c>
      <c r="H57" s="692">
        <v>1</v>
      </c>
      <c r="I57" s="626"/>
      <c r="J57" s="751"/>
      <c r="K57" s="416"/>
      <c r="L57" s="376" t="s">
        <v>177</v>
      </c>
      <c r="M57" s="376" t="s">
        <v>1611</v>
      </c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 outlineLevel="3">
      <c r="B58" s="376" t="s">
        <v>289</v>
      </c>
      <c r="C58" s="376" t="s">
        <v>29</v>
      </c>
      <c r="D58" s="376" t="s">
        <v>17</v>
      </c>
      <c r="E58" s="608" t="s">
        <v>177</v>
      </c>
      <c r="F58" s="608" t="s">
        <v>236</v>
      </c>
      <c r="G58" s="609">
        <v>0.24728000000000006</v>
      </c>
      <c r="H58" s="692">
        <v>1</v>
      </c>
      <c r="I58" s="626"/>
      <c r="J58" s="751"/>
      <c r="K58" s="416"/>
      <c r="L58" s="376" t="s">
        <v>177</v>
      </c>
      <c r="M58" s="376" t="s">
        <v>1611</v>
      </c>
      <c r="N58" s="376"/>
      <c r="O58" s="376"/>
      <c r="P58" s="376"/>
      <c r="Q58" s="376"/>
      <c r="R58" s="376"/>
      <c r="S58" s="416"/>
      <c r="T58" s="751"/>
      <c r="U58" s="416"/>
      <c r="V58" s="609">
        <f>IF(W58=1,G58,0)</f>
        <v>0</v>
      </c>
      <c r="W58" s="692"/>
    </row>
    <row r="59" spans="2:23" outlineLevel="3">
      <c r="B59" s="376" t="s">
        <v>289</v>
      </c>
      <c r="C59" s="376" t="s">
        <v>29</v>
      </c>
      <c r="D59" s="376" t="s">
        <v>17</v>
      </c>
      <c r="E59" s="608" t="s">
        <v>177</v>
      </c>
      <c r="F59" s="608" t="s">
        <v>317</v>
      </c>
      <c r="G59" s="609">
        <v>0.12364</v>
      </c>
      <c r="H59" s="692">
        <v>1</v>
      </c>
      <c r="I59" s="626"/>
      <c r="J59" s="751"/>
      <c r="K59" s="416"/>
      <c r="L59" s="376" t="s">
        <v>177</v>
      </c>
      <c r="M59" s="376" t="s">
        <v>1611</v>
      </c>
      <c r="N59" s="376"/>
      <c r="O59" s="376"/>
      <c r="P59" s="376"/>
      <c r="Q59" s="376"/>
      <c r="R59" s="376"/>
      <c r="S59" s="416"/>
      <c r="T59" s="751"/>
      <c r="U59" s="416"/>
      <c r="V59" s="609">
        <f>IF(W59=1,G59,0)</f>
        <v>0</v>
      </c>
      <c r="W59" s="692"/>
    </row>
    <row r="60" spans="2:23" s="790" customFormat="1" outlineLevel="1">
      <c r="B60" s="666" t="s">
        <v>300</v>
      </c>
      <c r="C60" s="666" t="s">
        <v>301</v>
      </c>
      <c r="D60" s="666"/>
      <c r="E60" s="666"/>
      <c r="F60" s="681" t="s">
        <v>262</v>
      </c>
      <c r="G60" s="708">
        <f>SUBTOTAL(9,G61:G64)</f>
        <v>0.92385000000000017</v>
      </c>
      <c r="H60" s="709">
        <f>SUBTOTAL(9,H61:H64)</f>
        <v>3</v>
      </c>
      <c r="I60" s="740"/>
      <c r="J60" s="757"/>
      <c r="K60" s="748"/>
      <c r="L60" s="666"/>
      <c r="M60" s="666"/>
      <c r="N60" s="666"/>
      <c r="O60" s="666"/>
      <c r="P60" s="666"/>
      <c r="Q60" s="666"/>
      <c r="R60" s="666"/>
      <c r="S60" s="748"/>
      <c r="T60" s="757"/>
      <c r="U60" s="748"/>
      <c r="V60" s="708">
        <f>SUBTOTAL(9,V61:V64)</f>
        <v>0</v>
      </c>
      <c r="W60" s="709">
        <f>SUBTOTAL(9,W61:W64)</f>
        <v>0</v>
      </c>
    </row>
    <row r="61" spans="2:23" s="790" customFormat="1" outlineLevel="2">
      <c r="B61" s="687" t="s">
        <v>301</v>
      </c>
      <c r="C61" s="687" t="s">
        <v>301</v>
      </c>
      <c r="D61" s="687" t="s">
        <v>17</v>
      </c>
      <c r="E61" s="687"/>
      <c r="F61" s="717" t="s">
        <v>1612</v>
      </c>
      <c r="G61" s="742">
        <f>SUBTOTAL(9,G62:G64)</f>
        <v>0.92385000000000017</v>
      </c>
      <c r="H61" s="743">
        <f>SUBTOTAL(9,H62:H64)</f>
        <v>3</v>
      </c>
      <c r="I61" s="740"/>
      <c r="J61" s="757"/>
      <c r="K61" s="748"/>
      <c r="L61" s="687"/>
      <c r="M61" s="687" t="s">
        <v>1475</v>
      </c>
      <c r="N61" s="687"/>
      <c r="O61" s="687"/>
      <c r="P61" s="687"/>
      <c r="Q61" s="687"/>
      <c r="R61" s="687"/>
      <c r="S61" s="748"/>
      <c r="T61" s="757"/>
      <c r="U61" s="748"/>
      <c r="V61" s="742">
        <f>SUBTOTAL(9,V62:V64)</f>
        <v>0</v>
      </c>
      <c r="W61" s="743">
        <f>SUBTOTAL(9,W62:W64)</f>
        <v>0</v>
      </c>
    </row>
    <row r="62" spans="2:23" s="790" customFormat="1" outlineLevel="3">
      <c r="B62" s="387" t="s">
        <v>301</v>
      </c>
      <c r="C62" s="387" t="s">
        <v>301</v>
      </c>
      <c r="D62" s="387" t="s">
        <v>17</v>
      </c>
      <c r="E62" s="387" t="s">
        <v>177</v>
      </c>
      <c r="F62" s="705" t="s">
        <v>1478</v>
      </c>
      <c r="G62" s="706">
        <v>0.41060000000000008</v>
      </c>
      <c r="H62" s="707">
        <v>1</v>
      </c>
      <c r="I62" s="740"/>
      <c r="J62" s="757"/>
      <c r="K62" s="748"/>
      <c r="L62" s="387" t="s">
        <v>177</v>
      </c>
      <c r="M62" s="387"/>
      <c r="N62" s="387"/>
      <c r="O62" s="387"/>
      <c r="P62" s="387"/>
      <c r="Q62" s="387"/>
      <c r="R62" s="387"/>
      <c r="S62" s="748"/>
      <c r="T62" s="757"/>
      <c r="U62" s="748"/>
      <c r="V62" s="609">
        <f>IF(W62=1,G62,0)</f>
        <v>0</v>
      </c>
      <c r="W62" s="707"/>
    </row>
    <row r="63" spans="2:23" s="790" customFormat="1" outlineLevel="3">
      <c r="B63" s="387" t="s">
        <v>301</v>
      </c>
      <c r="C63" s="387" t="s">
        <v>301</v>
      </c>
      <c r="D63" s="387" t="s">
        <v>17</v>
      </c>
      <c r="E63" s="387" t="s">
        <v>177</v>
      </c>
      <c r="F63" s="705" t="s">
        <v>1479</v>
      </c>
      <c r="G63" s="706">
        <v>0.10265000000000002</v>
      </c>
      <c r="H63" s="707">
        <v>1</v>
      </c>
      <c r="I63" s="740"/>
      <c r="J63" s="757"/>
      <c r="K63" s="748"/>
      <c r="L63" s="387" t="s">
        <v>177</v>
      </c>
      <c r="M63" s="387"/>
      <c r="N63" s="387"/>
      <c r="O63" s="387"/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90" customFormat="1" outlineLevel="3">
      <c r="B64" s="387" t="s">
        <v>301</v>
      </c>
      <c r="C64" s="387" t="s">
        <v>301</v>
      </c>
      <c r="D64" s="387" t="s">
        <v>17</v>
      </c>
      <c r="E64" s="387" t="s">
        <v>177</v>
      </c>
      <c r="F64" s="705" t="s">
        <v>1614</v>
      </c>
      <c r="G64" s="706">
        <v>0.41060000000000008</v>
      </c>
      <c r="H64" s="707">
        <v>1</v>
      </c>
      <c r="I64" s="740"/>
      <c r="J64" s="757"/>
      <c r="K64" s="748"/>
      <c r="L64" s="387" t="s">
        <v>177</v>
      </c>
      <c r="M64" s="387"/>
      <c r="N64" s="387"/>
      <c r="O64" s="387"/>
      <c r="P64" s="387"/>
      <c r="Q64" s="387"/>
      <c r="R64" s="387"/>
      <c r="S64" s="748"/>
      <c r="T64" s="757"/>
      <c r="U64" s="748"/>
      <c r="V64" s="609">
        <f>IF(W64=1,G64,0)</f>
        <v>0</v>
      </c>
      <c r="W64" s="707"/>
    </row>
    <row r="65" spans="2:23" outlineLevel="1">
      <c r="B65" s="665" t="s">
        <v>271</v>
      </c>
      <c r="C65" s="665" t="s">
        <v>271</v>
      </c>
      <c r="D65" s="665"/>
      <c r="E65" s="665"/>
      <c r="F65" s="681" t="s">
        <v>262</v>
      </c>
      <c r="G65" s="708">
        <f>SUBTOTAL(9,G66:G69)</f>
        <v>0.28500000000000003</v>
      </c>
      <c r="H65" s="709">
        <f>SUBTOTAL(9,H66:H69)</f>
        <v>3</v>
      </c>
      <c r="I65" s="626"/>
      <c r="J65" s="751"/>
      <c r="K65" s="416"/>
      <c r="L65" s="665"/>
      <c r="M65" s="665"/>
      <c r="N65" s="665"/>
      <c r="O65" s="665"/>
      <c r="P65" s="665"/>
      <c r="Q65" s="665"/>
      <c r="R65" s="665"/>
      <c r="S65" s="416"/>
      <c r="T65" s="751"/>
      <c r="U65" s="416"/>
      <c r="V65" s="708">
        <f>SUBTOTAL(9,V66:V69)</f>
        <v>0</v>
      </c>
      <c r="W65" s="709">
        <f>SUBTOTAL(9,W66:W69)</f>
        <v>0</v>
      </c>
    </row>
    <row r="66" spans="2:23" outlineLevel="2">
      <c r="B66" s="684" t="s">
        <v>271</v>
      </c>
      <c r="C66" s="684" t="s">
        <v>271</v>
      </c>
      <c r="D66" s="684" t="s">
        <v>17</v>
      </c>
      <c r="E66" s="684"/>
      <c r="F66" s="685" t="s">
        <v>371</v>
      </c>
      <c r="G66" s="686">
        <f>SUBTOTAL(9,G67:G69)</f>
        <v>0.28500000000000003</v>
      </c>
      <c r="H66" s="691">
        <f>SUBTOTAL(9,H67:H69)</f>
        <v>3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SUBTOTAL(9,V67:V69)</f>
        <v>0</v>
      </c>
      <c r="W66" s="691">
        <f>SUBTOTAL(9,W67:W69)</f>
        <v>0</v>
      </c>
    </row>
    <row r="67" spans="2:23" outlineLevel="3">
      <c r="B67" s="376" t="s">
        <v>271</v>
      </c>
      <c r="C67" s="376" t="s">
        <v>271</v>
      </c>
      <c r="D67" s="376" t="s">
        <v>17</v>
      </c>
      <c r="E67" s="376" t="s">
        <v>177</v>
      </c>
      <c r="F67" s="628" t="s">
        <v>370</v>
      </c>
      <c r="G67" s="609">
        <v>9.5000000000000015E-2</v>
      </c>
      <c r="H67" s="692">
        <v>1</v>
      </c>
      <c r="I67" s="626"/>
      <c r="J67" s="751"/>
      <c r="K67" s="416"/>
      <c r="L67" s="376" t="s">
        <v>177</v>
      </c>
      <c r="M67" s="376" t="s">
        <v>1621</v>
      </c>
      <c r="N67" s="376"/>
      <c r="O67" s="376"/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3">
      <c r="B68" s="376" t="s">
        <v>271</v>
      </c>
      <c r="C68" s="376" t="s">
        <v>271</v>
      </c>
      <c r="D68" s="376" t="s">
        <v>17</v>
      </c>
      <c r="E68" s="376" t="s">
        <v>177</v>
      </c>
      <c r="F68" s="628" t="s">
        <v>287</v>
      </c>
      <c r="G68" s="609">
        <v>9.5000000000000015E-2</v>
      </c>
      <c r="H68" s="692">
        <v>1</v>
      </c>
      <c r="I68" s="626"/>
      <c r="J68" s="751"/>
      <c r="K68" s="416"/>
      <c r="L68" s="376" t="s">
        <v>177</v>
      </c>
      <c r="M68" s="376" t="s">
        <v>1621</v>
      </c>
      <c r="N68" s="376"/>
      <c r="O68" s="376"/>
      <c r="P68" s="376"/>
      <c r="Q68" s="376"/>
      <c r="R68" s="376"/>
      <c r="S68" s="416"/>
      <c r="T68" s="751"/>
      <c r="U68" s="416"/>
      <c r="V68" s="609">
        <f>IF(W68=1,G68,0)</f>
        <v>0</v>
      </c>
      <c r="W68" s="692"/>
    </row>
    <row r="69" spans="2:23" outlineLevel="3">
      <c r="B69" s="376" t="s">
        <v>271</v>
      </c>
      <c r="C69" s="376" t="s">
        <v>271</v>
      </c>
      <c r="D69" s="376" t="s">
        <v>17</v>
      </c>
      <c r="E69" s="376" t="s">
        <v>177</v>
      </c>
      <c r="F69" s="628" t="s">
        <v>371</v>
      </c>
      <c r="G69" s="609">
        <v>9.5000000000000015E-2</v>
      </c>
      <c r="H69" s="692">
        <v>1</v>
      </c>
      <c r="I69" s="626"/>
      <c r="J69" s="751"/>
      <c r="K69" s="416"/>
      <c r="L69" s="376" t="s">
        <v>177</v>
      </c>
      <c r="M69" s="376" t="s">
        <v>1621</v>
      </c>
      <c r="N69" s="376"/>
      <c r="O69" s="376"/>
      <c r="P69" s="376"/>
      <c r="Q69" s="376"/>
      <c r="R69" s="376"/>
      <c r="S69" s="416"/>
      <c r="T69" s="751"/>
      <c r="U69" s="416"/>
      <c r="V69" s="609">
        <f>IF(W69=1,G69,0)</f>
        <v>0</v>
      </c>
      <c r="W69" s="692"/>
    </row>
    <row r="70" spans="2:23" outlineLevel="1">
      <c r="B70" s="665" t="s">
        <v>328</v>
      </c>
      <c r="C70" s="665" t="s">
        <v>265</v>
      </c>
      <c r="D70" s="665"/>
      <c r="E70" s="665"/>
      <c r="F70" s="681" t="s">
        <v>262</v>
      </c>
      <c r="G70" s="708">
        <f>SUBTOTAL(9,G71:G72)</f>
        <v>0.30500000000000005</v>
      </c>
      <c r="H70" s="709">
        <f>SUBTOTAL(9,H71:H72)</f>
        <v>1</v>
      </c>
      <c r="I70" s="626"/>
      <c r="J70" s="751"/>
      <c r="K70" s="416"/>
      <c r="L70" s="665"/>
      <c r="M70" s="665"/>
      <c r="N70" s="665"/>
      <c r="O70" s="665"/>
      <c r="P70" s="665"/>
      <c r="Q70" s="665"/>
      <c r="R70" s="665"/>
      <c r="S70" s="416"/>
      <c r="T70" s="751"/>
      <c r="U70" s="416"/>
      <c r="V70" s="708">
        <f>SUBTOTAL(9,V71:V72)</f>
        <v>0</v>
      </c>
      <c r="W70" s="709">
        <f>SUBTOTAL(9,W71:W72)</f>
        <v>0</v>
      </c>
    </row>
    <row r="71" spans="2:23" outlineLevel="2">
      <c r="B71" s="684" t="s">
        <v>328</v>
      </c>
      <c r="C71" s="684" t="s">
        <v>121</v>
      </c>
      <c r="D71" s="684" t="s">
        <v>17</v>
      </c>
      <c r="E71" s="684"/>
      <c r="F71" s="685" t="s">
        <v>1507</v>
      </c>
      <c r="G71" s="686">
        <f>SUBTOTAL(9,G72)</f>
        <v>0.30500000000000005</v>
      </c>
      <c r="H71" s="691">
        <f>SUBTOTAL(9,H72)</f>
        <v>1</v>
      </c>
      <c r="I71" s="626"/>
      <c r="J71" s="751"/>
      <c r="K71" s="416"/>
      <c r="L71" s="684"/>
      <c r="M71" s="684" t="s">
        <v>1475</v>
      </c>
      <c r="N71" s="684"/>
      <c r="O71" s="684"/>
      <c r="P71" s="684"/>
      <c r="Q71" s="684"/>
      <c r="R71" s="684"/>
      <c r="S71" s="416"/>
      <c r="T71" s="751"/>
      <c r="U71" s="416"/>
      <c r="V71" s="686">
        <f>SUBTOTAL(9,V72)</f>
        <v>0</v>
      </c>
      <c r="W71" s="691">
        <f>SUBTOTAL(9,W72)</f>
        <v>0</v>
      </c>
    </row>
    <row r="72" spans="2:23" outlineLevel="3">
      <c r="B72" s="376" t="s">
        <v>328</v>
      </c>
      <c r="C72" s="376" t="s">
        <v>121</v>
      </c>
      <c r="D72" s="376" t="s">
        <v>17</v>
      </c>
      <c r="E72" s="376" t="s">
        <v>177</v>
      </c>
      <c r="F72" s="608" t="s">
        <v>236</v>
      </c>
      <c r="G72" s="609">
        <v>0.30500000000000005</v>
      </c>
      <c r="H72" s="692">
        <v>1</v>
      </c>
      <c r="I72" s="626"/>
      <c r="J72" s="751"/>
      <c r="K72" s="416"/>
      <c r="L72" s="376" t="s">
        <v>177</v>
      </c>
      <c r="M72" s="376"/>
      <c r="N72" s="376"/>
      <c r="O72" s="376"/>
      <c r="P72" s="376"/>
      <c r="Q72" s="376"/>
      <c r="R72" s="376"/>
      <c r="S72" s="416"/>
      <c r="T72" s="751"/>
      <c r="U72" s="416"/>
      <c r="V72" s="609">
        <f>IF(W72=1,G72,0)</f>
        <v>0</v>
      </c>
      <c r="W72" s="692"/>
    </row>
    <row r="73" spans="2:23" outlineLevel="1">
      <c r="B73" s="666" t="s">
        <v>1513</v>
      </c>
      <c r="C73" s="666" t="s">
        <v>121</v>
      </c>
      <c r="D73" s="667"/>
      <c r="E73" s="665"/>
      <c r="F73" s="681" t="s">
        <v>262</v>
      </c>
      <c r="G73" s="708">
        <f>SUBTOTAL(9,G74:G78)</f>
        <v>2.8349967759554442</v>
      </c>
      <c r="H73" s="709">
        <f>SUBTOTAL(9,H74:H78)</f>
        <v>4</v>
      </c>
      <c r="I73" s="626"/>
      <c r="J73" s="751"/>
      <c r="K73" s="416"/>
      <c r="L73" s="665"/>
      <c r="M73" s="665"/>
      <c r="N73" s="665"/>
      <c r="O73" s="665"/>
      <c r="P73" s="665"/>
      <c r="Q73" s="665"/>
      <c r="R73" s="665"/>
      <c r="S73" s="416"/>
      <c r="T73" s="751"/>
      <c r="U73" s="416"/>
      <c r="V73" s="708">
        <f>SUBTOTAL(9,V74:V78)</f>
        <v>0</v>
      </c>
      <c r="W73" s="709">
        <f>SUBTOTAL(9,W74:W78)</f>
        <v>0</v>
      </c>
    </row>
    <row r="74" spans="2:23" outlineLevel="2">
      <c r="B74" s="684" t="s">
        <v>1513</v>
      </c>
      <c r="C74" s="687" t="s">
        <v>121</v>
      </c>
      <c r="D74" s="684" t="s">
        <v>17</v>
      </c>
      <c r="E74" s="684"/>
      <c r="F74" s="685" t="s">
        <v>1626</v>
      </c>
      <c r="G74" s="686">
        <f>SUBTOTAL(9,G75:G78)</f>
        <v>2.8349967759554442</v>
      </c>
      <c r="H74" s="691">
        <f>SUBTOTAL(9,H75:H78)</f>
        <v>4</v>
      </c>
      <c r="I74" s="626"/>
      <c r="J74" s="751"/>
      <c r="K74" s="416"/>
      <c r="L74" s="684"/>
      <c r="M74" s="684" t="s">
        <v>1475</v>
      </c>
      <c r="N74" s="684"/>
      <c r="O74" s="684"/>
      <c r="P74" s="684"/>
      <c r="Q74" s="684"/>
      <c r="R74" s="684"/>
      <c r="S74" s="416"/>
      <c r="T74" s="751"/>
      <c r="U74" s="416"/>
      <c r="V74" s="686">
        <f>SUBTOTAL(9,V75:V75)</f>
        <v>0</v>
      </c>
      <c r="W74" s="691">
        <f>SUBTOTAL(9,W75:W75)</f>
        <v>0</v>
      </c>
    </row>
    <row r="75" spans="2:23" outlineLevel="3">
      <c r="B75" s="376" t="s">
        <v>1513</v>
      </c>
      <c r="C75" s="387" t="s">
        <v>121</v>
      </c>
      <c r="D75" s="376" t="s">
        <v>17</v>
      </c>
      <c r="E75" s="376" t="s">
        <v>177</v>
      </c>
      <c r="F75" s="608" t="s">
        <v>236</v>
      </c>
      <c r="G75" s="609">
        <v>0.9449989253184814</v>
      </c>
      <c r="H75" s="692">
        <v>1</v>
      </c>
      <c r="I75" s="626"/>
      <c r="J75" s="751"/>
      <c r="K75" s="416"/>
      <c r="L75" s="376" t="s">
        <v>177</v>
      </c>
      <c r="M75" s="376"/>
      <c r="N75" s="376"/>
      <c r="O75" s="376"/>
      <c r="P75" s="376"/>
      <c r="Q75" s="376"/>
      <c r="R75" s="376"/>
      <c r="S75" s="416"/>
      <c r="T75" s="751"/>
      <c r="U75" s="416"/>
      <c r="V75" s="609">
        <f>IF(W75=1,G75,0)</f>
        <v>0</v>
      </c>
      <c r="W75" s="692"/>
    </row>
    <row r="76" spans="2:23" outlineLevel="3">
      <c r="B76" s="376" t="s">
        <v>1513</v>
      </c>
      <c r="C76" s="387" t="s">
        <v>121</v>
      </c>
      <c r="D76" s="376" t="s">
        <v>17</v>
      </c>
      <c r="E76" s="376" t="s">
        <v>177</v>
      </c>
      <c r="F76" s="608" t="s">
        <v>1212</v>
      </c>
      <c r="G76" s="609">
        <v>0.9449989253184814</v>
      </c>
      <c r="H76" s="692">
        <v>1</v>
      </c>
      <c r="I76" s="626"/>
      <c r="J76" s="751"/>
      <c r="K76" s="416"/>
      <c r="L76" s="376" t="s">
        <v>177</v>
      </c>
      <c r="M76" s="376"/>
      <c r="N76" s="376"/>
      <c r="O76" s="376"/>
      <c r="P76" s="376"/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2:23" outlineLevel="3">
      <c r="B77" s="376" t="s">
        <v>1513</v>
      </c>
      <c r="C77" s="387" t="s">
        <v>121</v>
      </c>
      <c r="D77" s="376" t="s">
        <v>17</v>
      </c>
      <c r="E77" s="376" t="s">
        <v>177</v>
      </c>
      <c r="F77" s="785" t="s">
        <v>326</v>
      </c>
      <c r="G77" s="609">
        <v>0.4724994626592407</v>
      </c>
      <c r="H77" s="692">
        <v>1</v>
      </c>
      <c r="I77" s="626"/>
      <c r="J77" s="751"/>
      <c r="K77" s="416"/>
      <c r="L77" s="376" t="s">
        <v>177</v>
      </c>
      <c r="M77" s="376"/>
      <c r="N77" s="376"/>
      <c r="O77" s="376"/>
      <c r="P77" s="376"/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2:23" outlineLevel="3">
      <c r="B78" s="376" t="s">
        <v>1513</v>
      </c>
      <c r="C78" s="387" t="s">
        <v>121</v>
      </c>
      <c r="D78" s="376" t="s">
        <v>17</v>
      </c>
      <c r="E78" s="376" t="s">
        <v>177</v>
      </c>
      <c r="F78" s="785" t="s">
        <v>285</v>
      </c>
      <c r="G78" s="609">
        <v>0.4724994626592407</v>
      </c>
      <c r="H78" s="692">
        <v>1</v>
      </c>
      <c r="I78" s="626"/>
      <c r="J78" s="751"/>
      <c r="K78" s="416"/>
      <c r="L78" s="376" t="s">
        <v>177</v>
      </c>
      <c r="M78" s="376"/>
      <c r="N78" s="376"/>
      <c r="O78" s="376"/>
      <c r="P78" s="376"/>
      <c r="Q78" s="376"/>
      <c r="R78" s="376">
        <v>0</v>
      </c>
      <c r="S78" s="416"/>
      <c r="T78" s="751"/>
      <c r="U78" s="416"/>
      <c r="V78" s="609">
        <f>IF(W78=1,G78,0)</f>
        <v>0</v>
      </c>
      <c r="W78" s="692"/>
    </row>
    <row r="79" spans="2:23" outlineLevel="1">
      <c r="B79" s="666" t="s">
        <v>1517</v>
      </c>
      <c r="C79" s="666" t="s">
        <v>121</v>
      </c>
      <c r="D79" s="667" t="s">
        <v>12</v>
      </c>
      <c r="E79" s="665"/>
      <c r="F79" s="681" t="s">
        <v>262</v>
      </c>
      <c r="G79" s="708">
        <f>SUBTOTAL(9,G80:G82)</f>
        <v>0.53709675044290905</v>
      </c>
      <c r="H79" s="709">
        <f>SUBTOTAL(9,H80:H82)</f>
        <v>2</v>
      </c>
      <c r="I79" s="626"/>
      <c r="J79" s="751"/>
      <c r="K79" s="416"/>
      <c r="L79" s="665"/>
      <c r="M79" s="665"/>
      <c r="N79" s="665"/>
      <c r="O79" s="665"/>
      <c r="P79" s="665"/>
      <c r="Q79" s="665"/>
      <c r="R79" s="665"/>
      <c r="S79" s="416"/>
      <c r="T79" s="751"/>
      <c r="U79" s="416"/>
      <c r="V79" s="708">
        <f>SUBTOTAL(9,V80:V82)</f>
        <v>0</v>
      </c>
      <c r="W79" s="709">
        <f>SUBTOTAL(9,W80:W82)</f>
        <v>0</v>
      </c>
    </row>
    <row r="80" spans="2:23" outlineLevel="2">
      <c r="B80" s="684" t="s">
        <v>1517</v>
      </c>
      <c r="C80" s="687" t="s">
        <v>121</v>
      </c>
      <c r="D80" s="684" t="s">
        <v>17</v>
      </c>
      <c r="E80" s="684"/>
      <c r="F80" s="685" t="s">
        <v>1522</v>
      </c>
      <c r="G80" s="686">
        <f>SUBTOTAL(9,G81:G82)</f>
        <v>0.53709675044290905</v>
      </c>
      <c r="H80" s="691">
        <f>SUBTOTAL(9,H81:H82)</f>
        <v>2</v>
      </c>
      <c r="I80" s="626"/>
      <c r="J80" s="751"/>
      <c r="K80" s="416"/>
      <c r="L80" s="684"/>
      <c r="M80" s="684" t="s">
        <v>1475</v>
      </c>
      <c r="N80" s="684"/>
      <c r="O80" s="684"/>
      <c r="P80" s="684"/>
      <c r="Q80" s="684"/>
      <c r="R80" s="684"/>
      <c r="S80" s="416"/>
      <c r="T80" s="751"/>
      <c r="U80" s="416"/>
      <c r="V80" s="686">
        <f>SUBTOTAL(9,V81:V82)</f>
        <v>0</v>
      </c>
      <c r="W80" s="691">
        <f>SUBTOTAL(9,W81:W82)</f>
        <v>0</v>
      </c>
    </row>
    <row r="81" spans="2:23" outlineLevel="3">
      <c r="B81" s="376" t="s">
        <v>1517</v>
      </c>
      <c r="C81" s="387" t="s">
        <v>121</v>
      </c>
      <c r="D81" s="376" t="s">
        <v>17</v>
      </c>
      <c r="E81" s="376" t="s">
        <v>177</v>
      </c>
      <c r="F81" s="608" t="s">
        <v>236</v>
      </c>
      <c r="G81" s="609">
        <v>0.26854837522145453</v>
      </c>
      <c r="H81" s="692">
        <v>1</v>
      </c>
      <c r="I81" s="626"/>
      <c r="J81" s="751"/>
      <c r="K81" s="416"/>
      <c r="L81" s="376" t="s">
        <v>177</v>
      </c>
      <c r="M81" s="376"/>
      <c r="N81" s="376"/>
      <c r="O81" s="376"/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3">
      <c r="B82" s="376" t="s">
        <v>1517</v>
      </c>
      <c r="C82" s="387" t="s">
        <v>121</v>
      </c>
      <c r="D82" s="376" t="s">
        <v>17</v>
      </c>
      <c r="E82" s="376" t="s">
        <v>177</v>
      </c>
      <c r="F82" s="608" t="s">
        <v>1427</v>
      </c>
      <c r="G82" s="609">
        <v>0.26854837522145453</v>
      </c>
      <c r="H82" s="692">
        <v>1</v>
      </c>
      <c r="I82" s="626"/>
      <c r="J82" s="751"/>
      <c r="K82" s="416"/>
      <c r="L82" s="376" t="s">
        <v>177</v>
      </c>
      <c r="M82" s="376"/>
      <c r="N82" s="376"/>
      <c r="O82" s="376"/>
      <c r="P82" s="376"/>
      <c r="Q82" s="376"/>
      <c r="R82" s="376"/>
      <c r="S82" s="416"/>
      <c r="T82" s="751"/>
      <c r="U82" s="416"/>
      <c r="V82" s="609">
        <f>IF(W82=1,G82,0)</f>
        <v>0</v>
      </c>
      <c r="W82" s="692"/>
    </row>
    <row r="83" spans="2:23" outlineLevel="1">
      <c r="B83" s="666" t="s">
        <v>1533</v>
      </c>
      <c r="C83" s="666" t="s">
        <v>1534</v>
      </c>
      <c r="D83" s="667"/>
      <c r="E83" s="665"/>
      <c r="F83" s="681" t="s">
        <v>262</v>
      </c>
      <c r="G83" s="708">
        <f>SUBTOTAL(9,G84:G85)</f>
        <v>1.6141000000000003</v>
      </c>
      <c r="H83" s="709">
        <f>SUBTOTAL(9,H84:H85)</f>
        <v>1</v>
      </c>
      <c r="I83" s="626"/>
      <c r="J83" s="751"/>
      <c r="K83" s="416"/>
      <c r="L83" s="665"/>
      <c r="M83" s="665"/>
      <c r="N83" s="665"/>
      <c r="O83" s="665"/>
      <c r="P83" s="665"/>
      <c r="Q83" s="665"/>
      <c r="R83" s="665"/>
      <c r="S83" s="416"/>
      <c r="T83" s="751"/>
      <c r="U83" s="416"/>
      <c r="V83" s="708">
        <f>SUBTOTAL(9,V84:V85)</f>
        <v>0</v>
      </c>
      <c r="W83" s="709">
        <f>SUBTOTAL(9,W84:W85)</f>
        <v>0</v>
      </c>
    </row>
    <row r="84" spans="2:23" outlineLevel="2">
      <c r="B84" s="684" t="s">
        <v>1533</v>
      </c>
      <c r="C84" s="684" t="s">
        <v>1534</v>
      </c>
      <c r="D84" s="684" t="s">
        <v>17</v>
      </c>
      <c r="E84" s="684"/>
      <c r="F84" s="685" t="s">
        <v>418</v>
      </c>
      <c r="G84" s="686">
        <f>SUBTOTAL(9,G85)</f>
        <v>1.6141000000000003</v>
      </c>
      <c r="H84" s="691">
        <f>SUBTOTAL(9,H85)</f>
        <v>1</v>
      </c>
      <c r="I84" s="626"/>
      <c r="J84" s="751"/>
      <c r="K84" s="416"/>
      <c r="L84" s="684"/>
      <c r="M84" s="684"/>
      <c r="N84" s="684"/>
      <c r="O84" s="684"/>
      <c r="P84" s="684"/>
      <c r="Q84" s="684"/>
      <c r="R84" s="684"/>
      <c r="S84" s="416"/>
      <c r="T84" s="751"/>
      <c r="U84" s="416"/>
      <c r="V84" s="686">
        <f>SUBTOTAL(9,V85)</f>
        <v>0</v>
      </c>
      <c r="W84" s="691">
        <f>SUBTOTAL(9,W85)</f>
        <v>0</v>
      </c>
    </row>
    <row r="85" spans="2:23" outlineLevel="3">
      <c r="B85" s="376" t="s">
        <v>1533</v>
      </c>
      <c r="C85" s="376" t="s">
        <v>1534</v>
      </c>
      <c r="D85" s="376" t="s">
        <v>17</v>
      </c>
      <c r="E85" s="376" t="s">
        <v>177</v>
      </c>
      <c r="F85" s="608" t="s">
        <v>418</v>
      </c>
      <c r="G85" s="609">
        <v>1.6141000000000003</v>
      </c>
      <c r="H85" s="692">
        <v>1</v>
      </c>
      <c r="I85" s="626"/>
      <c r="J85" s="751"/>
      <c r="K85" s="416"/>
      <c r="L85" s="376" t="s">
        <v>177</v>
      </c>
      <c r="M85" s="376" t="s">
        <v>177</v>
      </c>
      <c r="N85" s="376" t="s">
        <v>1536</v>
      </c>
      <c r="O85" s="376" t="s">
        <v>1537</v>
      </c>
      <c r="P85" s="376"/>
      <c r="Q85" s="376"/>
      <c r="R85" s="376"/>
      <c r="S85" s="416"/>
      <c r="T85" s="751"/>
      <c r="U85" s="416"/>
      <c r="V85" s="609">
        <f>IF(W85=1,G85,0)</f>
        <v>0</v>
      </c>
      <c r="W85" s="692"/>
    </row>
    <row r="86" spans="2:23" s="795" customFormat="1" outlineLevel="1">
      <c r="B86" s="682" t="s">
        <v>1546</v>
      </c>
      <c r="C86" s="682" t="s">
        <v>1547</v>
      </c>
      <c r="D86" s="682"/>
      <c r="E86" s="682"/>
      <c r="F86" s="681" t="s">
        <v>262</v>
      </c>
      <c r="G86" s="708">
        <f>SUBTOTAL(9,G87:G90)</f>
        <v>0.25712500000000005</v>
      </c>
      <c r="H86" s="709">
        <f>SUBTOTAL(9,H87:H90)</f>
        <v>3</v>
      </c>
      <c r="I86" s="746"/>
      <c r="J86" s="758"/>
      <c r="K86" s="747"/>
      <c r="L86" s="682"/>
      <c r="M86" s="682"/>
      <c r="N86" s="682"/>
      <c r="O86" s="682"/>
      <c r="P86" s="682"/>
      <c r="Q86" s="682"/>
      <c r="R86" s="682"/>
      <c r="S86" s="747"/>
      <c r="T86" s="758"/>
      <c r="U86" s="747"/>
      <c r="V86" s="708">
        <f>SUBTOTAL(9,V87:V90)</f>
        <v>0</v>
      </c>
      <c r="W86" s="709">
        <f>SUBTOTAL(9,W87:W90)</f>
        <v>0</v>
      </c>
    </row>
    <row r="87" spans="2:23" outlineLevel="2">
      <c r="B87" s="684" t="s">
        <v>1546</v>
      </c>
      <c r="C87" s="684" t="s">
        <v>1547</v>
      </c>
      <c r="D87" s="684" t="s">
        <v>17</v>
      </c>
      <c r="E87" s="684"/>
      <c r="F87" s="685" t="s">
        <v>1212</v>
      </c>
      <c r="G87" s="686">
        <f>SUBTOTAL(9,G88:G90)</f>
        <v>0.25712500000000005</v>
      </c>
      <c r="H87" s="691">
        <f>SUBTOTAL(9,H88:H90)</f>
        <v>3</v>
      </c>
      <c r="I87" s="626"/>
      <c r="J87" s="751"/>
      <c r="K87" s="416"/>
      <c r="L87" s="684"/>
      <c r="M87" s="684" t="s">
        <v>1475</v>
      </c>
      <c r="N87" s="684"/>
      <c r="O87" s="684"/>
      <c r="P87" s="684"/>
      <c r="Q87" s="684"/>
      <c r="R87" s="684"/>
      <c r="S87" s="416"/>
      <c r="T87" s="751"/>
      <c r="U87" s="416"/>
      <c r="V87" s="686">
        <f>SUBTOTAL(9,V88:V90)</f>
        <v>0</v>
      </c>
      <c r="W87" s="691">
        <f>SUBTOTAL(9,W88:W90)</f>
        <v>0</v>
      </c>
    </row>
    <row r="88" spans="2:23" outlineLevel="3">
      <c r="B88" s="376" t="s">
        <v>1546</v>
      </c>
      <c r="C88" s="376" t="s">
        <v>1547</v>
      </c>
      <c r="D88" s="376" t="s">
        <v>17</v>
      </c>
      <c r="E88" s="376" t="s">
        <v>177</v>
      </c>
      <c r="F88" s="628" t="s">
        <v>370</v>
      </c>
      <c r="G88" s="609">
        <v>0.10475000000000001</v>
      </c>
      <c r="H88" s="692">
        <v>1</v>
      </c>
      <c r="I88" s="626"/>
      <c r="J88" s="751"/>
      <c r="K88" s="416"/>
      <c r="L88" s="376" t="s">
        <v>177</v>
      </c>
      <c r="M88" s="376"/>
      <c r="N88" s="376"/>
      <c r="O88" s="376"/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1546</v>
      </c>
      <c r="C89" s="376" t="s">
        <v>1547</v>
      </c>
      <c r="D89" s="376" t="s">
        <v>17</v>
      </c>
      <c r="E89" s="376" t="s">
        <v>177</v>
      </c>
      <c r="F89" s="628" t="s">
        <v>287</v>
      </c>
      <c r="G89" s="609">
        <v>5.2375000000000005E-2</v>
      </c>
      <c r="H89" s="692">
        <v>1</v>
      </c>
      <c r="I89" s="626"/>
      <c r="J89" s="751"/>
      <c r="K89" s="416"/>
      <c r="L89" s="376" t="s">
        <v>177</v>
      </c>
      <c r="M89" s="376"/>
      <c r="N89" s="376"/>
      <c r="O89" s="376"/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1546</v>
      </c>
      <c r="C90" s="376" t="s">
        <v>1547</v>
      </c>
      <c r="D90" s="376" t="s">
        <v>17</v>
      </c>
      <c r="E90" s="376" t="s">
        <v>177</v>
      </c>
      <c r="F90" s="628" t="s">
        <v>371</v>
      </c>
      <c r="G90" s="609">
        <v>0.1</v>
      </c>
      <c r="H90" s="692">
        <v>1</v>
      </c>
      <c r="I90" s="626"/>
      <c r="J90" s="751"/>
      <c r="K90" s="416"/>
      <c r="L90" s="376" t="s">
        <v>177</v>
      </c>
      <c r="M90" s="376"/>
      <c r="N90" s="376"/>
      <c r="O90" s="376"/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>
      <c r="B91" s="416"/>
      <c r="C91" s="416"/>
      <c r="D91" s="416"/>
      <c r="E91" s="416"/>
      <c r="F91" s="749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</row>
  </sheetData>
  <autoFilter ref="B4:W9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F2D-54FF-463B-8278-F49F20F470D2}">
  <sheetPr>
    <outlinePr summaryBelow="0" summaryRight="0"/>
    <pageSetUpPr fitToPage="1"/>
  </sheetPr>
  <dimension ref="A2:AA58"/>
  <sheetViews>
    <sheetView zoomScale="90" zoomScaleNormal="90" workbookViewId="0">
      <pane xSplit="2" ySplit="4" topLeftCell="C41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4140625" defaultRowHeight="13.2" outlineLevelRow="3" outlineLevelCol="1"/>
  <cols>
    <col min="1" max="1" width="0.5546875" style="787" customWidth="1"/>
    <col min="2" max="2" width="22.6640625" style="787" customWidth="1"/>
    <col min="3" max="3" width="17.6640625" style="787" bestFit="1" customWidth="1"/>
    <col min="4" max="4" width="16.33203125" style="787" customWidth="1"/>
    <col min="5" max="5" width="14.44140625" style="787" customWidth="1"/>
    <col min="6" max="6" width="53.6640625" style="791" customWidth="1"/>
    <col min="7" max="7" width="13.33203125" style="787" bestFit="1" customWidth="1"/>
    <col min="8" max="8" width="9.5546875" style="787" customWidth="1" outlineLevel="1"/>
    <col min="9" max="11" width="0.5546875" style="787" customWidth="1"/>
    <col min="12" max="12" width="14.44140625" style="787" customWidth="1"/>
    <col min="13" max="13" width="14.44140625" style="787" customWidth="1" collapsed="1"/>
    <col min="14" max="18" width="14.44140625" style="787" hidden="1" customWidth="1" outlineLevel="1"/>
    <col min="19" max="21" width="0.5546875" style="787" customWidth="1"/>
    <col min="22" max="22" width="16.33203125" style="787" customWidth="1" collapsed="1"/>
    <col min="23" max="23" width="14.33203125" style="787" hidden="1" customWidth="1" outlineLevel="1"/>
    <col min="24" max="26" width="9.44140625" style="787" bestFit="1"/>
    <col min="27" max="27" width="9.44140625" style="787" bestFit="1" customWidth="1"/>
    <col min="28" max="16384" width="9.44140625" style="787"/>
  </cols>
  <sheetData>
    <row r="2" spans="1:27" ht="17.399999999999999">
      <c r="A2" s="376"/>
      <c r="B2" s="418" t="s">
        <v>1686</v>
      </c>
      <c r="C2" s="418"/>
      <c r="D2" s="418"/>
      <c r="E2" s="418"/>
      <c r="F2" s="423"/>
      <c r="G2" s="796">
        <f>SUBTOTAL(9,G6:G57)</f>
        <v>40.8494864295496</v>
      </c>
      <c r="H2" s="690">
        <f>SUBTOTAL(9,H6:H57)</f>
        <v>31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SUBTOTAL(9,V6:V57)</f>
        <v>0</v>
      </c>
      <c r="W2" s="764">
        <f>SUBTOTAL(9,W6:W57)</f>
        <v>0</v>
      </c>
      <c r="X2" s="610">
        <f>G2-V2</f>
        <v>40.8494864295496</v>
      </c>
      <c r="Y2" s="610">
        <f>H2-W2</f>
        <v>31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13</v>
      </c>
      <c r="C6" s="430"/>
      <c r="D6" s="430"/>
      <c r="E6" s="430"/>
      <c r="F6" s="697"/>
      <c r="G6" s="738">
        <f>SUBTOTAL(9,G8:G12)</f>
        <v>0.3642147722995997</v>
      </c>
      <c r="H6" s="739">
        <f>SUBTOTAL(9,H8:H12)</f>
        <v>3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SUBTOTAL(9,V8:V12)</f>
        <v>0</v>
      </c>
      <c r="W6" s="739">
        <f>SUBTOTAL(9,W8:W12)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s="794" customFormat="1" outlineLevel="1">
      <c r="A8" s="386"/>
      <c r="B8" s="666" t="s">
        <v>62</v>
      </c>
      <c r="C8" s="666" t="s">
        <v>63</v>
      </c>
      <c r="D8" s="666"/>
      <c r="E8" s="666"/>
      <c r="F8" s="681" t="s">
        <v>262</v>
      </c>
      <c r="G8" s="708">
        <f>SUBTOTAL(9,G9:G12)</f>
        <v>0.3642147722995997</v>
      </c>
      <c r="H8" s="709">
        <f>SUBTOTAL(9,H9:H12)</f>
        <v>3</v>
      </c>
      <c r="I8" s="710"/>
      <c r="J8" s="755"/>
      <c r="K8" s="711"/>
      <c r="L8" s="666"/>
      <c r="M8" s="666"/>
      <c r="N8" s="666"/>
      <c r="O8" s="666"/>
      <c r="P8" s="666"/>
      <c r="Q8" s="666"/>
      <c r="R8" s="666"/>
      <c r="S8" s="711"/>
      <c r="T8" s="755"/>
      <c r="U8" s="711"/>
      <c r="V8" s="708">
        <f>SUBTOTAL(9,V9:V12)</f>
        <v>0</v>
      </c>
      <c r="W8" s="709">
        <f>SUBTOTAL(9,W9:W12)</f>
        <v>0</v>
      </c>
      <c r="X8" s="711"/>
      <c r="Y8" s="711"/>
      <c r="Z8" s="711"/>
      <c r="AA8" s="711"/>
    </row>
    <row r="9" spans="1:27" outlineLevel="2">
      <c r="A9" s="376"/>
      <c r="B9" s="684" t="s">
        <v>62</v>
      </c>
      <c r="C9" s="684" t="s">
        <v>63</v>
      </c>
      <c r="D9" s="684" t="s">
        <v>17</v>
      </c>
      <c r="E9" s="684"/>
      <c r="F9" s="712" t="s">
        <v>1194</v>
      </c>
      <c r="G9" s="686">
        <f>SUBTOTAL(9,G10:G12)</f>
        <v>0.3642147722995997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416"/>
      <c r="Y9" s="416"/>
      <c r="Z9" s="416"/>
      <c r="AA9" s="416"/>
    </row>
    <row r="10" spans="1:27" outlineLevel="3">
      <c r="A10" s="376"/>
      <c r="B10" s="376" t="s">
        <v>62</v>
      </c>
      <c r="C10" s="376" t="s">
        <v>63</v>
      </c>
      <c r="D10" s="376" t="s">
        <v>17</v>
      </c>
      <c r="E10" s="376" t="s">
        <v>64</v>
      </c>
      <c r="F10" s="608" t="s">
        <v>184</v>
      </c>
      <c r="G10" s="609">
        <v>0.13658053961234987</v>
      </c>
      <c r="H10" s="692">
        <v>1</v>
      </c>
      <c r="I10" s="626"/>
      <c r="J10" s="751"/>
      <c r="K10" s="416"/>
      <c r="L10" s="376" t="s">
        <v>64</v>
      </c>
      <c r="M10" s="376" t="s">
        <v>1240</v>
      </c>
      <c r="N10" s="376" t="s">
        <v>1241</v>
      </c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62</v>
      </c>
      <c r="C11" s="376" t="s">
        <v>63</v>
      </c>
      <c r="D11" s="376" t="s">
        <v>17</v>
      </c>
      <c r="E11" s="376" t="s">
        <v>64</v>
      </c>
      <c r="F11" s="623" t="s">
        <v>186</v>
      </c>
      <c r="G11" s="609">
        <v>0.18210738614979985</v>
      </c>
      <c r="H11" s="692">
        <v>1</v>
      </c>
      <c r="I11" s="626"/>
      <c r="J11" s="751"/>
      <c r="K11" s="416"/>
      <c r="L11" s="376" t="s">
        <v>64</v>
      </c>
      <c r="M11" s="376" t="s">
        <v>1240</v>
      </c>
      <c r="N11" s="376" t="s">
        <v>1242</v>
      </c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62</v>
      </c>
      <c r="C12" s="376" t="s">
        <v>63</v>
      </c>
      <c r="D12" s="376" t="s">
        <v>17</v>
      </c>
      <c r="E12" s="376" t="s">
        <v>64</v>
      </c>
      <c r="F12" s="623" t="s">
        <v>187</v>
      </c>
      <c r="G12" s="609">
        <v>4.5526846537449962E-2</v>
      </c>
      <c r="H12" s="692">
        <v>1</v>
      </c>
      <c r="I12" s="626"/>
      <c r="J12" s="751"/>
      <c r="K12" s="416"/>
      <c r="L12" s="376" t="s">
        <v>64</v>
      </c>
      <c r="M12" s="376" t="s">
        <v>1240</v>
      </c>
      <c r="N12" s="376" t="s">
        <v>1243</v>
      </c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ht="3" customHeight="1" outlineLevel="1">
      <c r="A13" s="376"/>
      <c r="B13" s="392"/>
      <c r="C13" s="376"/>
      <c r="D13" s="392"/>
      <c r="E13" s="392"/>
      <c r="F13" s="608"/>
      <c r="G13" s="609"/>
      <c r="H13" s="692"/>
      <c r="I13" s="626"/>
      <c r="J13" s="751"/>
      <c r="K13" s="416"/>
      <c r="L13" s="392"/>
      <c r="M13" s="392"/>
      <c r="N13" s="392"/>
      <c r="O13" s="392"/>
      <c r="P13" s="392"/>
      <c r="Q13" s="392"/>
      <c r="R13" s="392"/>
      <c r="S13" s="416"/>
      <c r="T13" s="751"/>
      <c r="U13" s="416"/>
      <c r="V13" s="609"/>
      <c r="W13" s="692"/>
      <c r="X13" s="416"/>
      <c r="Y13" s="416"/>
      <c r="Z13" s="416"/>
      <c r="AA13" s="416"/>
    </row>
    <row r="14" spans="1:27" ht="15">
      <c r="A14" s="376"/>
      <c r="B14" s="430" t="s">
        <v>280</v>
      </c>
      <c r="C14" s="430"/>
      <c r="D14" s="430"/>
      <c r="E14" s="430"/>
      <c r="F14" s="697"/>
      <c r="G14" s="738">
        <f>SUBTOTAL(9,G16:G57)</f>
        <v>40.485271657250003</v>
      </c>
      <c r="H14" s="739">
        <f>SUBTOTAL(9,H16:H57)</f>
        <v>28</v>
      </c>
      <c r="I14" s="626"/>
      <c r="J14" s="751"/>
      <c r="K14" s="416"/>
      <c r="L14" s="430"/>
      <c r="M14" s="430"/>
      <c r="N14" s="430"/>
      <c r="O14" s="430"/>
      <c r="P14" s="430"/>
      <c r="Q14" s="430"/>
      <c r="R14" s="430"/>
      <c r="S14" s="416"/>
      <c r="T14" s="751"/>
      <c r="U14" s="416"/>
      <c r="V14" s="738">
        <f>SUBTOTAL(9,V16:V57)</f>
        <v>0</v>
      </c>
      <c r="W14" s="739">
        <f>SUBTOTAL(9,W16:W57)</f>
        <v>0</v>
      </c>
      <c r="X14" s="416"/>
      <c r="Y14" s="416"/>
      <c r="Z14" s="416"/>
      <c r="AA14" s="416"/>
    </row>
    <row r="15" spans="1:27" ht="3" customHeight="1" outlineLevel="1">
      <c r="A15" s="376"/>
      <c r="B15" s="376"/>
      <c r="C15" s="376"/>
      <c r="D15" s="376"/>
      <c r="E15" s="376"/>
      <c r="F15" s="608"/>
      <c r="G15" s="609"/>
      <c r="H15" s="692"/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/>
      <c r="W15" s="692"/>
      <c r="X15" s="416"/>
      <c r="Y15" s="416"/>
      <c r="Z15" s="416"/>
      <c r="AA15" s="416"/>
    </row>
    <row r="16" spans="1:27" s="790" customFormat="1" outlineLevel="1">
      <c r="A16" s="392"/>
      <c r="B16" s="666" t="s">
        <v>307</v>
      </c>
      <c r="C16" s="666" t="s">
        <v>308</v>
      </c>
      <c r="D16" s="666"/>
      <c r="E16" s="666"/>
      <c r="F16" s="681" t="s">
        <v>262</v>
      </c>
      <c r="G16" s="708">
        <f>SUBTOTAL(9,G17:G22)</f>
        <v>16.579694250000003</v>
      </c>
      <c r="H16" s="709">
        <f>SUBTOTAL(9,H17:H22)</f>
        <v>5</v>
      </c>
      <c r="I16" s="740"/>
      <c r="J16" s="757"/>
      <c r="K16" s="748"/>
      <c r="L16" s="666"/>
      <c r="M16" s="666"/>
      <c r="N16" s="666"/>
      <c r="O16" s="666"/>
      <c r="P16" s="666"/>
      <c r="Q16" s="666"/>
      <c r="R16" s="666"/>
      <c r="S16" s="748"/>
      <c r="T16" s="757"/>
      <c r="U16" s="748"/>
      <c r="V16" s="708">
        <f>SUBTOTAL(9,V17:V22)</f>
        <v>0</v>
      </c>
      <c r="W16" s="709">
        <f>SUBTOTAL(9,W17:W22)</f>
        <v>0</v>
      </c>
      <c r="X16" s="741"/>
      <c r="Y16" s="741"/>
      <c r="Z16" s="741"/>
      <c r="AA16" s="741"/>
    </row>
    <row r="17" spans="2:23" s="790" customFormat="1" outlineLevel="2">
      <c r="B17" s="687" t="s">
        <v>308</v>
      </c>
      <c r="C17" s="687" t="s">
        <v>308</v>
      </c>
      <c r="D17" s="687" t="s">
        <v>17</v>
      </c>
      <c r="E17" s="687"/>
      <c r="F17" s="717" t="s">
        <v>1616</v>
      </c>
      <c r="G17" s="742">
        <f>SUBTOTAL(9,G18:G22)</f>
        <v>16.579694250000003</v>
      </c>
      <c r="H17" s="743">
        <f>SUBTOTAL(9,H18:H22)</f>
        <v>5</v>
      </c>
      <c r="I17" s="740"/>
      <c r="J17" s="757"/>
      <c r="K17" s="748"/>
      <c r="L17" s="687"/>
      <c r="M17" s="687"/>
      <c r="N17" s="687"/>
      <c r="O17" s="687"/>
      <c r="P17" s="687"/>
      <c r="Q17" s="687"/>
      <c r="R17" s="687"/>
      <c r="S17" s="748"/>
      <c r="T17" s="757"/>
      <c r="U17" s="748"/>
      <c r="V17" s="742">
        <f>SUBTOTAL(9,V18:V21)</f>
        <v>0</v>
      </c>
      <c r="W17" s="743">
        <f>SUBTOTAL(9,W18:W21)</f>
        <v>0</v>
      </c>
    </row>
    <row r="18" spans="2:23" s="790" customFormat="1" outlineLevel="3" collapsed="1">
      <c r="B18" s="387" t="s">
        <v>308</v>
      </c>
      <c r="C18" s="387" t="s">
        <v>308</v>
      </c>
      <c r="D18" s="387" t="s">
        <v>17</v>
      </c>
      <c r="E18" s="387" t="s">
        <v>64</v>
      </c>
      <c r="F18" s="705" t="s">
        <v>418</v>
      </c>
      <c r="G18" s="706">
        <v>3.6843765000000008</v>
      </c>
      <c r="H18" s="707">
        <v>1</v>
      </c>
      <c r="I18" s="740"/>
      <c r="J18" s="757"/>
      <c r="K18" s="748"/>
      <c r="L18" s="387" t="s">
        <v>64</v>
      </c>
      <c r="M18" s="387" t="s">
        <v>64</v>
      </c>
      <c r="N18" s="387" t="s">
        <v>1484</v>
      </c>
      <c r="O18" s="387"/>
      <c r="P18" s="387"/>
      <c r="Q18" s="387"/>
      <c r="R18" s="387"/>
      <c r="S18" s="748"/>
      <c r="T18" s="757"/>
      <c r="U18" s="748"/>
      <c r="V18" s="609">
        <f>IF(W18=1,G18,0)</f>
        <v>0</v>
      </c>
      <c r="W18" s="707"/>
    </row>
    <row r="19" spans="2:23" s="790" customFormat="1" outlineLevel="3">
      <c r="B19" s="387" t="s">
        <v>308</v>
      </c>
      <c r="C19" s="387" t="s">
        <v>308</v>
      </c>
      <c r="D19" s="387" t="s">
        <v>17</v>
      </c>
      <c r="E19" s="387" t="s">
        <v>64</v>
      </c>
      <c r="F19" s="705" t="s">
        <v>236</v>
      </c>
      <c r="G19" s="706">
        <v>3.6843765000000008</v>
      </c>
      <c r="H19" s="707">
        <v>1</v>
      </c>
      <c r="I19" s="740"/>
      <c r="J19" s="757"/>
      <c r="K19" s="748"/>
      <c r="L19" s="387" t="s">
        <v>64</v>
      </c>
      <c r="M19" s="387" t="s">
        <v>64</v>
      </c>
      <c r="N19" s="387" t="s">
        <v>1484</v>
      </c>
      <c r="O19" s="387"/>
      <c r="P19" s="387"/>
      <c r="Q19" s="387"/>
      <c r="R19" s="387"/>
      <c r="S19" s="748"/>
      <c r="T19" s="757"/>
      <c r="U19" s="748"/>
      <c r="V19" s="609">
        <f>IF(W19=1,G19,0)</f>
        <v>0</v>
      </c>
      <c r="W19" s="707"/>
    </row>
    <row r="20" spans="2:23" s="790" customFormat="1" outlineLevel="3">
      <c r="B20" s="387" t="s">
        <v>308</v>
      </c>
      <c r="C20" s="387" t="s">
        <v>308</v>
      </c>
      <c r="D20" s="387" t="s">
        <v>17</v>
      </c>
      <c r="E20" s="387" t="s">
        <v>64</v>
      </c>
      <c r="F20" s="705" t="s">
        <v>1427</v>
      </c>
      <c r="G20" s="706">
        <v>3.6843764999999999</v>
      </c>
      <c r="H20" s="707">
        <v>1</v>
      </c>
      <c r="I20" s="740"/>
      <c r="J20" s="757"/>
      <c r="K20" s="748"/>
      <c r="L20" s="387" t="s">
        <v>64</v>
      </c>
      <c r="M20" s="387" t="s">
        <v>1485</v>
      </c>
      <c r="N20" s="387" t="s">
        <v>1484</v>
      </c>
      <c r="O20" s="387" t="s">
        <v>1486</v>
      </c>
      <c r="P20" s="387"/>
      <c r="Q20" s="387"/>
      <c r="R20" s="387"/>
      <c r="S20" s="748"/>
      <c r="T20" s="757"/>
      <c r="U20" s="748"/>
      <c r="V20" s="609">
        <f>IF(W20=1,G20,0)</f>
        <v>0</v>
      </c>
      <c r="W20" s="707"/>
    </row>
    <row r="21" spans="2:23" s="790" customFormat="1" outlineLevel="3">
      <c r="B21" s="387" t="s">
        <v>308</v>
      </c>
      <c r="C21" s="387" t="s">
        <v>308</v>
      </c>
      <c r="D21" s="387" t="s">
        <v>17</v>
      </c>
      <c r="E21" s="387" t="s">
        <v>64</v>
      </c>
      <c r="F21" s="705" t="s">
        <v>1487</v>
      </c>
      <c r="G21" s="706">
        <v>1.8421882500000004</v>
      </c>
      <c r="H21" s="707">
        <v>1</v>
      </c>
      <c r="I21" s="740"/>
      <c r="J21" s="757"/>
      <c r="K21" s="748"/>
      <c r="L21" s="387" t="s">
        <v>64</v>
      </c>
      <c r="M21" s="387" t="s">
        <v>1485</v>
      </c>
      <c r="N21" s="387" t="s">
        <v>1484</v>
      </c>
      <c r="O21" s="387" t="s">
        <v>1486</v>
      </c>
      <c r="P21" s="387"/>
      <c r="Q21" s="387"/>
      <c r="R21" s="387"/>
      <c r="S21" s="748"/>
      <c r="T21" s="757"/>
      <c r="U21" s="748"/>
      <c r="V21" s="609">
        <f>IF(W21=1,G21,0)</f>
        <v>0</v>
      </c>
      <c r="W21" s="707"/>
    </row>
    <row r="22" spans="2:23" s="790" customFormat="1" outlineLevel="3">
      <c r="B22" s="387" t="s">
        <v>308</v>
      </c>
      <c r="C22" s="387" t="s">
        <v>308</v>
      </c>
      <c r="D22" s="387" t="s">
        <v>17</v>
      </c>
      <c r="E22" s="387" t="s">
        <v>64</v>
      </c>
      <c r="F22" s="705" t="s">
        <v>1613</v>
      </c>
      <c r="G22" s="706">
        <v>3.6843765000000008</v>
      </c>
      <c r="H22" s="707">
        <v>1</v>
      </c>
      <c r="I22" s="740"/>
      <c r="J22" s="757"/>
      <c r="K22" s="748"/>
      <c r="L22" s="387" t="s">
        <v>64</v>
      </c>
      <c r="M22" s="387" t="s">
        <v>64</v>
      </c>
      <c r="N22" s="387" t="s">
        <v>1484</v>
      </c>
      <c r="O22" s="387"/>
      <c r="P22" s="387"/>
      <c r="Q22" s="387"/>
      <c r="R22" s="387"/>
      <c r="S22" s="748"/>
      <c r="T22" s="757"/>
      <c r="U22" s="748"/>
      <c r="V22" s="609">
        <f>IF(W22=1,G22,0)</f>
        <v>0</v>
      </c>
      <c r="W22" s="707"/>
    </row>
    <row r="23" spans="2:23" s="790" customFormat="1" outlineLevel="1">
      <c r="B23" s="666" t="s">
        <v>311</v>
      </c>
      <c r="C23" s="666" t="s">
        <v>312</v>
      </c>
      <c r="D23" s="666"/>
      <c r="E23" s="666"/>
      <c r="F23" s="681" t="s">
        <v>262</v>
      </c>
      <c r="G23" s="708">
        <f>SUBTOTAL(9,G24:G29)</f>
        <v>5.5265647500000004</v>
      </c>
      <c r="H23" s="709">
        <f>SUBTOTAL(9,H24:H29)</f>
        <v>5</v>
      </c>
      <c r="I23" s="740"/>
      <c r="J23" s="757"/>
      <c r="K23" s="748"/>
      <c r="L23" s="666"/>
      <c r="M23" s="666"/>
      <c r="N23" s="666"/>
      <c r="O23" s="666"/>
      <c r="P23" s="666"/>
      <c r="Q23" s="666"/>
      <c r="R23" s="666"/>
      <c r="S23" s="748"/>
      <c r="T23" s="757"/>
      <c r="U23" s="748"/>
      <c r="V23" s="708">
        <f>SUBTOTAL(9,V24:V29)</f>
        <v>0</v>
      </c>
      <c r="W23" s="709">
        <f>SUBTOTAL(9,W24:W29)</f>
        <v>0</v>
      </c>
    </row>
    <row r="24" spans="2:23" outlineLevel="2">
      <c r="B24" s="687" t="s">
        <v>312</v>
      </c>
      <c r="C24" s="687" t="s">
        <v>312</v>
      </c>
      <c r="D24" s="684" t="s">
        <v>17</v>
      </c>
      <c r="E24" s="687"/>
      <c r="F24" s="717" t="s">
        <v>1616</v>
      </c>
      <c r="G24" s="742">
        <f>SUBTOTAL(9,G25:G29)</f>
        <v>5.5265647500000004</v>
      </c>
      <c r="H24" s="743">
        <f>SUBTOTAL(9,H25:H29)</f>
        <v>5</v>
      </c>
      <c r="I24" s="626"/>
      <c r="J24" s="751"/>
      <c r="K24" s="416"/>
      <c r="L24" s="687"/>
      <c r="M24" s="687"/>
      <c r="N24" s="687"/>
      <c r="O24" s="687"/>
      <c r="P24" s="687"/>
      <c r="Q24" s="687"/>
      <c r="R24" s="687"/>
      <c r="S24" s="416"/>
      <c r="T24" s="751"/>
      <c r="U24" s="416"/>
      <c r="V24" s="742">
        <f>SUBTOTAL(9,V25:V28)</f>
        <v>0</v>
      </c>
      <c r="W24" s="743">
        <f>SUBTOTAL(9,W25:W28)</f>
        <v>0</v>
      </c>
    </row>
    <row r="25" spans="2:23" outlineLevel="3" collapsed="1">
      <c r="B25" s="387" t="s">
        <v>312</v>
      </c>
      <c r="C25" s="387" t="s">
        <v>312</v>
      </c>
      <c r="D25" s="376" t="s">
        <v>17</v>
      </c>
      <c r="E25" s="387" t="s">
        <v>64</v>
      </c>
      <c r="F25" s="705" t="s">
        <v>418</v>
      </c>
      <c r="G25" s="706">
        <v>1.2281255000000002</v>
      </c>
      <c r="H25" s="707">
        <v>1</v>
      </c>
      <c r="I25" s="626"/>
      <c r="J25" s="751"/>
      <c r="K25" s="416"/>
      <c r="L25" s="387" t="s">
        <v>64</v>
      </c>
      <c r="M25" s="387" t="s">
        <v>64</v>
      </c>
      <c r="N25" s="387" t="s">
        <v>1490</v>
      </c>
      <c r="O25" s="387"/>
      <c r="P25" s="387"/>
      <c r="Q25" s="387"/>
      <c r="R25" s="387"/>
      <c r="S25" s="416"/>
      <c r="T25" s="751"/>
      <c r="U25" s="416"/>
      <c r="V25" s="609">
        <f>IF(W25=1,G25,0)</f>
        <v>0</v>
      </c>
      <c r="W25" s="707"/>
    </row>
    <row r="26" spans="2:23" outlineLevel="3">
      <c r="B26" s="387" t="s">
        <v>312</v>
      </c>
      <c r="C26" s="387" t="s">
        <v>312</v>
      </c>
      <c r="D26" s="376" t="s">
        <v>17</v>
      </c>
      <c r="E26" s="387" t="s">
        <v>64</v>
      </c>
      <c r="F26" s="705" t="s">
        <v>236</v>
      </c>
      <c r="G26" s="706">
        <v>1.2281255000000002</v>
      </c>
      <c r="H26" s="707">
        <v>1</v>
      </c>
      <c r="I26" s="626"/>
      <c r="J26" s="751"/>
      <c r="K26" s="416"/>
      <c r="L26" s="387" t="s">
        <v>64</v>
      </c>
      <c r="M26" s="387" t="s">
        <v>64</v>
      </c>
      <c r="N26" s="387" t="s">
        <v>1490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707"/>
    </row>
    <row r="27" spans="2:23" outlineLevel="3">
      <c r="B27" s="387" t="s">
        <v>312</v>
      </c>
      <c r="C27" s="387" t="s">
        <v>312</v>
      </c>
      <c r="D27" s="376" t="s">
        <v>17</v>
      </c>
      <c r="E27" s="387" t="s">
        <v>64</v>
      </c>
      <c r="F27" s="705" t="s">
        <v>1427</v>
      </c>
      <c r="G27" s="706">
        <v>1.2281255</v>
      </c>
      <c r="H27" s="707">
        <v>1</v>
      </c>
      <c r="I27" s="626"/>
      <c r="J27" s="751"/>
      <c r="K27" s="416"/>
      <c r="L27" s="387" t="s">
        <v>64</v>
      </c>
      <c r="M27" s="387" t="s">
        <v>1485</v>
      </c>
      <c r="N27" s="387" t="s">
        <v>1490</v>
      </c>
      <c r="O27" s="387" t="s">
        <v>1491</v>
      </c>
      <c r="P27" s="387"/>
      <c r="Q27" s="387"/>
      <c r="R27" s="387"/>
      <c r="S27" s="416"/>
      <c r="T27" s="751"/>
      <c r="U27" s="416"/>
      <c r="V27" s="609">
        <f>IF(W27=1,G27,0)</f>
        <v>0</v>
      </c>
      <c r="W27" s="707"/>
    </row>
    <row r="28" spans="2:23" outlineLevel="3">
      <c r="B28" s="387" t="s">
        <v>312</v>
      </c>
      <c r="C28" s="387" t="s">
        <v>312</v>
      </c>
      <c r="D28" s="376" t="s">
        <v>17</v>
      </c>
      <c r="E28" s="387" t="s">
        <v>64</v>
      </c>
      <c r="F28" s="705" t="s">
        <v>1487</v>
      </c>
      <c r="G28" s="706">
        <v>0.6140627500000001</v>
      </c>
      <c r="H28" s="707">
        <v>1</v>
      </c>
      <c r="I28" s="626"/>
      <c r="J28" s="751"/>
      <c r="K28" s="416"/>
      <c r="L28" s="387" t="s">
        <v>64</v>
      </c>
      <c r="M28" s="387" t="s">
        <v>1485</v>
      </c>
      <c r="N28" s="387" t="s">
        <v>1490</v>
      </c>
      <c r="O28" s="387" t="s">
        <v>1491</v>
      </c>
      <c r="P28" s="387"/>
      <c r="Q28" s="387"/>
      <c r="R28" s="387"/>
      <c r="S28" s="416"/>
      <c r="T28" s="751"/>
      <c r="U28" s="416"/>
      <c r="V28" s="609">
        <f>IF(W28=1,G28,0)</f>
        <v>0</v>
      </c>
      <c r="W28" s="707"/>
    </row>
    <row r="29" spans="2:23" outlineLevel="3">
      <c r="B29" s="387" t="s">
        <v>312</v>
      </c>
      <c r="C29" s="387" t="s">
        <v>312</v>
      </c>
      <c r="D29" s="376" t="s">
        <v>17</v>
      </c>
      <c r="E29" s="387" t="s">
        <v>64</v>
      </c>
      <c r="F29" s="705" t="s">
        <v>1613</v>
      </c>
      <c r="G29" s="706">
        <v>1.2281255000000002</v>
      </c>
      <c r="H29" s="707">
        <v>1</v>
      </c>
      <c r="I29" s="626"/>
      <c r="J29" s="751"/>
      <c r="K29" s="416"/>
      <c r="L29" s="387" t="s">
        <v>64</v>
      </c>
      <c r="M29" s="387" t="s">
        <v>64</v>
      </c>
      <c r="N29" s="387" t="s">
        <v>1490</v>
      </c>
      <c r="O29" s="387"/>
      <c r="P29" s="387"/>
      <c r="Q29" s="387"/>
      <c r="R29" s="387"/>
      <c r="S29" s="416"/>
      <c r="T29" s="751"/>
      <c r="U29" s="416"/>
      <c r="V29" s="609">
        <f>IF(W29=1,G29,0)</f>
        <v>0</v>
      </c>
      <c r="W29" s="707"/>
    </row>
    <row r="30" spans="2:23" outlineLevel="1">
      <c r="B30" s="665" t="s">
        <v>271</v>
      </c>
      <c r="C30" s="665" t="s">
        <v>271</v>
      </c>
      <c r="D30" s="665"/>
      <c r="E30" s="665"/>
      <c r="F30" s="681" t="s">
        <v>262</v>
      </c>
      <c r="G30" s="708">
        <f>SUBTOTAL(9,G31:G38)</f>
        <v>3.3325</v>
      </c>
      <c r="H30" s="709">
        <f>SUBTOTAL(9,H31:H38)</f>
        <v>7</v>
      </c>
      <c r="I30" s="626"/>
      <c r="J30" s="751"/>
      <c r="K30" s="416"/>
      <c r="L30" s="665"/>
      <c r="M30" s="665"/>
      <c r="N30" s="665"/>
      <c r="O30" s="665"/>
      <c r="P30" s="665"/>
      <c r="Q30" s="665"/>
      <c r="R30" s="665"/>
      <c r="S30" s="416"/>
      <c r="T30" s="751"/>
      <c r="U30" s="416"/>
      <c r="V30" s="708">
        <f>SUBTOTAL(9,V31:V38)</f>
        <v>0</v>
      </c>
      <c r="W30" s="709">
        <f>SUBTOTAL(9,W31:W38)</f>
        <v>0</v>
      </c>
    </row>
    <row r="31" spans="2:23" outlineLevel="2">
      <c r="B31" s="684" t="s">
        <v>271</v>
      </c>
      <c r="C31" s="684" t="s">
        <v>271</v>
      </c>
      <c r="D31" s="684" t="s">
        <v>175</v>
      </c>
      <c r="E31" s="684"/>
      <c r="F31" s="685" t="s">
        <v>1620</v>
      </c>
      <c r="G31" s="686">
        <f>SUBTOTAL(9,G32:G38)</f>
        <v>3.3325</v>
      </c>
      <c r="H31" s="691">
        <f>SUBTOTAL(9,H32:H38)</f>
        <v>7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SUBTOTAL(9,V32:V38)</f>
        <v>0</v>
      </c>
      <c r="W31" s="691">
        <f>SUBTOTAL(9,W32:W38)</f>
        <v>0</v>
      </c>
    </row>
    <row r="32" spans="2:23" outlineLevel="3">
      <c r="B32" s="376" t="s">
        <v>271</v>
      </c>
      <c r="C32" s="376" t="s">
        <v>271</v>
      </c>
      <c r="D32" s="376" t="s">
        <v>175</v>
      </c>
      <c r="E32" s="376" t="s">
        <v>64</v>
      </c>
      <c r="F32" s="608" t="s">
        <v>1495</v>
      </c>
      <c r="G32" s="609">
        <v>0.33750000000000002</v>
      </c>
      <c r="H32" s="692">
        <v>1</v>
      </c>
      <c r="I32" s="626"/>
      <c r="J32" s="751"/>
      <c r="K32" s="416"/>
      <c r="L32" s="376" t="s">
        <v>64</v>
      </c>
      <c r="M32" s="376" t="s">
        <v>64</v>
      </c>
      <c r="N32" s="376" t="s">
        <v>1496</v>
      </c>
      <c r="O32" s="376"/>
      <c r="P32" s="376"/>
      <c r="Q32" s="376"/>
      <c r="R32" s="376"/>
      <c r="S32" s="416"/>
      <c r="T32" s="751"/>
      <c r="U32" s="416"/>
      <c r="V32" s="609">
        <f t="shared" ref="V32:V38" si="0">IF(W32=1,G32,0)</f>
        <v>0</v>
      </c>
      <c r="W32" s="692"/>
    </row>
    <row r="33" spans="2:23" outlineLevel="3">
      <c r="B33" s="376" t="s">
        <v>271</v>
      </c>
      <c r="C33" s="376" t="s">
        <v>271</v>
      </c>
      <c r="D33" s="376" t="s">
        <v>175</v>
      </c>
      <c r="E33" s="376" t="s">
        <v>64</v>
      </c>
      <c r="F33" s="608" t="s">
        <v>236</v>
      </c>
      <c r="G33" s="609">
        <v>0.58000000000000007</v>
      </c>
      <c r="H33" s="692">
        <v>1</v>
      </c>
      <c r="I33" s="626"/>
      <c r="J33" s="751"/>
      <c r="K33" s="416"/>
      <c r="L33" s="376" t="s">
        <v>64</v>
      </c>
      <c r="M33" s="376" t="s">
        <v>64</v>
      </c>
      <c r="N33" s="376" t="s">
        <v>1496</v>
      </c>
      <c r="O33" s="376"/>
      <c r="P33" s="376"/>
      <c r="Q33" s="376"/>
      <c r="R33" s="376"/>
      <c r="S33" s="416"/>
      <c r="T33" s="751"/>
      <c r="U33" s="416"/>
      <c r="V33" s="609">
        <f t="shared" si="0"/>
        <v>0</v>
      </c>
      <c r="W33" s="692"/>
    </row>
    <row r="34" spans="2:23" outlineLevel="3">
      <c r="B34" s="376" t="s">
        <v>271</v>
      </c>
      <c r="C34" s="376" t="s">
        <v>271</v>
      </c>
      <c r="D34" s="376" t="s">
        <v>175</v>
      </c>
      <c r="E34" s="376" t="s">
        <v>64</v>
      </c>
      <c r="F34" s="608" t="s">
        <v>317</v>
      </c>
      <c r="G34" s="609">
        <v>0.58000000000000007</v>
      </c>
      <c r="H34" s="692">
        <v>1</v>
      </c>
      <c r="I34" s="626"/>
      <c r="J34" s="751"/>
      <c r="K34" s="416"/>
      <c r="L34" s="376" t="s">
        <v>64</v>
      </c>
      <c r="M34" s="376" t="s">
        <v>1496</v>
      </c>
      <c r="N34" s="376" t="s">
        <v>1497</v>
      </c>
      <c r="O34" s="376"/>
      <c r="P34" s="376"/>
      <c r="Q34" s="376"/>
      <c r="R34" s="376"/>
      <c r="S34" s="416"/>
      <c r="T34" s="751"/>
      <c r="U34" s="416"/>
      <c r="V34" s="609">
        <f t="shared" si="0"/>
        <v>0</v>
      </c>
      <c r="W34" s="692"/>
    </row>
    <row r="35" spans="2:23" outlineLevel="3">
      <c r="B35" s="376" t="s">
        <v>271</v>
      </c>
      <c r="C35" s="376" t="s">
        <v>271</v>
      </c>
      <c r="D35" s="376" t="s">
        <v>175</v>
      </c>
      <c r="E35" s="376" t="s">
        <v>64</v>
      </c>
      <c r="F35" s="608" t="s">
        <v>1498</v>
      </c>
      <c r="G35" s="609">
        <v>0.58000000000000007</v>
      </c>
      <c r="H35" s="692">
        <v>1</v>
      </c>
      <c r="I35" s="626"/>
      <c r="J35" s="751"/>
      <c r="K35" s="416"/>
      <c r="L35" s="376" t="s">
        <v>64</v>
      </c>
      <c r="M35" s="376" t="s">
        <v>1496</v>
      </c>
      <c r="N35" s="376" t="s">
        <v>1497</v>
      </c>
      <c r="O35" s="376"/>
      <c r="P35" s="376"/>
      <c r="Q35" s="376"/>
      <c r="R35" s="376"/>
      <c r="S35" s="416"/>
      <c r="T35" s="751"/>
      <c r="U35" s="416"/>
      <c r="V35" s="609">
        <f t="shared" si="0"/>
        <v>0</v>
      </c>
      <c r="W35" s="692"/>
    </row>
    <row r="36" spans="2:23" outlineLevel="3">
      <c r="B36" s="376" t="s">
        <v>271</v>
      </c>
      <c r="C36" s="376" t="s">
        <v>271</v>
      </c>
      <c r="D36" s="376" t="s">
        <v>175</v>
      </c>
      <c r="E36" s="376" t="s">
        <v>64</v>
      </c>
      <c r="F36" s="608" t="s">
        <v>1487</v>
      </c>
      <c r="G36" s="609">
        <v>0.33750000000000002</v>
      </c>
      <c r="H36" s="692">
        <v>1</v>
      </c>
      <c r="I36" s="626"/>
      <c r="J36" s="751"/>
      <c r="K36" s="416"/>
      <c r="L36" s="376" t="s">
        <v>64</v>
      </c>
      <c r="M36" s="376" t="s">
        <v>1496</v>
      </c>
      <c r="N36" s="376" t="s">
        <v>1497</v>
      </c>
      <c r="O36" s="376"/>
      <c r="P36" s="376"/>
      <c r="Q36" s="376"/>
      <c r="R36" s="376"/>
      <c r="S36" s="416"/>
      <c r="T36" s="751"/>
      <c r="U36" s="416"/>
      <c r="V36" s="609">
        <f t="shared" si="0"/>
        <v>0</v>
      </c>
      <c r="W36" s="692"/>
    </row>
    <row r="37" spans="2:23" outlineLevel="3">
      <c r="B37" s="376" t="s">
        <v>271</v>
      </c>
      <c r="C37" s="376" t="s">
        <v>271</v>
      </c>
      <c r="D37" s="376" t="s">
        <v>175</v>
      </c>
      <c r="E37" s="376" t="s">
        <v>64</v>
      </c>
      <c r="F37" s="608" t="s">
        <v>1499</v>
      </c>
      <c r="G37" s="609">
        <v>0.33750000000000002</v>
      </c>
      <c r="H37" s="692">
        <v>1</v>
      </c>
      <c r="I37" s="626"/>
      <c r="J37" s="751"/>
      <c r="K37" s="416"/>
      <c r="L37" s="376" t="s">
        <v>64</v>
      </c>
      <c r="M37" s="376" t="s">
        <v>1496</v>
      </c>
      <c r="N37" s="376" t="s">
        <v>1497</v>
      </c>
      <c r="O37" s="376"/>
      <c r="P37" s="376"/>
      <c r="Q37" s="376"/>
      <c r="R37" s="376"/>
      <c r="S37" s="416"/>
      <c r="T37" s="751"/>
      <c r="U37" s="416"/>
      <c r="V37" s="609">
        <f t="shared" si="0"/>
        <v>0</v>
      </c>
      <c r="W37" s="692"/>
    </row>
    <row r="38" spans="2:23" outlineLevel="3">
      <c r="B38" s="376" t="s">
        <v>271</v>
      </c>
      <c r="C38" s="376" t="s">
        <v>271</v>
      </c>
      <c r="D38" s="376" t="s">
        <v>175</v>
      </c>
      <c r="E38" s="376" t="s">
        <v>64</v>
      </c>
      <c r="F38" s="608" t="s">
        <v>1520</v>
      </c>
      <c r="G38" s="609">
        <v>0.57999999999999996</v>
      </c>
      <c r="H38" s="692">
        <v>1</v>
      </c>
      <c r="I38" s="626"/>
      <c r="J38" s="751"/>
      <c r="K38" s="416"/>
      <c r="L38" s="376" t="s">
        <v>64</v>
      </c>
      <c r="M38" s="376" t="s">
        <v>1496</v>
      </c>
      <c r="N38" s="376"/>
      <c r="O38" s="376"/>
      <c r="P38" s="376"/>
      <c r="Q38" s="376"/>
      <c r="R38" s="376"/>
      <c r="S38" s="416"/>
      <c r="T38" s="751"/>
      <c r="U38" s="416"/>
      <c r="V38" s="609">
        <f t="shared" si="0"/>
        <v>0</v>
      </c>
      <c r="W38" s="692"/>
    </row>
    <row r="39" spans="2:23" outlineLevel="1">
      <c r="B39" s="665" t="s">
        <v>351</v>
      </c>
      <c r="C39" s="665" t="s">
        <v>351</v>
      </c>
      <c r="D39" s="665"/>
      <c r="E39" s="665"/>
      <c r="F39" s="681" t="s">
        <v>262</v>
      </c>
      <c r="G39" s="708">
        <f>SUBTOTAL(9,G40:G43)</f>
        <v>0</v>
      </c>
      <c r="H39" s="709">
        <f>SUBTOTAL(9,H40:H43)</f>
        <v>3</v>
      </c>
      <c r="I39" s="626"/>
      <c r="J39" s="751"/>
      <c r="K39" s="416"/>
      <c r="L39" s="665"/>
      <c r="M39" s="665"/>
      <c r="N39" s="665"/>
      <c r="O39" s="665"/>
      <c r="P39" s="665"/>
      <c r="Q39" s="665"/>
      <c r="R39" s="665"/>
      <c r="S39" s="416"/>
      <c r="T39" s="751"/>
      <c r="U39" s="416"/>
      <c r="V39" s="708">
        <f>SUBTOTAL(9,V40:V43)</f>
        <v>0</v>
      </c>
      <c r="W39" s="709">
        <f>SUBTOTAL(9,W40:W43)</f>
        <v>0</v>
      </c>
    </row>
    <row r="40" spans="2:23" outlineLevel="2">
      <c r="B40" s="684" t="s">
        <v>351</v>
      </c>
      <c r="C40" s="684" t="s">
        <v>351</v>
      </c>
      <c r="D40" s="684" t="s">
        <v>175</v>
      </c>
      <c r="E40" s="684"/>
      <c r="F40" s="685" t="s">
        <v>352</v>
      </c>
      <c r="G40" s="686">
        <f>SUBTOTAL(9,G41:G43)</f>
        <v>0</v>
      </c>
      <c r="H40" s="691">
        <f>SUBTOTAL(9,H41:H43)</f>
        <v>3</v>
      </c>
      <c r="I40" s="626"/>
      <c r="J40" s="751"/>
      <c r="K40" s="416"/>
      <c r="L40" s="684"/>
      <c r="M40" s="684"/>
      <c r="N40" s="684"/>
      <c r="O40" s="684"/>
      <c r="P40" s="684"/>
      <c r="Q40" s="684"/>
      <c r="R40" s="684"/>
      <c r="S40" s="416"/>
      <c r="T40" s="751"/>
      <c r="U40" s="416"/>
      <c r="V40" s="686">
        <f>SUBTOTAL(9,V41:V43)</f>
        <v>0</v>
      </c>
      <c r="W40" s="691">
        <f>SUBTOTAL(9,W41:W43)</f>
        <v>0</v>
      </c>
    </row>
    <row r="41" spans="2:23" outlineLevel="3">
      <c r="B41" s="376" t="s">
        <v>351</v>
      </c>
      <c r="C41" s="376" t="s">
        <v>351</v>
      </c>
      <c r="D41" s="376" t="s">
        <v>17</v>
      </c>
      <c r="E41" s="376" t="s">
        <v>64</v>
      </c>
      <c r="F41" s="608" t="s">
        <v>418</v>
      </c>
      <c r="G41" s="609"/>
      <c r="H41" s="692">
        <v>1</v>
      </c>
      <c r="I41" s="626"/>
      <c r="J41" s="751"/>
      <c r="K41" s="416"/>
      <c r="L41" s="376" t="s">
        <v>64</v>
      </c>
      <c r="M41" s="376" t="s">
        <v>1632</v>
      </c>
      <c r="N41" s="376" t="s">
        <v>1514</v>
      </c>
      <c r="O41" s="376"/>
      <c r="P41" s="376"/>
      <c r="Q41" s="376"/>
      <c r="R41" s="376"/>
      <c r="S41" s="416"/>
      <c r="T41" s="751"/>
      <c r="U41" s="416"/>
      <c r="V41" s="609"/>
      <c r="W41" s="692"/>
    </row>
    <row r="42" spans="2:23" outlineLevel="3">
      <c r="B42" s="376" t="s">
        <v>351</v>
      </c>
      <c r="C42" s="376" t="s">
        <v>351</v>
      </c>
      <c r="D42" s="376" t="s">
        <v>17</v>
      </c>
      <c r="E42" s="376" t="s">
        <v>64</v>
      </c>
      <c r="F42" s="608" t="s">
        <v>236</v>
      </c>
      <c r="G42" s="609"/>
      <c r="H42" s="692">
        <v>1</v>
      </c>
      <c r="I42" s="626"/>
      <c r="J42" s="751"/>
      <c r="K42" s="416"/>
      <c r="L42" s="376" t="s">
        <v>64</v>
      </c>
      <c r="M42" s="376" t="s">
        <v>1632</v>
      </c>
      <c r="N42" s="376" t="s">
        <v>1514</v>
      </c>
      <c r="O42" s="376"/>
      <c r="P42" s="376"/>
      <c r="Q42" s="376"/>
      <c r="R42" s="376"/>
      <c r="S42" s="416"/>
      <c r="T42" s="751"/>
      <c r="U42" s="416"/>
      <c r="V42" s="609"/>
      <c r="W42" s="692"/>
    </row>
    <row r="43" spans="2:23" outlineLevel="3">
      <c r="B43" s="376" t="s">
        <v>351</v>
      </c>
      <c r="C43" s="376" t="s">
        <v>351</v>
      </c>
      <c r="D43" s="376" t="s">
        <v>17</v>
      </c>
      <c r="E43" s="376" t="s">
        <v>64</v>
      </c>
      <c r="F43" s="608" t="s">
        <v>32</v>
      </c>
      <c r="G43" s="609"/>
      <c r="H43" s="692">
        <v>1</v>
      </c>
      <c r="I43" s="626"/>
      <c r="J43" s="751"/>
      <c r="K43" s="416"/>
      <c r="L43" s="376" t="s">
        <v>64</v>
      </c>
      <c r="M43" s="376" t="s">
        <v>1632</v>
      </c>
      <c r="N43" s="376" t="s">
        <v>1514</v>
      </c>
      <c r="O43" s="376"/>
      <c r="P43" s="376"/>
      <c r="Q43" s="376"/>
      <c r="R43" s="376"/>
      <c r="S43" s="416"/>
      <c r="T43" s="751"/>
      <c r="U43" s="416"/>
      <c r="V43" s="609"/>
      <c r="W43" s="692"/>
    </row>
    <row r="44" spans="2:23" outlineLevel="1">
      <c r="B44" s="665" t="s">
        <v>353</v>
      </c>
      <c r="C44" s="665" t="s">
        <v>354</v>
      </c>
      <c r="D44" s="665"/>
      <c r="E44" s="665"/>
      <c r="F44" s="681" t="s">
        <v>262</v>
      </c>
      <c r="G44" s="708">
        <f>SUBTOTAL(9,G45:G47)</f>
        <v>1.1499999999999999</v>
      </c>
      <c r="H44" s="709">
        <f>SUBTOTAL(9,H45:H47)</f>
        <v>2</v>
      </c>
      <c r="I44" s="626"/>
      <c r="J44" s="751"/>
      <c r="K44" s="416"/>
      <c r="L44" s="665"/>
      <c r="M44" s="665"/>
      <c r="N44" s="665"/>
      <c r="O44" s="665"/>
      <c r="P44" s="665"/>
      <c r="Q44" s="665"/>
      <c r="R44" s="665"/>
      <c r="S44" s="416"/>
      <c r="T44" s="751"/>
      <c r="U44" s="416"/>
      <c r="V44" s="708">
        <f>SUBTOTAL(9,V45:V47)</f>
        <v>0</v>
      </c>
      <c r="W44" s="709">
        <f>SUBTOTAL(9,W45:W47)</f>
        <v>0</v>
      </c>
    </row>
    <row r="45" spans="2:23" outlineLevel="2">
      <c r="B45" s="684" t="s">
        <v>353</v>
      </c>
      <c r="C45" s="684" t="s">
        <v>354</v>
      </c>
      <c r="D45" s="684" t="s">
        <v>17</v>
      </c>
      <c r="E45" s="684"/>
      <c r="F45" s="685" t="s">
        <v>1541</v>
      </c>
      <c r="G45" s="686">
        <f>SUBTOTAL(9,G46:G47)</f>
        <v>1.1499999999999999</v>
      </c>
      <c r="H45" s="691">
        <f>SUBTOTAL(9,H46:H47)</f>
        <v>2</v>
      </c>
      <c r="I45" s="626"/>
      <c r="J45" s="751"/>
      <c r="K45" s="416"/>
      <c r="L45" s="684"/>
      <c r="M45" s="684"/>
      <c r="N45" s="684"/>
      <c r="O45" s="684"/>
      <c r="P45" s="684"/>
      <c r="Q45" s="684"/>
      <c r="R45" s="684"/>
      <c r="S45" s="416"/>
      <c r="T45" s="751"/>
      <c r="U45" s="416"/>
      <c r="V45" s="686">
        <f>SUBTOTAL(9,V46:V47)</f>
        <v>0</v>
      </c>
      <c r="W45" s="691">
        <f>SUBTOTAL(9,W46:W47)</f>
        <v>0</v>
      </c>
    </row>
    <row r="46" spans="2:23" outlineLevel="3">
      <c r="B46" s="376" t="s">
        <v>353</v>
      </c>
      <c r="C46" s="376" t="s">
        <v>354</v>
      </c>
      <c r="D46" s="376" t="s">
        <v>17</v>
      </c>
      <c r="E46" s="376" t="s">
        <v>64</v>
      </c>
      <c r="F46" s="608" t="s">
        <v>236</v>
      </c>
      <c r="G46" s="609">
        <v>0.69</v>
      </c>
      <c r="H46" s="692">
        <v>1</v>
      </c>
      <c r="I46" s="626"/>
      <c r="J46" s="751"/>
      <c r="K46" s="416"/>
      <c r="L46" s="376" t="s">
        <v>64</v>
      </c>
      <c r="M46" s="376" t="s">
        <v>1485</v>
      </c>
      <c r="N46" s="376" t="s">
        <v>1490</v>
      </c>
      <c r="O46" s="376"/>
      <c r="P46" s="376"/>
      <c r="Q46" s="376"/>
      <c r="R46" s="376"/>
      <c r="S46" s="416"/>
      <c r="T46" s="751"/>
      <c r="U46" s="416"/>
      <c r="V46" s="609">
        <f>IF(W46=1,G46,0)</f>
        <v>0</v>
      </c>
      <c r="W46" s="692"/>
    </row>
    <row r="47" spans="2:23" outlineLevel="3">
      <c r="B47" s="376" t="s">
        <v>353</v>
      </c>
      <c r="C47" s="376" t="s">
        <v>354</v>
      </c>
      <c r="D47" s="376" t="s">
        <v>17</v>
      </c>
      <c r="E47" s="376" t="s">
        <v>64</v>
      </c>
      <c r="F47" s="608" t="s">
        <v>32</v>
      </c>
      <c r="G47" s="609">
        <v>0.46</v>
      </c>
      <c r="H47" s="692">
        <v>1</v>
      </c>
      <c r="I47" s="626"/>
      <c r="J47" s="751"/>
      <c r="K47" s="416"/>
      <c r="L47" s="376" t="s">
        <v>64</v>
      </c>
      <c r="M47" s="376" t="s">
        <v>1485</v>
      </c>
      <c r="N47" s="376" t="s">
        <v>1490</v>
      </c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2:23" s="795" customFormat="1" outlineLevel="1">
      <c r="B48" s="682" t="s">
        <v>1546</v>
      </c>
      <c r="C48" s="682" t="s">
        <v>1547</v>
      </c>
      <c r="D48" s="682"/>
      <c r="E48" s="682"/>
      <c r="F48" s="681" t="s">
        <v>262</v>
      </c>
      <c r="G48" s="708">
        <f>SUBTOTAL(9,G49:G52)</f>
        <v>8.2774750000000008</v>
      </c>
      <c r="H48" s="709">
        <f>SUBTOTAL(9,H49:H52)</f>
        <v>3</v>
      </c>
      <c r="I48" s="746"/>
      <c r="J48" s="758"/>
      <c r="K48" s="747"/>
      <c r="L48" s="682"/>
      <c r="M48" s="682"/>
      <c r="N48" s="682"/>
      <c r="O48" s="682"/>
      <c r="P48" s="682"/>
      <c r="Q48" s="682"/>
      <c r="R48" s="682"/>
      <c r="S48" s="747"/>
      <c r="T48" s="758"/>
      <c r="U48" s="747"/>
      <c r="V48" s="708">
        <f>SUBTOTAL(9,V49:V52)</f>
        <v>0</v>
      </c>
      <c r="W48" s="709">
        <f>SUBTOTAL(9,W49:W52)</f>
        <v>0</v>
      </c>
    </row>
    <row r="49" spans="2:23" outlineLevel="2">
      <c r="B49" s="684" t="s">
        <v>1546</v>
      </c>
      <c r="C49" s="684" t="s">
        <v>1547</v>
      </c>
      <c r="D49" s="684" t="s">
        <v>17</v>
      </c>
      <c r="E49" s="684"/>
      <c r="F49" s="685" t="s">
        <v>1212</v>
      </c>
      <c r="G49" s="686">
        <f>SUBTOTAL(9,G50:G52)</f>
        <v>8.2774750000000008</v>
      </c>
      <c r="H49" s="691">
        <f>SUBTOTAL(9,H50:H52)</f>
        <v>3</v>
      </c>
      <c r="I49" s="626"/>
      <c r="J49" s="751"/>
      <c r="K49" s="416"/>
      <c r="L49" s="684"/>
      <c r="M49" s="684" t="s">
        <v>1475</v>
      </c>
      <c r="N49" s="684"/>
      <c r="O49" s="684"/>
      <c r="P49" s="684"/>
      <c r="Q49" s="684"/>
      <c r="R49" s="684"/>
      <c r="S49" s="416"/>
      <c r="T49" s="751"/>
      <c r="U49" s="416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1546</v>
      </c>
      <c r="C50" s="376" t="s">
        <v>1547</v>
      </c>
      <c r="D50" s="376" t="s">
        <v>17</v>
      </c>
      <c r="E50" s="376" t="s">
        <v>64</v>
      </c>
      <c r="F50" s="608" t="s">
        <v>1549</v>
      </c>
      <c r="G50" s="609">
        <v>3.3116500000000002</v>
      </c>
      <c r="H50" s="692">
        <v>1</v>
      </c>
      <c r="I50" s="626"/>
      <c r="J50" s="751"/>
      <c r="K50" s="416"/>
      <c r="L50" s="376" t="s">
        <v>64</v>
      </c>
      <c r="M50" s="376" t="s">
        <v>1240</v>
      </c>
      <c r="N50" s="376" t="s">
        <v>1496</v>
      </c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1546</v>
      </c>
      <c r="C51" s="376" t="s">
        <v>1547</v>
      </c>
      <c r="D51" s="376" t="s">
        <v>17</v>
      </c>
      <c r="E51" s="376" t="s">
        <v>64</v>
      </c>
      <c r="F51" s="608" t="s">
        <v>32</v>
      </c>
      <c r="G51" s="609">
        <v>1.6558250000000001</v>
      </c>
      <c r="H51" s="692">
        <v>1</v>
      </c>
      <c r="I51" s="626"/>
      <c r="J51" s="751"/>
      <c r="K51" s="416"/>
      <c r="L51" s="376" t="s">
        <v>64</v>
      </c>
      <c r="M51" s="376" t="s">
        <v>1240</v>
      </c>
      <c r="N51" s="376" t="s">
        <v>1496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outlineLevel="3">
      <c r="B52" s="376" t="s">
        <v>1546</v>
      </c>
      <c r="C52" s="376" t="s">
        <v>1547</v>
      </c>
      <c r="D52" s="376" t="s">
        <v>17</v>
      </c>
      <c r="E52" s="376" t="s">
        <v>64</v>
      </c>
      <c r="F52" s="608" t="s">
        <v>1498</v>
      </c>
      <c r="G52" s="609">
        <v>3.31</v>
      </c>
      <c r="H52" s="692">
        <v>1</v>
      </c>
      <c r="I52" s="626"/>
      <c r="J52" s="751"/>
      <c r="K52" s="416"/>
      <c r="L52" s="376" t="s">
        <v>64</v>
      </c>
      <c r="M52" s="376" t="s">
        <v>1240</v>
      </c>
      <c r="N52" s="376" t="s">
        <v>1496</v>
      </c>
      <c r="O52" s="376"/>
      <c r="P52" s="376"/>
      <c r="Q52" s="376"/>
      <c r="R52" s="376"/>
      <c r="S52" s="416"/>
      <c r="T52" s="751"/>
      <c r="U52" s="416"/>
      <c r="V52" s="609">
        <f>IF(W52=1,G52,0)</f>
        <v>0</v>
      </c>
      <c r="W52" s="692"/>
    </row>
    <row r="53" spans="2:23" outlineLevel="1">
      <c r="B53" s="666" t="s">
        <v>360</v>
      </c>
      <c r="C53" s="666" t="s">
        <v>361</v>
      </c>
      <c r="D53" s="667"/>
      <c r="E53" s="665"/>
      <c r="F53" s="681" t="s">
        <v>262</v>
      </c>
      <c r="G53" s="708">
        <f>SUBTOTAL(9,G54:G57)</f>
        <v>5.6190376572500007</v>
      </c>
      <c r="H53" s="709">
        <f>SUBTOTAL(9,H54:H57)</f>
        <v>3</v>
      </c>
      <c r="I53" s="626"/>
      <c r="J53" s="751"/>
      <c r="K53" s="416"/>
      <c r="L53" s="665"/>
      <c r="M53" s="665"/>
      <c r="N53" s="665"/>
      <c r="O53" s="665"/>
      <c r="P53" s="665"/>
      <c r="Q53" s="665"/>
      <c r="R53" s="665"/>
      <c r="S53" s="416"/>
      <c r="T53" s="751"/>
      <c r="U53" s="416"/>
      <c r="V53" s="708">
        <f>SUBTOTAL(9,V54:V57)</f>
        <v>0</v>
      </c>
      <c r="W53" s="709">
        <f>SUBTOTAL(9,W54:W57)</f>
        <v>0</v>
      </c>
    </row>
    <row r="54" spans="2:23" outlineLevel="2">
      <c r="B54" s="684" t="s">
        <v>360</v>
      </c>
      <c r="C54" s="687" t="s">
        <v>363</v>
      </c>
      <c r="D54" s="684" t="s">
        <v>17</v>
      </c>
      <c r="E54" s="684"/>
      <c r="F54" s="685" t="s">
        <v>236</v>
      </c>
      <c r="G54" s="686">
        <f>SUBTOTAL(9,G55:G57)</f>
        <v>5.6190376572500007</v>
      </c>
      <c r="H54" s="691">
        <f>SUBTOTAL(9,H55:H57)</f>
        <v>3</v>
      </c>
      <c r="I54" s="626"/>
      <c r="J54" s="751"/>
      <c r="K54" s="416"/>
      <c r="L54" s="684"/>
      <c r="M54" s="684"/>
      <c r="N54" s="684"/>
      <c r="O54" s="684"/>
      <c r="P54" s="684"/>
      <c r="Q54" s="684"/>
      <c r="R54" s="684"/>
      <c r="S54" s="416"/>
      <c r="T54" s="751"/>
      <c r="U54" s="416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360</v>
      </c>
      <c r="C55" s="387" t="s">
        <v>363</v>
      </c>
      <c r="D55" s="376" t="s">
        <v>17</v>
      </c>
      <c r="E55" s="376" t="s">
        <v>64</v>
      </c>
      <c r="F55" s="608" t="s">
        <v>418</v>
      </c>
      <c r="G55" s="609">
        <v>1.4045188286250001</v>
      </c>
      <c r="H55" s="692">
        <v>1</v>
      </c>
      <c r="I55" s="626"/>
      <c r="J55" s="751"/>
      <c r="K55" s="416"/>
      <c r="L55" s="376" t="s">
        <v>64</v>
      </c>
      <c r="M55" s="376"/>
      <c r="N55" s="376"/>
      <c r="O55" s="376"/>
      <c r="P55" s="376"/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2:23" outlineLevel="3">
      <c r="B56" s="376" t="s">
        <v>360</v>
      </c>
      <c r="C56" s="387" t="s">
        <v>363</v>
      </c>
      <c r="D56" s="376" t="s">
        <v>17</v>
      </c>
      <c r="E56" s="376" t="s">
        <v>64</v>
      </c>
      <c r="F56" s="608" t="s">
        <v>236</v>
      </c>
      <c r="G56" s="609">
        <v>1.4045188286250001</v>
      </c>
      <c r="H56" s="692">
        <v>1</v>
      </c>
      <c r="I56" s="626"/>
      <c r="J56" s="751"/>
      <c r="K56" s="416"/>
      <c r="L56" s="376" t="s">
        <v>64</v>
      </c>
      <c r="M56" s="376"/>
      <c r="N56" s="376"/>
      <c r="O56" s="376"/>
      <c r="P56" s="376"/>
      <c r="Q56" s="376"/>
      <c r="R56" s="376"/>
      <c r="S56" s="416"/>
      <c r="T56" s="751"/>
      <c r="U56" s="416"/>
      <c r="V56" s="609">
        <f>IF(W56=1,G56,0)</f>
        <v>0</v>
      </c>
      <c r="W56" s="692"/>
    </row>
    <row r="57" spans="2:23" outlineLevel="3">
      <c r="B57" s="376" t="s">
        <v>360</v>
      </c>
      <c r="C57" s="387" t="s">
        <v>363</v>
      </c>
      <c r="D57" s="376" t="s">
        <v>17</v>
      </c>
      <c r="E57" s="376" t="s">
        <v>64</v>
      </c>
      <c r="F57" s="608" t="s">
        <v>32</v>
      </c>
      <c r="G57" s="609">
        <v>2.81</v>
      </c>
      <c r="H57" s="692">
        <v>1</v>
      </c>
      <c r="I57" s="626"/>
      <c r="J57" s="751"/>
      <c r="K57" s="416"/>
      <c r="L57" s="376" t="s">
        <v>64</v>
      </c>
      <c r="M57" s="376"/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>
      <c r="B58" s="416"/>
      <c r="C58" s="416"/>
      <c r="D58" s="416"/>
      <c r="E58" s="416"/>
      <c r="F58" s="749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</row>
  </sheetData>
  <autoFilter ref="B4:W5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598-5720-4EBF-B884-887A2ABFA301}">
  <sheetPr>
    <outlinePr summaryBelow="0" summaryRight="0"/>
    <pageSetUpPr fitToPage="1"/>
  </sheetPr>
  <dimension ref="A2:AA40"/>
  <sheetViews>
    <sheetView zoomScale="90" zoomScaleNormal="90" workbookViewId="0">
      <pane xSplit="2" ySplit="4" topLeftCell="C24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4140625" defaultRowHeight="13.2" outlineLevelRow="3" outlineLevelCol="1"/>
  <cols>
    <col min="1" max="1" width="0.5546875" style="787" customWidth="1"/>
    <col min="2" max="2" width="22.6640625" style="787" customWidth="1"/>
    <col min="3" max="3" width="17.6640625" style="787" bestFit="1" customWidth="1"/>
    <col min="4" max="4" width="16.33203125" style="787" customWidth="1"/>
    <col min="5" max="5" width="14.44140625" style="787" customWidth="1"/>
    <col min="6" max="6" width="53.6640625" style="791" customWidth="1"/>
    <col min="7" max="7" width="13.33203125" style="787" bestFit="1" customWidth="1"/>
    <col min="8" max="8" width="9.5546875" style="787" customWidth="1" outlineLevel="1"/>
    <col min="9" max="11" width="0.5546875" style="787" customWidth="1"/>
    <col min="12" max="12" width="14.44140625" style="787" customWidth="1"/>
    <col min="13" max="13" width="14.44140625" style="787" customWidth="1" collapsed="1"/>
    <col min="14" max="18" width="14.44140625" style="787" hidden="1" customWidth="1" outlineLevel="1"/>
    <col min="19" max="21" width="0.5546875" style="787" customWidth="1"/>
    <col min="22" max="22" width="16.33203125" style="787" customWidth="1" collapsed="1"/>
    <col min="23" max="23" width="14.33203125" style="787" hidden="1" customWidth="1" outlineLevel="1"/>
    <col min="24" max="26" width="9.44140625" style="787" bestFit="1"/>
    <col min="27" max="27" width="9.44140625" style="787" bestFit="1" customWidth="1"/>
    <col min="28" max="16384" width="9.44140625" style="787"/>
  </cols>
  <sheetData>
    <row r="2" spans="1:27" ht="17.399999999999999">
      <c r="A2" s="376"/>
      <c r="B2" s="418" t="s">
        <v>1687</v>
      </c>
      <c r="C2" s="418"/>
      <c r="D2" s="418"/>
      <c r="E2" s="418"/>
      <c r="F2" s="423"/>
      <c r="G2" s="796">
        <f>SUBTOTAL(9,G6:G39)</f>
        <v>1.4242604669999996</v>
      </c>
      <c r="H2" s="690">
        <f>SUBTOTAL(9,H6:H39)</f>
        <v>20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SUBTOTAL(9,V6:V39)</f>
        <v>0</v>
      </c>
      <c r="W2" s="764">
        <f>SUBTOTAL(9,W6:W39)</f>
        <v>0</v>
      </c>
      <c r="X2" s="610">
        <f>G2-V2</f>
        <v>1.4242604669999996</v>
      </c>
      <c r="Y2" s="610">
        <f>H2-W2</f>
        <v>20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13</v>
      </c>
      <c r="C6" s="430"/>
      <c r="D6" s="430"/>
      <c r="E6" s="430"/>
      <c r="F6" s="697"/>
      <c r="G6" s="738">
        <f>SUBTOTAL(9,G8:G31)</f>
        <v>1.2708018749999996</v>
      </c>
      <c r="H6" s="739">
        <f>SUBTOTAL(9,H8:H31)</f>
        <v>17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SUBTOTAL(9,V8:V31)</f>
        <v>0</v>
      </c>
      <c r="W6" s="739">
        <f>SUBTOTAL(9,W8:W31)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243</v>
      </c>
      <c r="C8" s="665" t="s">
        <v>243</v>
      </c>
      <c r="D8" s="665"/>
      <c r="E8" s="665"/>
      <c r="F8" s="681" t="s">
        <v>262</v>
      </c>
      <c r="G8" s="797">
        <f>SUBTOTAL(9,G9:G25)</f>
        <v>1.2668018749999996</v>
      </c>
      <c r="H8" s="798">
        <f>SUBTOTAL(9,H9:H25)</f>
        <v>13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SUBTOTAL(9,V9:V25)</f>
        <v>0</v>
      </c>
      <c r="W8" s="798">
        <f>SUBTOTAL(9,W9:W25)</f>
        <v>0</v>
      </c>
      <c r="X8" s="416"/>
      <c r="Y8" s="416"/>
      <c r="Z8" s="416"/>
      <c r="AA8" s="416"/>
    </row>
    <row r="9" spans="1:27" ht="26.4" outlineLevel="2">
      <c r="A9" s="376"/>
      <c r="B9" s="684" t="s">
        <v>243</v>
      </c>
      <c r="C9" s="684" t="s">
        <v>243</v>
      </c>
      <c r="D9" s="684" t="s">
        <v>17</v>
      </c>
      <c r="E9" s="684"/>
      <c r="F9" s="685" t="s">
        <v>1426</v>
      </c>
      <c r="G9" s="686">
        <f>SUBTOTAL(9,G10:G14)</f>
        <v>1.0156737499999999</v>
      </c>
      <c r="H9" s="691">
        <f>SUBTOTAL(9,H10:H14)</f>
        <v>5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SUBTOTAL(9,V10:V14)</f>
        <v>0</v>
      </c>
      <c r="W9" s="691">
        <f>SUBTOTAL(9,W10:W14)</f>
        <v>0</v>
      </c>
      <c r="X9" s="416"/>
      <c r="Y9" s="416"/>
      <c r="Z9" s="416"/>
      <c r="AA9" s="416"/>
    </row>
    <row r="10" spans="1:27" outlineLevel="3">
      <c r="A10" s="376"/>
      <c r="B10" s="376" t="s">
        <v>243</v>
      </c>
      <c r="C10" s="376" t="s">
        <v>243</v>
      </c>
      <c r="D10" s="376" t="s">
        <v>17</v>
      </c>
      <c r="E10" s="376" t="s">
        <v>241</v>
      </c>
      <c r="F10" s="608" t="s">
        <v>1422</v>
      </c>
      <c r="G10" s="609">
        <v>0.15625749999999999</v>
      </c>
      <c r="H10" s="692">
        <v>1</v>
      </c>
      <c r="I10" s="626"/>
      <c r="J10" s="751"/>
      <c r="K10" s="416"/>
      <c r="L10" s="376" t="s">
        <v>241</v>
      </c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243</v>
      </c>
      <c r="C11" s="376" t="s">
        <v>243</v>
      </c>
      <c r="D11" s="376" t="s">
        <v>17</v>
      </c>
      <c r="E11" s="376" t="s">
        <v>241</v>
      </c>
      <c r="F11" s="608" t="s">
        <v>236</v>
      </c>
      <c r="G11" s="609">
        <v>0.23438624999999996</v>
      </c>
      <c r="H11" s="692">
        <v>1</v>
      </c>
      <c r="I11" s="626"/>
      <c r="J11" s="751"/>
      <c r="K11" s="416"/>
      <c r="L11" s="376" t="s">
        <v>241</v>
      </c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243</v>
      </c>
      <c r="C12" s="376" t="s">
        <v>243</v>
      </c>
      <c r="D12" s="376" t="s">
        <v>17</v>
      </c>
      <c r="E12" s="376" t="s">
        <v>241</v>
      </c>
      <c r="F12" s="608" t="s">
        <v>1427</v>
      </c>
      <c r="G12" s="609">
        <v>0.15625749999999999</v>
      </c>
      <c r="H12" s="692">
        <v>1</v>
      </c>
      <c r="I12" s="626"/>
      <c r="J12" s="751"/>
      <c r="K12" s="416"/>
      <c r="L12" s="376" t="s">
        <v>241</v>
      </c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243</v>
      </c>
      <c r="C13" s="376" t="s">
        <v>243</v>
      </c>
      <c r="D13" s="376" t="s">
        <v>17</v>
      </c>
      <c r="E13" s="376" t="s">
        <v>241</v>
      </c>
      <c r="F13" s="608" t="s">
        <v>237</v>
      </c>
      <c r="G13" s="609">
        <v>0.15625749999999999</v>
      </c>
      <c r="H13" s="692">
        <v>1</v>
      </c>
      <c r="I13" s="626"/>
      <c r="J13" s="751"/>
      <c r="K13" s="416"/>
      <c r="L13" s="376" t="s">
        <v>241</v>
      </c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3">
      <c r="A14" s="376"/>
      <c r="B14" s="376" t="s">
        <v>243</v>
      </c>
      <c r="C14" s="376" t="s">
        <v>243</v>
      </c>
      <c r="D14" s="376" t="s">
        <v>17</v>
      </c>
      <c r="E14" s="376" t="s">
        <v>241</v>
      </c>
      <c r="F14" s="608" t="s">
        <v>238</v>
      </c>
      <c r="G14" s="609">
        <v>0.31251499999999999</v>
      </c>
      <c r="H14" s="692">
        <v>1</v>
      </c>
      <c r="I14" s="626"/>
      <c r="J14" s="751"/>
      <c r="K14" s="416"/>
      <c r="L14" s="376" t="s">
        <v>241</v>
      </c>
      <c r="M14" s="376"/>
      <c r="N14" s="376"/>
      <c r="O14" s="376"/>
      <c r="P14" s="376"/>
      <c r="Q14" s="376"/>
      <c r="R14" s="376"/>
      <c r="S14" s="416"/>
      <c r="T14" s="751"/>
      <c r="U14" s="416"/>
      <c r="V14" s="609">
        <f>IF(W14=1,G14,0)</f>
        <v>0</v>
      </c>
      <c r="W14" s="692"/>
      <c r="X14" s="416"/>
      <c r="Y14" s="416"/>
      <c r="Z14" s="416"/>
      <c r="AA14" s="416"/>
    </row>
    <row r="15" spans="1:27" outlineLevel="2">
      <c r="A15" s="376"/>
      <c r="B15" s="684" t="s">
        <v>243</v>
      </c>
      <c r="C15" s="684" t="s">
        <v>243</v>
      </c>
      <c r="D15" s="684" t="s">
        <v>25</v>
      </c>
      <c r="E15" s="684"/>
      <c r="F15" s="685" t="s">
        <v>1428</v>
      </c>
      <c r="G15" s="686">
        <f>SUBTOTAL(9,G16:G17)</f>
        <v>0.14286399999999999</v>
      </c>
      <c r="H15" s="691">
        <f>SUBTOTAL(9,H16:H17)</f>
        <v>2</v>
      </c>
      <c r="I15" s="626"/>
      <c r="J15" s="751"/>
      <c r="K15" s="416"/>
      <c r="L15" s="684"/>
      <c r="M15" s="684"/>
      <c r="N15" s="684"/>
      <c r="O15" s="684"/>
      <c r="P15" s="684"/>
      <c r="Q15" s="684"/>
      <c r="R15" s="684"/>
      <c r="S15" s="416"/>
      <c r="T15" s="751"/>
      <c r="U15" s="416"/>
      <c r="V15" s="686">
        <f>SUBTOTAL(9,V16:V17)</f>
        <v>0</v>
      </c>
      <c r="W15" s="691">
        <f>SUBTOTAL(9,W16:W17)</f>
        <v>0</v>
      </c>
      <c r="X15" s="416"/>
      <c r="Y15" s="416"/>
      <c r="Z15" s="416"/>
      <c r="AA15" s="416"/>
    </row>
    <row r="16" spans="1:27" outlineLevel="3">
      <c r="A16" s="376"/>
      <c r="B16" s="376" t="s">
        <v>243</v>
      </c>
      <c r="C16" s="376" t="s">
        <v>243</v>
      </c>
      <c r="D16" s="376" t="s">
        <v>25</v>
      </c>
      <c r="E16" s="376" t="s">
        <v>241</v>
      </c>
      <c r="F16" s="608" t="s">
        <v>236</v>
      </c>
      <c r="G16" s="609">
        <v>7.1431999999999995E-2</v>
      </c>
      <c r="H16" s="692">
        <v>1</v>
      </c>
      <c r="I16" s="626"/>
      <c r="J16" s="751"/>
      <c r="K16" s="416"/>
      <c r="L16" s="376" t="s">
        <v>241</v>
      </c>
      <c r="M16" s="376"/>
      <c r="N16" s="376"/>
      <c r="O16" s="376"/>
      <c r="P16" s="376"/>
      <c r="Q16" s="376"/>
      <c r="R16" s="376"/>
      <c r="S16" s="416"/>
      <c r="T16" s="751"/>
      <c r="U16" s="416"/>
      <c r="V16" s="609">
        <f>IF(W16=1,G16,0)</f>
        <v>0</v>
      </c>
      <c r="W16" s="692"/>
      <c r="X16" s="416"/>
      <c r="Y16" s="416"/>
      <c r="Z16" s="416"/>
      <c r="AA16" s="416"/>
    </row>
    <row r="17" spans="2:23" outlineLevel="3">
      <c r="B17" s="376" t="s">
        <v>243</v>
      </c>
      <c r="C17" s="376" t="s">
        <v>243</v>
      </c>
      <c r="D17" s="376" t="s">
        <v>25</v>
      </c>
      <c r="E17" s="376" t="s">
        <v>241</v>
      </c>
      <c r="F17" s="608" t="s">
        <v>237</v>
      </c>
      <c r="G17" s="609">
        <v>7.1431999999999995E-2</v>
      </c>
      <c r="H17" s="692">
        <v>1</v>
      </c>
      <c r="I17" s="626"/>
      <c r="J17" s="751"/>
      <c r="K17" s="416"/>
      <c r="L17" s="376" t="s">
        <v>241</v>
      </c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92"/>
    </row>
    <row r="18" spans="2:23" outlineLevel="2">
      <c r="B18" s="684" t="s">
        <v>243</v>
      </c>
      <c r="C18" s="684" t="s">
        <v>243</v>
      </c>
      <c r="D18" s="684" t="s">
        <v>27</v>
      </c>
      <c r="E18" s="684"/>
      <c r="F18" s="685" t="s">
        <v>1428</v>
      </c>
      <c r="G18" s="686">
        <f>SUBTOTAL(9,G19:G21)</f>
        <v>6.0270749999999998E-2</v>
      </c>
      <c r="H18" s="691">
        <f>SUBTOTAL(9,H19:H21)</f>
        <v>3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SUBTOTAL(9,V19:V21)</f>
        <v>0</v>
      </c>
      <c r="W18" s="691">
        <f>SUBTOTAL(9,W19:W21)</f>
        <v>0</v>
      </c>
    </row>
    <row r="19" spans="2:23" outlineLevel="3">
      <c r="B19" s="376" t="s">
        <v>243</v>
      </c>
      <c r="C19" s="376" t="s">
        <v>243</v>
      </c>
      <c r="D19" s="376" t="s">
        <v>27</v>
      </c>
      <c r="E19" s="376" t="s">
        <v>241</v>
      </c>
      <c r="F19" s="608" t="s">
        <v>236</v>
      </c>
      <c r="G19" s="609">
        <v>2.009025E-2</v>
      </c>
      <c r="H19" s="692">
        <v>1</v>
      </c>
      <c r="I19" s="626"/>
      <c r="J19" s="751"/>
      <c r="K19" s="416"/>
      <c r="L19" s="376" t="s">
        <v>241</v>
      </c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92"/>
    </row>
    <row r="20" spans="2:23" outlineLevel="3">
      <c r="B20" s="376" t="s">
        <v>243</v>
      </c>
      <c r="C20" s="376" t="s">
        <v>243</v>
      </c>
      <c r="D20" s="376" t="s">
        <v>27</v>
      </c>
      <c r="E20" s="376" t="s">
        <v>241</v>
      </c>
      <c r="F20" s="608" t="s">
        <v>1427</v>
      </c>
      <c r="G20" s="609">
        <v>2.009025E-2</v>
      </c>
      <c r="H20" s="692">
        <v>1</v>
      </c>
      <c r="I20" s="626"/>
      <c r="J20" s="751"/>
      <c r="K20" s="416"/>
      <c r="L20" s="376" t="s">
        <v>241</v>
      </c>
      <c r="M20" s="376"/>
      <c r="N20" s="376"/>
      <c r="O20" s="376"/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243</v>
      </c>
      <c r="C21" s="376" t="s">
        <v>243</v>
      </c>
      <c r="D21" s="376" t="s">
        <v>27</v>
      </c>
      <c r="E21" s="376" t="s">
        <v>241</v>
      </c>
      <c r="F21" s="608" t="s">
        <v>237</v>
      </c>
      <c r="G21" s="609">
        <v>2.009025E-2</v>
      </c>
      <c r="H21" s="692">
        <v>1</v>
      </c>
      <c r="I21" s="626"/>
      <c r="J21" s="751"/>
      <c r="K21" s="416"/>
      <c r="L21" s="376" t="s">
        <v>241</v>
      </c>
      <c r="M21" s="376"/>
      <c r="N21" s="376"/>
      <c r="O21" s="376"/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2">
      <c r="B22" s="684" t="s">
        <v>243</v>
      </c>
      <c r="C22" s="684" t="s">
        <v>243</v>
      </c>
      <c r="D22" s="684" t="s">
        <v>58</v>
      </c>
      <c r="E22" s="684"/>
      <c r="F22" s="685" t="s">
        <v>1428</v>
      </c>
      <c r="G22" s="686">
        <f>SUBTOTAL(9,G23:G25)</f>
        <v>4.7993374999999998E-2</v>
      </c>
      <c r="H22" s="691">
        <f>SUBTOTAL(9,H23:H25)</f>
        <v>3</v>
      </c>
      <c r="I22" s="626"/>
      <c r="J22" s="751"/>
      <c r="K22" s="416"/>
      <c r="L22" s="684"/>
      <c r="M22" s="684"/>
      <c r="N22" s="684"/>
      <c r="O22" s="684"/>
      <c r="P22" s="684"/>
      <c r="Q22" s="684"/>
      <c r="R22" s="684"/>
      <c r="S22" s="416"/>
      <c r="T22" s="751"/>
      <c r="U22" s="416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243</v>
      </c>
      <c r="C23" s="376" t="s">
        <v>243</v>
      </c>
      <c r="D23" s="376" t="s">
        <v>58</v>
      </c>
      <c r="E23" s="376" t="s">
        <v>241</v>
      </c>
      <c r="F23" s="608" t="s">
        <v>236</v>
      </c>
      <c r="G23" s="609">
        <v>1.6741875E-2</v>
      </c>
      <c r="H23" s="692">
        <v>1</v>
      </c>
      <c r="I23" s="626"/>
      <c r="J23" s="751"/>
      <c r="K23" s="416"/>
      <c r="L23" s="376" t="s">
        <v>241</v>
      </c>
      <c r="M23" s="376"/>
      <c r="N23" s="376"/>
      <c r="O23" s="376"/>
      <c r="P23" s="376"/>
      <c r="Q23" s="376"/>
      <c r="R23" s="376"/>
      <c r="S23" s="416"/>
      <c r="T23" s="751"/>
      <c r="U23" s="416"/>
      <c r="V23" s="609">
        <f>IF(W23=1,G23,0)</f>
        <v>0</v>
      </c>
      <c r="W23" s="692"/>
    </row>
    <row r="24" spans="2:23" outlineLevel="3">
      <c r="B24" s="376" t="s">
        <v>243</v>
      </c>
      <c r="C24" s="376" t="s">
        <v>243</v>
      </c>
      <c r="D24" s="376" t="s">
        <v>58</v>
      </c>
      <c r="E24" s="376" t="s">
        <v>241</v>
      </c>
      <c r="F24" s="608" t="s">
        <v>1427</v>
      </c>
      <c r="G24" s="609">
        <v>2.009025E-2</v>
      </c>
      <c r="H24" s="692">
        <v>1</v>
      </c>
      <c r="I24" s="626"/>
      <c r="J24" s="751"/>
      <c r="K24" s="416"/>
      <c r="L24" s="376" t="s">
        <v>241</v>
      </c>
      <c r="M24" s="376"/>
      <c r="N24" s="376"/>
      <c r="O24" s="376"/>
      <c r="P24" s="376"/>
      <c r="Q24" s="376"/>
      <c r="R24" s="376"/>
      <c r="S24" s="416"/>
      <c r="T24" s="751"/>
      <c r="U24" s="416"/>
      <c r="V24" s="609">
        <f>IF(W24=1,G24,0)</f>
        <v>0</v>
      </c>
      <c r="W24" s="692"/>
    </row>
    <row r="25" spans="2:23" outlineLevel="3">
      <c r="B25" s="376" t="s">
        <v>243</v>
      </c>
      <c r="C25" s="376" t="s">
        <v>243</v>
      </c>
      <c r="D25" s="376" t="s">
        <v>58</v>
      </c>
      <c r="E25" s="376" t="s">
        <v>241</v>
      </c>
      <c r="F25" s="608" t="s">
        <v>237</v>
      </c>
      <c r="G25" s="609">
        <v>1.1161249999999999E-2</v>
      </c>
      <c r="H25" s="692">
        <v>1</v>
      </c>
      <c r="I25" s="626"/>
      <c r="J25" s="751"/>
      <c r="K25" s="416"/>
      <c r="L25" s="376" t="s">
        <v>241</v>
      </c>
      <c r="M25" s="376"/>
      <c r="N25" s="376"/>
      <c r="O25" s="376"/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1">
      <c r="B26" s="665" t="s">
        <v>251</v>
      </c>
      <c r="C26" s="665" t="s">
        <v>252</v>
      </c>
      <c r="D26" s="665"/>
      <c r="E26" s="665"/>
      <c r="F26" s="681" t="s">
        <v>262</v>
      </c>
      <c r="G26" s="797">
        <f>SUBTOTAL(9,G27:G31)</f>
        <v>4.0000000000000001E-3</v>
      </c>
      <c r="H26" s="798">
        <f>SUBTOTAL(9,H27:H31)</f>
        <v>4</v>
      </c>
      <c r="I26" s="626"/>
      <c r="J26" s="751"/>
      <c r="K26" s="416"/>
      <c r="L26" s="665"/>
      <c r="M26" s="665"/>
      <c r="N26" s="665"/>
      <c r="O26" s="665"/>
      <c r="P26" s="665"/>
      <c r="Q26" s="665"/>
      <c r="R26" s="665"/>
      <c r="S26" s="416"/>
      <c r="T26" s="751"/>
      <c r="U26" s="416"/>
      <c r="V26" s="797">
        <f>SUBTOTAL(9,V27:V31)</f>
        <v>0</v>
      </c>
      <c r="W26" s="798">
        <f>SUBTOTAL(9,W27:W31)</f>
        <v>0</v>
      </c>
    </row>
    <row r="27" spans="2:23" outlineLevel="2">
      <c r="B27" s="684" t="s">
        <v>251</v>
      </c>
      <c r="C27" s="684" t="s">
        <v>252</v>
      </c>
      <c r="D27" s="684" t="s">
        <v>17</v>
      </c>
      <c r="E27" s="684"/>
      <c r="F27" s="685" t="s">
        <v>1434</v>
      </c>
      <c r="G27" s="686">
        <f>SUBTOTAL(9,G28:G31)</f>
        <v>4.0000000000000001E-3</v>
      </c>
      <c r="H27" s="691">
        <f>SUBTOTAL(9,H28:H31)</f>
        <v>4</v>
      </c>
      <c r="I27" s="626"/>
      <c r="J27" s="751"/>
      <c r="K27" s="416"/>
      <c r="L27" s="684"/>
      <c r="M27" s="684"/>
      <c r="N27" s="684"/>
      <c r="O27" s="684"/>
      <c r="P27" s="684"/>
      <c r="Q27" s="684"/>
      <c r="R27" s="684"/>
      <c r="S27" s="416"/>
      <c r="T27" s="751"/>
      <c r="U27" s="416"/>
      <c r="V27" s="686">
        <f>SUBTOTAL(9,V28:V31)</f>
        <v>0</v>
      </c>
      <c r="W27" s="691">
        <f>SUBTOTAL(9,W28:W31)</f>
        <v>0</v>
      </c>
    </row>
    <row r="28" spans="2:23" outlineLevel="3">
      <c r="B28" s="376" t="s">
        <v>251</v>
      </c>
      <c r="C28" s="376" t="s">
        <v>252</v>
      </c>
      <c r="D28" s="376" t="s">
        <v>17</v>
      </c>
      <c r="E28" s="376" t="s">
        <v>241</v>
      </c>
      <c r="F28" s="608" t="s">
        <v>253</v>
      </c>
      <c r="G28" s="609">
        <v>2.0999999999999999E-3</v>
      </c>
      <c r="H28" s="692">
        <v>1</v>
      </c>
      <c r="I28" s="626"/>
      <c r="J28" s="751"/>
      <c r="K28" s="416"/>
      <c r="L28" s="376" t="s">
        <v>241</v>
      </c>
      <c r="M28" s="376"/>
      <c r="N28" s="376"/>
      <c r="O28" s="376"/>
      <c r="P28" s="376"/>
      <c r="Q28" s="376"/>
      <c r="R28" s="376"/>
      <c r="S28" s="416"/>
      <c r="T28" s="751"/>
      <c r="U28" s="416"/>
      <c r="V28" s="609">
        <f>IF(W28=1,G28,0)</f>
        <v>0</v>
      </c>
      <c r="W28" s="692"/>
    </row>
    <row r="29" spans="2:23" outlineLevel="3">
      <c r="B29" s="376" t="s">
        <v>251</v>
      </c>
      <c r="C29" s="376" t="s">
        <v>252</v>
      </c>
      <c r="D29" s="376" t="s">
        <v>17</v>
      </c>
      <c r="E29" s="376" t="s">
        <v>241</v>
      </c>
      <c r="F29" s="608" t="s">
        <v>254</v>
      </c>
      <c r="G29" s="609">
        <v>8.7500000000000002E-4</v>
      </c>
      <c r="H29" s="692">
        <v>1</v>
      </c>
      <c r="I29" s="626"/>
      <c r="J29" s="751"/>
      <c r="K29" s="416"/>
      <c r="L29" s="376" t="s">
        <v>241</v>
      </c>
      <c r="M29" s="376"/>
      <c r="N29" s="376"/>
      <c r="O29" s="376"/>
      <c r="P29" s="376"/>
      <c r="Q29" s="376"/>
      <c r="R29" s="376"/>
      <c r="S29" s="416"/>
      <c r="T29" s="751"/>
      <c r="U29" s="416"/>
      <c r="V29" s="609">
        <f>IF(W29=1,G29,0)</f>
        <v>0</v>
      </c>
      <c r="W29" s="692"/>
    </row>
    <row r="30" spans="2:23" outlineLevel="3">
      <c r="B30" s="376" t="s">
        <v>251</v>
      </c>
      <c r="C30" s="376" t="s">
        <v>252</v>
      </c>
      <c r="D30" s="376" t="s">
        <v>17</v>
      </c>
      <c r="E30" s="376" t="s">
        <v>241</v>
      </c>
      <c r="F30" s="608" t="s">
        <v>255</v>
      </c>
      <c r="G30" s="609">
        <v>5.2499999999999997E-4</v>
      </c>
      <c r="H30" s="692">
        <v>1</v>
      </c>
      <c r="I30" s="626"/>
      <c r="J30" s="751"/>
      <c r="K30" s="416"/>
      <c r="L30" s="376" t="s">
        <v>241</v>
      </c>
      <c r="M30" s="376"/>
      <c r="N30" s="376"/>
      <c r="O30" s="376"/>
      <c r="P30" s="376"/>
      <c r="Q30" s="376"/>
      <c r="R30" s="376"/>
      <c r="S30" s="416"/>
      <c r="T30" s="751"/>
      <c r="U30" s="416"/>
      <c r="V30" s="609">
        <f>IF(W30=1,G30,0)</f>
        <v>0</v>
      </c>
      <c r="W30" s="692"/>
    </row>
    <row r="31" spans="2:23" outlineLevel="3">
      <c r="B31" s="376" t="s">
        <v>251</v>
      </c>
      <c r="C31" s="376" t="s">
        <v>252</v>
      </c>
      <c r="D31" s="376" t="s">
        <v>17</v>
      </c>
      <c r="E31" s="376" t="s">
        <v>241</v>
      </c>
      <c r="F31" s="608" t="s">
        <v>256</v>
      </c>
      <c r="G31" s="609">
        <v>5.0000000000000001E-4</v>
      </c>
      <c r="H31" s="692">
        <v>1</v>
      </c>
      <c r="I31" s="626"/>
      <c r="J31" s="751"/>
      <c r="K31" s="416"/>
      <c r="L31" s="376" t="s">
        <v>241</v>
      </c>
      <c r="M31" s="376"/>
      <c r="N31" s="376"/>
      <c r="O31" s="376"/>
      <c r="P31" s="376"/>
      <c r="Q31" s="376"/>
      <c r="R31" s="376"/>
      <c r="S31" s="416"/>
      <c r="T31" s="751"/>
      <c r="U31" s="416"/>
      <c r="V31" s="609">
        <f>IF(W31=1,G31,0)</f>
        <v>0</v>
      </c>
      <c r="W31" s="692"/>
    </row>
    <row r="32" spans="2:23" ht="3" customHeight="1" outlineLevel="1">
      <c r="B32" s="416"/>
      <c r="C32" s="416"/>
      <c r="D32" s="416"/>
      <c r="E32" s="416"/>
      <c r="F32" s="749"/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</row>
    <row r="33" spans="2:23" ht="15">
      <c r="B33" s="430" t="s">
        <v>280</v>
      </c>
      <c r="C33" s="430"/>
      <c r="D33" s="430"/>
      <c r="E33" s="430"/>
      <c r="F33" s="697"/>
      <c r="G33" s="738">
        <f>SUBTOTAL(9,G35:G39)</f>
        <v>0.153458592</v>
      </c>
      <c r="H33" s="739">
        <f>SUBTOTAL(9,H35:H39)</f>
        <v>3</v>
      </c>
      <c r="I33" s="626"/>
      <c r="J33" s="751"/>
      <c r="K33" s="416"/>
      <c r="L33" s="430"/>
      <c r="M33" s="430"/>
      <c r="N33" s="430"/>
      <c r="O33" s="430"/>
      <c r="P33" s="430"/>
      <c r="Q33" s="430"/>
      <c r="R33" s="430"/>
      <c r="S33" s="416"/>
      <c r="T33" s="751"/>
      <c r="U33" s="416"/>
      <c r="V33" s="738">
        <f>SUBTOTAL(9,V35:V39)</f>
        <v>0</v>
      </c>
      <c r="W33" s="739">
        <f>SUBTOTAL(9,W35:W39)</f>
        <v>0</v>
      </c>
    </row>
    <row r="34" spans="2:23" ht="3" customHeight="1" outlineLevel="1">
      <c r="B34" s="376"/>
      <c r="C34" s="376"/>
      <c r="D34" s="376"/>
      <c r="E34" s="376"/>
      <c r="F34" s="608"/>
      <c r="G34" s="609"/>
      <c r="H34" s="692"/>
      <c r="I34" s="626"/>
      <c r="J34" s="751"/>
      <c r="K34" s="416"/>
      <c r="L34" s="376"/>
      <c r="M34" s="376"/>
      <c r="N34" s="376"/>
      <c r="O34" s="376"/>
      <c r="P34" s="376"/>
      <c r="Q34" s="376"/>
      <c r="R34" s="376"/>
      <c r="S34" s="416"/>
      <c r="T34" s="751"/>
      <c r="U34" s="416"/>
      <c r="V34" s="609"/>
      <c r="W34" s="692"/>
    </row>
    <row r="35" spans="2:23" outlineLevel="1">
      <c r="B35" s="682" t="s">
        <v>355</v>
      </c>
      <c r="C35" s="682" t="s">
        <v>356</v>
      </c>
      <c r="D35" s="682"/>
      <c r="E35" s="682"/>
      <c r="F35" s="681" t="s">
        <v>262</v>
      </c>
      <c r="G35" s="708">
        <f>SUBTOTAL(9,G36:G39)</f>
        <v>0.153458592</v>
      </c>
      <c r="H35" s="709">
        <f>SUBTOTAL(9,H36:H39)</f>
        <v>3</v>
      </c>
      <c r="I35" s="626"/>
      <c r="J35" s="751"/>
      <c r="K35" s="416"/>
      <c r="L35" s="682"/>
      <c r="M35" s="682"/>
      <c r="N35" s="682"/>
      <c r="O35" s="682"/>
      <c r="P35" s="682"/>
      <c r="Q35" s="682"/>
      <c r="R35" s="682"/>
      <c r="S35" s="416"/>
      <c r="T35" s="751"/>
      <c r="U35" s="416"/>
      <c r="V35" s="708">
        <f>SUBTOTAL(9,V36:V39)</f>
        <v>0</v>
      </c>
      <c r="W35" s="709">
        <f>SUBTOTAL(9,W36:W39)</f>
        <v>0</v>
      </c>
    </row>
    <row r="36" spans="2:23" outlineLevel="2">
      <c r="B36" s="688" t="s">
        <v>356</v>
      </c>
      <c r="C36" s="688" t="s">
        <v>356</v>
      </c>
      <c r="D36" s="688" t="s">
        <v>17</v>
      </c>
      <c r="E36" s="688"/>
      <c r="F36" s="712" t="s">
        <v>1455</v>
      </c>
      <c r="G36" s="686">
        <f>SUBTOTAL(9,G37:G39)</f>
        <v>0.153458592</v>
      </c>
      <c r="H36" s="691">
        <f>SUBTOTAL(9,H37:H39)</f>
        <v>3</v>
      </c>
      <c r="I36" s="626"/>
      <c r="J36" s="751"/>
      <c r="K36" s="416"/>
      <c r="L36" s="688"/>
      <c r="M36" s="688"/>
      <c r="N36" s="688"/>
      <c r="O36" s="688"/>
      <c r="P36" s="688"/>
      <c r="Q36" s="688"/>
      <c r="R36" s="688"/>
      <c r="S36" s="416"/>
      <c r="T36" s="751"/>
      <c r="U36" s="416"/>
      <c r="V36" s="686">
        <f>SUBTOTAL(9,V37:V39)</f>
        <v>0</v>
      </c>
      <c r="W36" s="691">
        <f>SUBTOTAL(9,W37:W39)</f>
        <v>0</v>
      </c>
    </row>
    <row r="37" spans="2:23" outlineLevel="3">
      <c r="B37" s="456" t="s">
        <v>356</v>
      </c>
      <c r="C37" s="456" t="s">
        <v>356</v>
      </c>
      <c r="D37" s="456" t="s">
        <v>17</v>
      </c>
      <c r="E37" s="456" t="s">
        <v>241</v>
      </c>
      <c r="F37" s="623" t="s">
        <v>1545</v>
      </c>
      <c r="G37" s="744">
        <v>4.3845312000000004E-2</v>
      </c>
      <c r="H37" s="745">
        <v>1</v>
      </c>
      <c r="I37" s="626"/>
      <c r="J37" s="751"/>
      <c r="K37" s="416"/>
      <c r="L37" s="456" t="s">
        <v>241</v>
      </c>
      <c r="M37" s="456"/>
      <c r="N37" s="456"/>
      <c r="O37" s="456"/>
      <c r="P37" s="456"/>
      <c r="Q37" s="456"/>
      <c r="R37" s="456"/>
      <c r="S37" s="416"/>
      <c r="T37" s="751"/>
      <c r="U37" s="416"/>
      <c r="V37" s="609">
        <f>IF(W37=1,G37,0)</f>
        <v>0</v>
      </c>
      <c r="W37" s="745"/>
    </row>
    <row r="38" spans="2:23" outlineLevel="3">
      <c r="B38" s="456" t="s">
        <v>356</v>
      </c>
      <c r="C38" s="456" t="s">
        <v>356</v>
      </c>
      <c r="D38" s="456" t="s">
        <v>17</v>
      </c>
      <c r="E38" s="456" t="s">
        <v>241</v>
      </c>
      <c r="F38" s="623" t="s">
        <v>236</v>
      </c>
      <c r="G38" s="744">
        <v>6.576796800000001E-2</v>
      </c>
      <c r="H38" s="745">
        <v>1</v>
      </c>
      <c r="I38" s="626"/>
      <c r="J38" s="751"/>
      <c r="K38" s="416"/>
      <c r="L38" s="456" t="s">
        <v>241</v>
      </c>
      <c r="M38" s="456"/>
      <c r="N38" s="456"/>
      <c r="O38" s="456"/>
      <c r="P38" s="456"/>
      <c r="Q38" s="456"/>
      <c r="R38" s="456"/>
      <c r="S38" s="416"/>
      <c r="T38" s="751"/>
      <c r="U38" s="416"/>
      <c r="V38" s="609">
        <f>IF(W38=1,G38,0)</f>
        <v>0</v>
      </c>
      <c r="W38" s="745"/>
    </row>
    <row r="39" spans="2:23" outlineLevel="3">
      <c r="B39" s="456" t="s">
        <v>356</v>
      </c>
      <c r="C39" s="456" t="s">
        <v>356</v>
      </c>
      <c r="D39" s="456" t="s">
        <v>17</v>
      </c>
      <c r="E39" s="456" t="s">
        <v>241</v>
      </c>
      <c r="F39" s="623" t="s">
        <v>32</v>
      </c>
      <c r="G39" s="744">
        <v>4.3845312000000004E-2</v>
      </c>
      <c r="H39" s="745">
        <v>1</v>
      </c>
      <c r="I39" s="626"/>
      <c r="J39" s="751"/>
      <c r="K39" s="416"/>
      <c r="L39" s="456" t="s">
        <v>241</v>
      </c>
      <c r="M39" s="456"/>
      <c r="N39" s="456"/>
      <c r="O39" s="456"/>
      <c r="P39" s="456"/>
      <c r="Q39" s="456"/>
      <c r="R39" s="456"/>
      <c r="S39" s="416"/>
      <c r="T39" s="751"/>
      <c r="U39" s="416"/>
      <c r="V39" s="609">
        <f>IF(W39=1,G39,0)</f>
        <v>0</v>
      </c>
      <c r="W39" s="745"/>
    </row>
    <row r="40" spans="2:23">
      <c r="B40" s="416"/>
      <c r="C40" s="416"/>
      <c r="D40" s="416"/>
      <c r="E40" s="416"/>
      <c r="F40" s="749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</row>
  </sheetData>
  <autoFilter ref="B4:W3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186-4AB7-4FD4-8A8B-24DF6CA9AB4F}">
  <sheetPr>
    <outlinePr summaryBelow="0" summaryRight="0"/>
    <pageSetUpPr fitToPage="1"/>
  </sheetPr>
  <dimension ref="A2:AE264"/>
  <sheetViews>
    <sheetView zoomScale="90" zoomScaleNormal="90" workbookViewId="0">
      <pane xSplit="2" ySplit="4" topLeftCell="C247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4140625" defaultRowHeight="13.2" outlineLevelRow="4" outlineLevelCol="1"/>
  <cols>
    <col min="1" max="1" width="0.5546875" style="787" customWidth="1"/>
    <col min="2" max="2" width="22.6640625" style="787" customWidth="1"/>
    <col min="3" max="3" width="17.6640625" style="787" bestFit="1" customWidth="1"/>
    <col min="4" max="4" width="16.33203125" style="787" customWidth="1"/>
    <col min="5" max="5" width="14.44140625" style="787" customWidth="1"/>
    <col min="6" max="6" width="53.6640625" style="791" customWidth="1"/>
    <col min="7" max="7" width="13.33203125" style="787" bestFit="1" customWidth="1"/>
    <col min="8" max="8" width="9.5546875" style="787" customWidth="1" outlineLevel="1"/>
    <col min="9" max="11" width="0.5546875" style="787" customWidth="1"/>
    <col min="12" max="12" width="14.44140625" style="787" customWidth="1"/>
    <col min="13" max="13" width="14.44140625" style="787" customWidth="1" collapsed="1"/>
    <col min="14" max="18" width="14.44140625" style="787" hidden="1" customWidth="1" outlineLevel="1"/>
    <col min="19" max="21" width="0.5546875" style="787" customWidth="1"/>
    <col min="22" max="22" width="16.33203125" style="787" customWidth="1" collapsed="1"/>
    <col min="23" max="23" width="14.33203125" style="787" hidden="1" customWidth="1" outlineLevel="1"/>
    <col min="24" max="26" width="9.44140625" style="787" bestFit="1"/>
    <col min="27" max="27" width="9.44140625" style="787" bestFit="1" customWidth="1"/>
    <col min="28" max="16384" width="9.44140625" style="787"/>
  </cols>
  <sheetData>
    <row r="2" spans="1:31" ht="17.399999999999999">
      <c r="A2" s="376"/>
      <c r="B2" s="418" t="s">
        <v>1688</v>
      </c>
      <c r="C2" s="418"/>
      <c r="D2" s="418"/>
      <c r="E2" s="418"/>
      <c r="F2" s="423"/>
      <c r="G2" s="796">
        <f>SUBTOTAL(9,G6:G262)</f>
        <v>23.760371167549934</v>
      </c>
      <c r="H2" s="690">
        <f>SUBTOTAL(9,H6:H263)</f>
        <v>153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SUBTOTAL(9,V6:V262)</f>
        <v>0</v>
      </c>
      <c r="W2" s="764">
        <f>SUBTOTAL(9,W6:W262)</f>
        <v>0</v>
      </c>
      <c r="X2" s="610">
        <f>G2-V2</f>
        <v>23.760371167549934</v>
      </c>
      <c r="Y2" s="610">
        <f>H2-W2</f>
        <v>153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13</v>
      </c>
      <c r="C6" s="430"/>
      <c r="D6" s="430"/>
      <c r="E6" s="430"/>
      <c r="F6" s="697"/>
      <c r="G6" s="738">
        <f>SUBTOTAL(9,G8:G101)</f>
        <v>2.3617668135042287</v>
      </c>
      <c r="H6" s="739">
        <f>SUBTOTAL(9,H8:H101)</f>
        <v>52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SUBTOTAL(9,V8:V101)</f>
        <v>0</v>
      </c>
      <c r="W6" s="739">
        <f>SUBTOTAL(9,W8:W101)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97">
        <f>SUBTOTAL(9,G9:G10)</f>
        <v>1.4336873100000001E-2</v>
      </c>
      <c r="H8" s="798">
        <f>SUBTOTAL(9,H9:H10)</f>
        <v>1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SUBTOTAL(9,V9:V10)</f>
        <v>0</v>
      </c>
      <c r="W8" s="798">
        <f>SUBTOTAL(9,W9:W10)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14</v>
      </c>
      <c r="C9" s="684" t="s">
        <v>15</v>
      </c>
      <c r="D9" s="684" t="s">
        <v>27</v>
      </c>
      <c r="E9" s="684"/>
      <c r="F9" s="685" t="s">
        <v>1194</v>
      </c>
      <c r="G9" s="686">
        <f>SUBTOTAL(9,G10)</f>
        <v>1.4336873100000001E-2</v>
      </c>
      <c r="H9" s="691">
        <f>SUBTOTAL(9,H10)</f>
        <v>1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SUBTOTAL(9,V10)</f>
        <v>0</v>
      </c>
      <c r="W9" s="691">
        <f>SUBTOTAL(9,W10)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outlineLevel="3">
      <c r="A10" s="376"/>
      <c r="B10" s="376" t="s">
        <v>14</v>
      </c>
      <c r="C10" s="376" t="s">
        <v>22</v>
      </c>
      <c r="D10" s="376" t="s">
        <v>27</v>
      </c>
      <c r="E10" s="376" t="s">
        <v>28</v>
      </c>
      <c r="F10" s="376" t="s">
        <v>186</v>
      </c>
      <c r="G10" s="609">
        <v>1.4336873100000001E-2</v>
      </c>
      <c r="H10" s="692">
        <v>1</v>
      </c>
      <c r="I10" s="626"/>
      <c r="J10" s="751"/>
      <c r="K10" s="416"/>
      <c r="L10" s="376" t="s">
        <v>28</v>
      </c>
      <c r="M10" s="376" t="s">
        <v>1208</v>
      </c>
      <c r="N10" s="376" t="s">
        <v>1209</v>
      </c>
      <c r="O10" s="376" t="s">
        <v>1210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s="793" customFormat="1" outlineLevel="1">
      <c r="A11" s="380"/>
      <c r="B11" s="665" t="s">
        <v>14</v>
      </c>
      <c r="C11" s="665" t="s">
        <v>29</v>
      </c>
      <c r="D11" s="665"/>
      <c r="E11" s="665"/>
      <c r="F11" s="681" t="s">
        <v>262</v>
      </c>
      <c r="G11" s="797">
        <f>SUBTOTAL(9,G12:G21)</f>
        <v>0.37131450852665654</v>
      </c>
      <c r="H11" s="798">
        <f>SUBTOTAL(9,H12:H21)</f>
        <v>8</v>
      </c>
      <c r="I11" s="627"/>
      <c r="J11" s="753"/>
      <c r="K11" s="612"/>
      <c r="L11" s="665"/>
      <c r="M11" s="665"/>
      <c r="N11" s="665"/>
      <c r="O11" s="665"/>
      <c r="P11" s="665"/>
      <c r="Q11" s="665"/>
      <c r="R11" s="665"/>
      <c r="S11" s="612"/>
      <c r="T11" s="753"/>
      <c r="U11" s="612"/>
      <c r="V11" s="797">
        <f>SUBTOTAL(9,V12:V21)</f>
        <v>0</v>
      </c>
      <c r="W11" s="798">
        <f>SUBTOTAL(9,W12:W21)</f>
        <v>0</v>
      </c>
      <c r="X11" s="611"/>
      <c r="Y11" s="611"/>
      <c r="Z11" s="611"/>
      <c r="AA11" s="612"/>
      <c r="AB11" s="612"/>
      <c r="AC11" s="612"/>
      <c r="AD11" s="447"/>
      <c r="AE11" s="683"/>
    </row>
    <row r="12" spans="1:31" outlineLevel="2">
      <c r="A12" s="376"/>
      <c r="B12" s="684" t="s">
        <v>14</v>
      </c>
      <c r="C12" s="684" t="s">
        <v>29</v>
      </c>
      <c r="D12" s="684" t="s">
        <v>27</v>
      </c>
      <c r="E12" s="684"/>
      <c r="F12" s="685" t="s">
        <v>1591</v>
      </c>
      <c r="G12" s="686">
        <f>SUBTOTAL(9,G13:G18)</f>
        <v>0.27704634295729169</v>
      </c>
      <c r="H12" s="691">
        <f>SUBTOTAL(9,H13:H18)</f>
        <v>6</v>
      </c>
      <c r="I12" s="626"/>
      <c r="J12" s="751"/>
      <c r="K12" s="416"/>
      <c r="L12" s="684"/>
      <c r="M12" s="684"/>
      <c r="N12" s="684"/>
      <c r="O12" s="684"/>
      <c r="P12" s="684"/>
      <c r="Q12" s="684"/>
      <c r="R12" s="684"/>
      <c r="S12" s="416"/>
      <c r="T12" s="751"/>
      <c r="U12" s="416"/>
      <c r="V12" s="686">
        <f>SUBTOTAL(9,V13:V18)</f>
        <v>0</v>
      </c>
      <c r="W12" s="691">
        <f>SUBTOTAL(9,W13:W18)</f>
        <v>0</v>
      </c>
      <c r="X12" s="610"/>
      <c r="Y12" s="610"/>
      <c r="Z12" s="610"/>
      <c r="AA12" s="416"/>
      <c r="AB12" s="416"/>
      <c r="AC12" s="416"/>
      <c r="AD12" s="447"/>
      <c r="AE12" s="683"/>
    </row>
    <row r="13" spans="1:31" outlineLevel="3">
      <c r="A13" s="376"/>
      <c r="B13" s="376" t="s">
        <v>14</v>
      </c>
      <c r="C13" s="376" t="s">
        <v>29</v>
      </c>
      <c r="D13" s="376" t="s">
        <v>27</v>
      </c>
      <c r="E13" s="376" t="s">
        <v>28</v>
      </c>
      <c r="F13" s="608" t="s">
        <v>1227</v>
      </c>
      <c r="G13" s="609">
        <v>2.1499694035440806E-2</v>
      </c>
      <c r="H13" s="692">
        <v>1</v>
      </c>
      <c r="I13" s="626"/>
      <c r="J13" s="751"/>
      <c r="K13" s="416"/>
      <c r="L13" s="376" t="s">
        <v>28</v>
      </c>
      <c r="M13" s="376" t="s">
        <v>1208</v>
      </c>
      <c r="N13" s="376" t="s">
        <v>1209</v>
      </c>
      <c r="O13" s="376" t="s">
        <v>1235</v>
      </c>
      <c r="P13" s="376"/>
      <c r="Q13" s="376"/>
      <c r="R13" s="376"/>
      <c r="S13" s="416"/>
      <c r="T13" s="751"/>
      <c r="U13" s="416"/>
      <c r="V13" s="609">
        <f t="shared" ref="V13:V18" si="0">IF(W13=1,G13,0)</f>
        <v>0</v>
      </c>
      <c r="W13" s="692"/>
      <c r="X13" s="610"/>
      <c r="Y13" s="610"/>
      <c r="Z13" s="610"/>
      <c r="AA13" s="416"/>
      <c r="AB13" s="416"/>
      <c r="AC13" s="416"/>
      <c r="AD13" s="447"/>
      <c r="AE13" s="683"/>
    </row>
    <row r="14" spans="1:31" ht="26.4" outlineLevel="3">
      <c r="A14" s="376"/>
      <c r="B14" s="376" t="s">
        <v>14</v>
      </c>
      <c r="C14" s="376" t="s">
        <v>29</v>
      </c>
      <c r="D14" s="376" t="s">
        <v>27</v>
      </c>
      <c r="E14" s="376" t="s">
        <v>28</v>
      </c>
      <c r="F14" s="608" t="s">
        <v>1216</v>
      </c>
      <c r="G14" s="609">
        <v>2.8273590763100436E-3</v>
      </c>
      <c r="H14" s="692">
        <v>1</v>
      </c>
      <c r="I14" s="626"/>
      <c r="J14" s="751"/>
      <c r="K14" s="416"/>
      <c r="L14" s="376" t="s">
        <v>28</v>
      </c>
      <c r="M14" s="376" t="s">
        <v>1208</v>
      </c>
      <c r="N14" s="376" t="s">
        <v>1209</v>
      </c>
      <c r="O14" s="376" t="s">
        <v>1235</v>
      </c>
      <c r="P14" s="376"/>
      <c r="Q14" s="376"/>
      <c r="R14" s="376"/>
      <c r="S14" s="416"/>
      <c r="T14" s="751"/>
      <c r="U14" s="416"/>
      <c r="V14" s="609">
        <f t="shared" si="0"/>
        <v>0</v>
      </c>
      <c r="W14" s="692"/>
      <c r="X14" s="610"/>
      <c r="Y14" s="610"/>
      <c r="Z14" s="610"/>
      <c r="AA14" s="416"/>
      <c r="AB14" s="416"/>
      <c r="AC14" s="416"/>
      <c r="AD14" s="447"/>
      <c r="AE14" s="683"/>
    </row>
    <row r="15" spans="1:31" ht="26.4" outlineLevel="3">
      <c r="A15" s="376"/>
      <c r="B15" s="376" t="s">
        <v>14</v>
      </c>
      <c r="C15" s="376" t="s">
        <v>29</v>
      </c>
      <c r="D15" s="376" t="s">
        <v>27</v>
      </c>
      <c r="E15" s="376" t="s">
        <v>28</v>
      </c>
      <c r="F15" s="608" t="s">
        <v>1217</v>
      </c>
      <c r="G15" s="609">
        <v>2.8273590763100436E-3</v>
      </c>
      <c r="H15" s="692">
        <v>1</v>
      </c>
      <c r="I15" s="626"/>
      <c r="J15" s="751"/>
      <c r="K15" s="416"/>
      <c r="L15" s="376" t="s">
        <v>28</v>
      </c>
      <c r="M15" s="376" t="s">
        <v>1208</v>
      </c>
      <c r="N15" s="376" t="s">
        <v>1209</v>
      </c>
      <c r="O15" s="376" t="s">
        <v>1235</v>
      </c>
      <c r="P15" s="376"/>
      <c r="Q15" s="376"/>
      <c r="R15" s="376"/>
      <c r="S15" s="416"/>
      <c r="T15" s="751"/>
      <c r="U15" s="416"/>
      <c r="V15" s="609">
        <f t="shared" si="0"/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14</v>
      </c>
      <c r="C16" s="376" t="s">
        <v>29</v>
      </c>
      <c r="D16" s="376" t="s">
        <v>27</v>
      </c>
      <c r="E16" s="376" t="s">
        <v>28</v>
      </c>
      <c r="F16" s="608" t="s">
        <v>1214</v>
      </c>
      <c r="G16" s="609">
        <v>0.10494596538461541</v>
      </c>
      <c r="H16" s="692">
        <v>1</v>
      </c>
      <c r="I16" s="626"/>
      <c r="J16" s="751"/>
      <c r="K16" s="416"/>
      <c r="L16" s="376" t="s">
        <v>28</v>
      </c>
      <c r="M16" s="376" t="s">
        <v>1208</v>
      </c>
      <c r="N16" s="376" t="s">
        <v>1209</v>
      </c>
      <c r="O16" s="376" t="s">
        <v>1235</v>
      </c>
      <c r="P16" s="376"/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2:23" outlineLevel="3">
      <c r="B17" s="376" t="s">
        <v>14</v>
      </c>
      <c r="C17" s="376" t="s">
        <v>29</v>
      </c>
      <c r="D17" s="376" t="s">
        <v>27</v>
      </c>
      <c r="E17" s="376" t="s">
        <v>28</v>
      </c>
      <c r="F17" s="608" t="s">
        <v>1589</v>
      </c>
      <c r="G17" s="609">
        <v>0.10494596538461541</v>
      </c>
      <c r="H17" s="692">
        <v>1</v>
      </c>
      <c r="I17" s="626"/>
      <c r="J17" s="751"/>
      <c r="K17" s="416"/>
      <c r="L17" s="376" t="s">
        <v>28</v>
      </c>
      <c r="M17" s="376" t="s">
        <v>1208</v>
      </c>
      <c r="N17" s="376" t="s">
        <v>1209</v>
      </c>
      <c r="O17" s="376" t="s">
        <v>1235</v>
      </c>
      <c r="P17" s="376"/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2:23" outlineLevel="3">
      <c r="B18" s="376" t="s">
        <v>14</v>
      </c>
      <c r="C18" s="376" t="s">
        <v>29</v>
      </c>
      <c r="D18" s="376" t="s">
        <v>27</v>
      </c>
      <c r="E18" s="376" t="s">
        <v>28</v>
      </c>
      <c r="F18" s="608" t="s">
        <v>221</v>
      </c>
      <c r="G18" s="609">
        <v>0.04</v>
      </c>
      <c r="H18" s="692">
        <v>1</v>
      </c>
      <c r="I18" s="626"/>
      <c r="J18" s="751"/>
      <c r="K18" s="416"/>
      <c r="L18" s="376" t="s">
        <v>28</v>
      </c>
      <c r="M18" s="376" t="s">
        <v>1208</v>
      </c>
      <c r="N18" s="376" t="s">
        <v>1209</v>
      </c>
      <c r="O18" s="376" t="s">
        <v>1235</v>
      </c>
      <c r="P18" s="376"/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2:23" outlineLevel="2">
      <c r="B19" s="684" t="s">
        <v>14</v>
      </c>
      <c r="C19" s="684" t="s">
        <v>29</v>
      </c>
      <c r="D19" s="684" t="s">
        <v>58</v>
      </c>
      <c r="E19" s="684"/>
      <c r="F19" s="685" t="s">
        <v>1591</v>
      </c>
      <c r="G19" s="686">
        <f>SUBTOTAL(9,G20:G21)</f>
        <v>9.4268165569364862E-2</v>
      </c>
      <c r="H19" s="691">
        <f>SUBTOTAL(9,H20:H21)</f>
        <v>2</v>
      </c>
      <c r="I19" s="626"/>
      <c r="J19" s="751"/>
      <c r="K19" s="416"/>
      <c r="L19" s="684"/>
      <c r="M19" s="684"/>
      <c r="N19" s="684"/>
      <c r="O19" s="684"/>
      <c r="P19" s="684"/>
      <c r="Q19" s="684"/>
      <c r="R19" s="684"/>
      <c r="S19" s="416"/>
      <c r="T19" s="751"/>
      <c r="U19" s="416"/>
      <c r="V19" s="686">
        <f>SUBTOTAL(9,V20:V21)</f>
        <v>0</v>
      </c>
      <c r="W19" s="691">
        <f>SUBTOTAL(9,W20:W21)</f>
        <v>0</v>
      </c>
    </row>
    <row r="20" spans="2:23" outlineLevel="3">
      <c r="B20" s="376" t="s">
        <v>14</v>
      </c>
      <c r="C20" s="376" t="s">
        <v>29</v>
      </c>
      <c r="D20" s="376" t="s">
        <v>58</v>
      </c>
      <c r="E20" s="376" t="s">
        <v>28</v>
      </c>
      <c r="F20" s="608" t="s">
        <v>1227</v>
      </c>
      <c r="G20" s="609">
        <v>4.7863519954722676E-2</v>
      </c>
      <c r="H20" s="692">
        <v>1</v>
      </c>
      <c r="I20" s="626"/>
      <c r="J20" s="751"/>
      <c r="K20" s="416"/>
      <c r="L20" s="376" t="s">
        <v>28</v>
      </c>
      <c r="M20" s="376" t="s">
        <v>1236</v>
      </c>
      <c r="N20" s="376" t="s">
        <v>1237</v>
      </c>
      <c r="O20" s="376" t="s">
        <v>1238</v>
      </c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14</v>
      </c>
      <c r="C21" s="376" t="s">
        <v>29</v>
      </c>
      <c r="D21" s="376" t="s">
        <v>58</v>
      </c>
      <c r="E21" s="376" t="s">
        <v>28</v>
      </c>
      <c r="F21" s="608" t="s">
        <v>1239</v>
      </c>
      <c r="G21" s="609">
        <v>4.6404645614642186E-2</v>
      </c>
      <c r="H21" s="692">
        <v>1</v>
      </c>
      <c r="I21" s="626"/>
      <c r="J21" s="751"/>
      <c r="K21" s="416"/>
      <c r="L21" s="376" t="s">
        <v>28</v>
      </c>
      <c r="M21" s="376" t="s">
        <v>1236</v>
      </c>
      <c r="N21" s="376" t="s">
        <v>1237</v>
      </c>
      <c r="O21" s="376" t="s">
        <v>1238</v>
      </c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3">
      <c r="B22" s="376" t="s">
        <v>14</v>
      </c>
      <c r="C22" s="376" t="s">
        <v>29</v>
      </c>
      <c r="D22" s="376" t="s">
        <v>58</v>
      </c>
      <c r="E22" s="376" t="s">
        <v>28</v>
      </c>
      <c r="F22" s="608" t="s">
        <v>1589</v>
      </c>
      <c r="G22" s="609">
        <v>4.6404645614642186E-2</v>
      </c>
      <c r="H22" s="692">
        <v>1</v>
      </c>
      <c r="I22" s="626"/>
      <c r="J22" s="751"/>
      <c r="K22" s="416"/>
      <c r="L22" s="376" t="s">
        <v>28</v>
      </c>
      <c r="M22" s="376" t="s">
        <v>1236</v>
      </c>
      <c r="N22" s="376" t="s">
        <v>1237</v>
      </c>
      <c r="O22" s="376" t="s">
        <v>1238</v>
      </c>
      <c r="P22" s="376"/>
      <c r="Q22" s="376"/>
      <c r="R22" s="376"/>
      <c r="S22" s="416"/>
      <c r="T22" s="751"/>
      <c r="U22" s="416"/>
      <c r="V22" s="609">
        <f>IF(W22=1,G22,0)</f>
        <v>0</v>
      </c>
      <c r="W22" s="692"/>
    </row>
    <row r="23" spans="2:23" s="794" customFormat="1" outlineLevel="1">
      <c r="B23" s="666" t="s">
        <v>62</v>
      </c>
      <c r="C23" s="666" t="s">
        <v>63</v>
      </c>
      <c r="D23" s="666"/>
      <c r="E23" s="666"/>
      <c r="F23" s="681" t="s">
        <v>262</v>
      </c>
      <c r="G23" s="708">
        <f>SUBTOTAL(9,G24:G26)</f>
        <v>0.16750548359999998</v>
      </c>
      <c r="H23" s="709">
        <f>SUBTOTAL(9,H24:H26)</f>
        <v>2</v>
      </c>
      <c r="I23" s="710"/>
      <c r="J23" s="755"/>
      <c r="K23" s="711"/>
      <c r="L23" s="666"/>
      <c r="M23" s="666"/>
      <c r="N23" s="666"/>
      <c r="O23" s="666"/>
      <c r="P23" s="666"/>
      <c r="Q23" s="666"/>
      <c r="R23" s="666"/>
      <c r="S23" s="711"/>
      <c r="T23" s="755"/>
      <c r="U23" s="711"/>
      <c r="V23" s="708">
        <f>SUBTOTAL(9,V24:V26)</f>
        <v>0</v>
      </c>
      <c r="W23" s="709">
        <f>SUBTOTAL(9,W24:W26)</f>
        <v>0</v>
      </c>
    </row>
    <row r="24" spans="2:23" outlineLevel="2">
      <c r="B24" s="684" t="s">
        <v>62</v>
      </c>
      <c r="C24" s="684" t="s">
        <v>63</v>
      </c>
      <c r="D24" s="684" t="s">
        <v>27</v>
      </c>
      <c r="E24" s="684"/>
      <c r="F24" s="712" t="s">
        <v>1194</v>
      </c>
      <c r="G24" s="686">
        <f>SUBTOTAL(9,G25:G26)</f>
        <v>0.16750548359999998</v>
      </c>
      <c r="H24" s="691">
        <f>SUBTOTAL(9,H25:H26)</f>
        <v>2</v>
      </c>
      <c r="I24" s="626"/>
      <c r="J24" s="751"/>
      <c r="K24" s="416"/>
      <c r="L24" s="684"/>
      <c r="M24" s="684"/>
      <c r="N24" s="684"/>
      <c r="O24" s="684"/>
      <c r="P24" s="684"/>
      <c r="Q24" s="684"/>
      <c r="R24" s="684"/>
      <c r="S24" s="416"/>
      <c r="T24" s="751"/>
      <c r="U24" s="416"/>
      <c r="V24" s="686">
        <f>SUBTOTAL(9,V25:V26)</f>
        <v>0</v>
      </c>
      <c r="W24" s="691">
        <f>SUBTOTAL(9,W25:W26)</f>
        <v>0</v>
      </c>
    </row>
    <row r="25" spans="2:23" outlineLevel="3">
      <c r="B25" s="376" t="s">
        <v>62</v>
      </c>
      <c r="C25" s="376" t="s">
        <v>63</v>
      </c>
      <c r="D25" s="376" t="s">
        <v>27</v>
      </c>
      <c r="E25" s="376" t="s">
        <v>28</v>
      </c>
      <c r="F25" s="623" t="s">
        <v>221</v>
      </c>
      <c r="G25" s="609">
        <v>3.8655111599999993E-2</v>
      </c>
      <c r="H25" s="692">
        <v>1</v>
      </c>
      <c r="I25" s="626"/>
      <c r="J25" s="751"/>
      <c r="K25" s="416"/>
      <c r="L25" s="376" t="s">
        <v>28</v>
      </c>
      <c r="M25" s="376" t="s">
        <v>1208</v>
      </c>
      <c r="N25" s="376" t="s">
        <v>1253</v>
      </c>
      <c r="O25" s="376" t="s">
        <v>1254</v>
      </c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3">
      <c r="B26" s="376" t="s">
        <v>62</v>
      </c>
      <c r="C26" s="376" t="s">
        <v>63</v>
      </c>
      <c r="D26" s="376" t="s">
        <v>27</v>
      </c>
      <c r="E26" s="376" t="s">
        <v>28</v>
      </c>
      <c r="F26" s="623" t="s">
        <v>186</v>
      </c>
      <c r="G26" s="609">
        <v>0.12885037199999999</v>
      </c>
      <c r="H26" s="692">
        <v>1</v>
      </c>
      <c r="I26" s="626"/>
      <c r="J26" s="751"/>
      <c r="K26" s="416"/>
      <c r="L26" s="376" t="s">
        <v>28</v>
      </c>
      <c r="M26" s="376" t="s">
        <v>1208</v>
      </c>
      <c r="N26" s="376" t="s">
        <v>1253</v>
      </c>
      <c r="O26" s="376" t="s">
        <v>1254</v>
      </c>
      <c r="P26" s="376"/>
      <c r="Q26" s="376"/>
      <c r="R26" s="376"/>
      <c r="S26" s="416"/>
      <c r="T26" s="751"/>
      <c r="U26" s="416"/>
      <c r="V26" s="609">
        <f>IF(W26=1,G26,0)</f>
        <v>0</v>
      </c>
      <c r="W26" s="692"/>
    </row>
    <row r="27" spans="2:23" s="794" customFormat="1" outlineLevel="1">
      <c r="B27" s="666" t="s">
        <v>69</v>
      </c>
      <c r="C27" s="666" t="s">
        <v>70</v>
      </c>
      <c r="D27" s="666"/>
      <c r="E27" s="666"/>
      <c r="F27" s="681" t="s">
        <v>262</v>
      </c>
      <c r="G27" s="715">
        <f>SUBTOTAL(9,G28:G29)</f>
        <v>0</v>
      </c>
      <c r="H27" s="716">
        <f>SUBTOTAL(9,H28:H29)</f>
        <v>0</v>
      </c>
      <c r="I27" s="710"/>
      <c r="J27" s="755"/>
      <c r="K27" s="711"/>
      <c r="L27" s="666"/>
      <c r="M27" s="666"/>
      <c r="N27" s="666"/>
      <c r="O27" s="666"/>
      <c r="P27" s="666"/>
      <c r="Q27" s="666"/>
      <c r="R27" s="666"/>
      <c r="S27" s="711"/>
      <c r="T27" s="755"/>
      <c r="U27" s="711"/>
      <c r="V27" s="715">
        <f>SUBTOTAL(9,V28:V29)</f>
        <v>0</v>
      </c>
      <c r="W27" s="716">
        <f>SUBTOTAL(9,W28:W29)</f>
        <v>0</v>
      </c>
    </row>
    <row r="28" spans="2:23" outlineLevel="2">
      <c r="B28" s="687" t="s">
        <v>69</v>
      </c>
      <c r="C28" s="687" t="s">
        <v>70</v>
      </c>
      <c r="D28" s="684"/>
      <c r="E28" s="684"/>
      <c r="F28" s="717" t="s">
        <v>1255</v>
      </c>
      <c r="G28" s="686">
        <f>SUBTOTAL(9,G29)</f>
        <v>0</v>
      </c>
      <c r="H28" s="691">
        <f>SUBTOTAL(9,H29)</f>
        <v>0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SUBTOTAL(9,V29)</f>
        <v>0</v>
      </c>
      <c r="W28" s="691">
        <f>SUBTOTAL(9,W29)</f>
        <v>0</v>
      </c>
    </row>
    <row r="29" spans="2:23" outlineLevel="2">
      <c r="B29" s="386"/>
      <c r="C29" s="386"/>
      <c r="D29" s="380"/>
      <c r="E29" s="380"/>
      <c r="F29" s="623" t="s">
        <v>1256</v>
      </c>
      <c r="G29" s="718"/>
      <c r="H29" s="799"/>
      <c r="I29" s="626"/>
      <c r="J29" s="751"/>
      <c r="K29" s="416"/>
      <c r="L29" s="380"/>
      <c r="M29" s="380"/>
      <c r="N29" s="380"/>
      <c r="O29" s="380"/>
      <c r="P29" s="380"/>
      <c r="Q29" s="380"/>
      <c r="R29" s="380"/>
      <c r="S29" s="416"/>
      <c r="T29" s="751"/>
      <c r="U29" s="416"/>
      <c r="V29" s="718"/>
      <c r="W29" s="799"/>
    </row>
    <row r="30" spans="2:23" s="794" customFormat="1" outlineLevel="1">
      <c r="B30" s="666" t="s">
        <v>74</v>
      </c>
      <c r="C30" s="666" t="s">
        <v>75</v>
      </c>
      <c r="D30" s="666"/>
      <c r="E30" s="666"/>
      <c r="F30" s="681" t="s">
        <v>262</v>
      </c>
      <c r="G30" s="708">
        <f>SUBTOTAL(9,G31:G35)</f>
        <v>0.40109149999999999</v>
      </c>
      <c r="H30" s="709">
        <f>SUBTOTAL(9,H31:H35)</f>
        <v>3</v>
      </c>
      <c r="I30" s="710"/>
      <c r="J30" s="755"/>
      <c r="K30" s="711"/>
      <c r="L30" s="666"/>
      <c r="M30" s="666"/>
      <c r="N30" s="666"/>
      <c r="O30" s="666"/>
      <c r="P30" s="666"/>
      <c r="Q30" s="666"/>
      <c r="R30" s="666"/>
      <c r="S30" s="711"/>
      <c r="T30" s="755"/>
      <c r="U30" s="711"/>
      <c r="V30" s="708">
        <f>SUBTOTAL(9,V31:V35)</f>
        <v>0</v>
      </c>
      <c r="W30" s="709">
        <f>SUBTOTAL(9,W31:W35)</f>
        <v>0</v>
      </c>
    </row>
    <row r="31" spans="2:23" outlineLevel="2">
      <c r="B31" s="684" t="s">
        <v>74</v>
      </c>
      <c r="C31" s="684" t="s">
        <v>75</v>
      </c>
      <c r="D31" s="684" t="s">
        <v>27</v>
      </c>
      <c r="E31" s="684"/>
      <c r="F31" s="712" t="s">
        <v>77</v>
      </c>
      <c r="G31" s="686">
        <f>SUBTOTAL(9,G32:G33)</f>
        <v>0.36109150000000001</v>
      </c>
      <c r="H31" s="691">
        <f>SUBTOTAL(9,H32:H33)</f>
        <v>2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SUBTOTAL(9,V32:V33)</f>
        <v>0</v>
      </c>
      <c r="W31" s="691">
        <f>SUBTOTAL(9,W32:W33)</f>
        <v>0</v>
      </c>
    </row>
    <row r="32" spans="2:23" outlineLevel="3">
      <c r="B32" s="376" t="s">
        <v>74</v>
      </c>
      <c r="C32" s="376" t="s">
        <v>75</v>
      </c>
      <c r="D32" s="376" t="s">
        <v>27</v>
      </c>
      <c r="E32" s="376" t="s">
        <v>28</v>
      </c>
      <c r="F32" s="623" t="s">
        <v>1275</v>
      </c>
      <c r="G32" s="723">
        <v>0.36</v>
      </c>
      <c r="H32" s="692">
        <v>1</v>
      </c>
      <c r="I32" s="626"/>
      <c r="J32" s="751"/>
      <c r="K32" s="416"/>
      <c r="L32" s="376" t="s">
        <v>28</v>
      </c>
      <c r="M32" s="376" t="s">
        <v>1208</v>
      </c>
      <c r="N32" s="376" t="s">
        <v>1278</v>
      </c>
      <c r="O32" s="376" t="s">
        <v>1279</v>
      </c>
      <c r="P32" s="376"/>
      <c r="Q32" s="376"/>
      <c r="R32" s="376"/>
      <c r="S32" s="416"/>
      <c r="T32" s="751"/>
      <c r="U32" s="416"/>
      <c r="V32" s="609">
        <f>IF(W32=1,G32,0)</f>
        <v>0</v>
      </c>
      <c r="W32" s="692"/>
    </row>
    <row r="33" spans="2:23" outlineLevel="3">
      <c r="B33" s="376" t="s">
        <v>74</v>
      </c>
      <c r="C33" s="376" t="s">
        <v>75</v>
      </c>
      <c r="D33" s="376" t="s">
        <v>27</v>
      </c>
      <c r="E33" s="376" t="s">
        <v>28</v>
      </c>
      <c r="F33" s="623" t="s">
        <v>1276</v>
      </c>
      <c r="G33" s="723">
        <v>1.0915E-3</v>
      </c>
      <c r="H33" s="692">
        <v>1</v>
      </c>
      <c r="I33" s="626"/>
      <c r="J33" s="751"/>
      <c r="K33" s="416"/>
      <c r="L33" s="376" t="s">
        <v>28</v>
      </c>
      <c r="M33" s="376" t="s">
        <v>1208</v>
      </c>
      <c r="N33" s="376" t="s">
        <v>1278</v>
      </c>
      <c r="O33" s="376" t="s">
        <v>1279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2:23" outlineLevel="2">
      <c r="B34" s="684" t="s">
        <v>74</v>
      </c>
      <c r="C34" s="684" t="s">
        <v>75</v>
      </c>
      <c r="D34" s="684" t="s">
        <v>58</v>
      </c>
      <c r="E34" s="684"/>
      <c r="F34" s="712" t="s">
        <v>77</v>
      </c>
      <c r="G34" s="686">
        <f>SUBTOTAL(9,G35)</f>
        <v>0.04</v>
      </c>
      <c r="H34" s="691">
        <f>SUBTOTAL(9,H35)</f>
        <v>1</v>
      </c>
      <c r="I34" s="626"/>
      <c r="J34" s="751"/>
      <c r="K34" s="416"/>
      <c r="L34" s="684"/>
      <c r="M34" s="684"/>
      <c r="N34" s="684"/>
      <c r="O34" s="684"/>
      <c r="P34" s="684"/>
      <c r="Q34" s="684"/>
      <c r="R34" s="684"/>
      <c r="S34" s="416"/>
      <c r="T34" s="751"/>
      <c r="U34" s="416"/>
      <c r="V34" s="686">
        <f>SUBTOTAL(9,V35)</f>
        <v>0</v>
      </c>
      <c r="W34" s="691">
        <f>SUBTOTAL(9,W35)</f>
        <v>0</v>
      </c>
    </row>
    <row r="35" spans="2:23" ht="26.4" outlineLevel="3">
      <c r="B35" s="376" t="s">
        <v>74</v>
      </c>
      <c r="C35" s="376" t="s">
        <v>75</v>
      </c>
      <c r="D35" s="376" t="s">
        <v>58</v>
      </c>
      <c r="E35" s="376" t="s">
        <v>28</v>
      </c>
      <c r="F35" s="623" t="s">
        <v>1281</v>
      </c>
      <c r="G35" s="723">
        <v>0.04</v>
      </c>
      <c r="H35" s="692">
        <v>1</v>
      </c>
      <c r="I35" s="626"/>
      <c r="J35" s="751"/>
      <c r="K35" s="416"/>
      <c r="L35" s="376" t="s">
        <v>28</v>
      </c>
      <c r="M35" s="376" t="s">
        <v>1236</v>
      </c>
      <c r="N35" s="376" t="s">
        <v>1282</v>
      </c>
      <c r="O35" s="376"/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2:23" s="793" customFormat="1" outlineLevel="1">
      <c r="B36" s="666" t="s">
        <v>91</v>
      </c>
      <c r="C36" s="666" t="s">
        <v>92</v>
      </c>
      <c r="D36" s="666"/>
      <c r="E36" s="666"/>
      <c r="F36" s="681" t="s">
        <v>262</v>
      </c>
      <c r="G36" s="708">
        <f>SUBTOTAL(9,G37:G51)</f>
        <v>0.86443961999999996</v>
      </c>
      <c r="H36" s="709">
        <f>SUBTOTAL(9,H37:H51)</f>
        <v>13</v>
      </c>
      <c r="I36" s="627"/>
      <c r="J36" s="753"/>
      <c r="K36" s="612"/>
      <c r="L36" s="666"/>
      <c r="M36" s="666"/>
      <c r="N36" s="666"/>
      <c r="O36" s="666"/>
      <c r="P36" s="666"/>
      <c r="Q36" s="666"/>
      <c r="R36" s="666"/>
      <c r="S36" s="612"/>
      <c r="T36" s="753"/>
      <c r="U36" s="612"/>
      <c r="V36" s="708">
        <f>SUBTOTAL(9,V37:V51)</f>
        <v>0</v>
      </c>
      <c r="W36" s="709">
        <f>SUBTOTAL(9,W37:W51)</f>
        <v>0</v>
      </c>
    </row>
    <row r="37" spans="2:23" outlineLevel="2">
      <c r="B37" s="684" t="s">
        <v>91</v>
      </c>
      <c r="C37" s="684" t="s">
        <v>92</v>
      </c>
      <c r="D37" s="684" t="s">
        <v>27</v>
      </c>
      <c r="E37" s="684"/>
      <c r="F37" s="685" t="s">
        <v>112</v>
      </c>
      <c r="G37" s="686">
        <f>SUBTOTAL(9,G38:G46)</f>
        <v>0.65547999999999995</v>
      </c>
      <c r="H37" s="691">
        <f>SUBTOTAL(9,H38:H46)</f>
        <v>9</v>
      </c>
      <c r="I37" s="626"/>
      <c r="J37" s="751"/>
      <c r="K37" s="416"/>
      <c r="L37" s="684"/>
      <c r="M37" s="684"/>
      <c r="N37" s="684"/>
      <c r="O37" s="684"/>
      <c r="P37" s="684"/>
      <c r="Q37" s="684"/>
      <c r="R37" s="684"/>
      <c r="S37" s="416"/>
      <c r="T37" s="751"/>
      <c r="U37" s="416"/>
      <c r="V37" s="686">
        <f>SUBTOTAL(9,V38:V46)</f>
        <v>0</v>
      </c>
      <c r="W37" s="691">
        <f>SUBTOTAL(9,W38:W46)</f>
        <v>0</v>
      </c>
    </row>
    <row r="38" spans="2:23" outlineLevel="3">
      <c r="B38" s="376" t="s">
        <v>91</v>
      </c>
      <c r="C38" s="376" t="s">
        <v>92</v>
      </c>
      <c r="D38" s="376" t="s">
        <v>27</v>
      </c>
      <c r="E38" s="376" t="s">
        <v>28</v>
      </c>
      <c r="F38" s="623" t="s">
        <v>1298</v>
      </c>
      <c r="G38" s="723">
        <v>8.5739999999999997E-2</v>
      </c>
      <c r="H38" s="692">
        <v>1</v>
      </c>
      <c r="I38" s="626"/>
      <c r="J38" s="751"/>
      <c r="K38" s="416"/>
      <c r="L38" s="376" t="s">
        <v>28</v>
      </c>
      <c r="M38" s="376" t="s">
        <v>1208</v>
      </c>
      <c r="N38" s="376" t="s">
        <v>1313</v>
      </c>
      <c r="O38" s="376" t="s">
        <v>1314</v>
      </c>
      <c r="P38" s="376"/>
      <c r="Q38" s="376"/>
      <c r="R38" s="376"/>
      <c r="S38" s="416"/>
      <c r="T38" s="751"/>
      <c r="U38" s="416"/>
      <c r="V38" s="609">
        <f t="shared" ref="V38:V46" si="1">IF(W38=1,G38,0)</f>
        <v>0</v>
      </c>
      <c r="W38" s="692"/>
    </row>
    <row r="39" spans="2:23" outlineLevel="3">
      <c r="B39" s="376" t="s">
        <v>91</v>
      </c>
      <c r="C39" s="376" t="s">
        <v>92</v>
      </c>
      <c r="D39" s="376" t="s">
        <v>27</v>
      </c>
      <c r="E39" s="376" t="s">
        <v>28</v>
      </c>
      <c r="F39" s="623" t="s">
        <v>1299</v>
      </c>
      <c r="G39" s="723">
        <v>8.5739999999999997E-2</v>
      </c>
      <c r="H39" s="692">
        <v>1</v>
      </c>
      <c r="I39" s="626"/>
      <c r="J39" s="751"/>
      <c r="K39" s="416"/>
      <c r="L39" s="376" t="s">
        <v>28</v>
      </c>
      <c r="M39" s="376" t="s">
        <v>1208</v>
      </c>
      <c r="N39" s="376" t="s">
        <v>1313</v>
      </c>
      <c r="O39" s="376" t="s">
        <v>1314</v>
      </c>
      <c r="P39" s="376"/>
      <c r="Q39" s="376"/>
      <c r="R39" s="376"/>
      <c r="S39" s="416"/>
      <c r="T39" s="751"/>
      <c r="U39" s="416"/>
      <c r="V39" s="609">
        <f t="shared" si="1"/>
        <v>0</v>
      </c>
      <c r="W39" s="692"/>
    </row>
    <row r="40" spans="2:23" outlineLevel="3">
      <c r="B40" s="376" t="s">
        <v>91</v>
      </c>
      <c r="C40" s="376" t="s">
        <v>92</v>
      </c>
      <c r="D40" s="376" t="s">
        <v>27</v>
      </c>
      <c r="E40" s="376" t="s">
        <v>28</v>
      </c>
      <c r="F40" s="623" t="s">
        <v>1316</v>
      </c>
      <c r="G40" s="723">
        <v>0.06</v>
      </c>
      <c r="H40" s="692">
        <v>1</v>
      </c>
      <c r="I40" s="626"/>
      <c r="J40" s="751"/>
      <c r="K40" s="416"/>
      <c r="L40" s="376" t="s">
        <v>28</v>
      </c>
      <c r="M40" s="376" t="s">
        <v>1208</v>
      </c>
      <c r="N40" s="376" t="s">
        <v>1313</v>
      </c>
      <c r="O40" s="376" t="s">
        <v>1314</v>
      </c>
      <c r="P40" s="376"/>
      <c r="Q40" s="376"/>
      <c r="R40" s="376"/>
      <c r="S40" s="416"/>
      <c r="T40" s="751"/>
      <c r="U40" s="416"/>
      <c r="V40" s="609">
        <f t="shared" si="1"/>
        <v>0</v>
      </c>
      <c r="W40" s="692"/>
    </row>
    <row r="41" spans="2:23" outlineLevel="3">
      <c r="B41" s="376" t="s">
        <v>91</v>
      </c>
      <c r="C41" s="376" t="s">
        <v>92</v>
      </c>
      <c r="D41" s="376" t="s">
        <v>27</v>
      </c>
      <c r="E41" s="376" t="s">
        <v>28</v>
      </c>
      <c r="F41" s="623" t="s">
        <v>1317</v>
      </c>
      <c r="G41" s="723">
        <v>0.06</v>
      </c>
      <c r="H41" s="692">
        <v>1</v>
      </c>
      <c r="I41" s="626"/>
      <c r="J41" s="751"/>
      <c r="K41" s="416"/>
      <c r="L41" s="376" t="s">
        <v>28</v>
      </c>
      <c r="M41" s="376" t="s">
        <v>1208</v>
      </c>
      <c r="N41" s="376" t="s">
        <v>1313</v>
      </c>
      <c r="O41" s="376" t="s">
        <v>1314</v>
      </c>
      <c r="P41" s="376"/>
      <c r="Q41" s="376"/>
      <c r="R41" s="376"/>
      <c r="S41" s="416"/>
      <c r="T41" s="751"/>
      <c r="U41" s="416"/>
      <c r="V41" s="609">
        <f t="shared" si="1"/>
        <v>0</v>
      </c>
      <c r="W41" s="692"/>
    </row>
    <row r="42" spans="2:23" outlineLevel="3">
      <c r="B42" s="376" t="s">
        <v>91</v>
      </c>
      <c r="C42" s="376" t="s">
        <v>92</v>
      </c>
      <c r="D42" s="376" t="s">
        <v>27</v>
      </c>
      <c r="E42" s="376" t="s">
        <v>28</v>
      </c>
      <c r="F42" s="623" t="s">
        <v>1301</v>
      </c>
      <c r="G42" s="723">
        <v>4.0000000000000001E-3</v>
      </c>
      <c r="H42" s="692">
        <v>1</v>
      </c>
      <c r="I42" s="626"/>
      <c r="J42" s="751"/>
      <c r="K42" s="416"/>
      <c r="L42" s="376" t="s">
        <v>28</v>
      </c>
      <c r="M42" s="376" t="s">
        <v>1208</v>
      </c>
      <c r="N42" s="376" t="s">
        <v>1313</v>
      </c>
      <c r="O42" s="376" t="s">
        <v>1314</v>
      </c>
      <c r="P42" s="376"/>
      <c r="Q42" s="376"/>
      <c r="R42" s="376"/>
      <c r="S42" s="416"/>
      <c r="T42" s="751"/>
      <c r="U42" s="416"/>
      <c r="V42" s="609">
        <f t="shared" si="1"/>
        <v>0</v>
      </c>
      <c r="W42" s="692"/>
    </row>
    <row r="43" spans="2:23" outlineLevel="3">
      <c r="B43" s="376" t="s">
        <v>91</v>
      </c>
      <c r="C43" s="376" t="s">
        <v>92</v>
      </c>
      <c r="D43" s="376" t="s">
        <v>27</v>
      </c>
      <c r="E43" s="376" t="s">
        <v>28</v>
      </c>
      <c r="F43" s="623" t="s">
        <v>1297</v>
      </c>
      <c r="G43" s="723">
        <v>0.04</v>
      </c>
      <c r="H43" s="692">
        <v>1</v>
      </c>
      <c r="I43" s="626"/>
      <c r="J43" s="751"/>
      <c r="K43" s="416"/>
      <c r="L43" s="376" t="s">
        <v>28</v>
      </c>
      <c r="M43" s="376" t="s">
        <v>1208</v>
      </c>
      <c r="N43" s="376" t="s">
        <v>1313</v>
      </c>
      <c r="O43" s="376" t="s">
        <v>1314</v>
      </c>
      <c r="P43" s="376"/>
      <c r="Q43" s="376"/>
      <c r="R43" s="376"/>
      <c r="S43" s="416"/>
      <c r="T43" s="751"/>
      <c r="U43" s="416"/>
      <c r="V43" s="609">
        <f t="shared" si="1"/>
        <v>0</v>
      </c>
      <c r="W43" s="692"/>
    </row>
    <row r="44" spans="2:23" outlineLevel="3">
      <c r="B44" s="376" t="s">
        <v>91</v>
      </c>
      <c r="C44" s="376" t="s">
        <v>92</v>
      </c>
      <c r="D44" s="376" t="s">
        <v>27</v>
      </c>
      <c r="E44" s="376" t="s">
        <v>28</v>
      </c>
      <c r="F44" s="623" t="s">
        <v>1275</v>
      </c>
      <c r="G44" s="723">
        <v>0.12</v>
      </c>
      <c r="H44" s="692">
        <v>1</v>
      </c>
      <c r="I44" s="626"/>
      <c r="J44" s="751"/>
      <c r="K44" s="416"/>
      <c r="L44" s="376" t="s">
        <v>28</v>
      </c>
      <c r="M44" s="376" t="s">
        <v>1208</v>
      </c>
      <c r="N44" s="376" t="s">
        <v>1313</v>
      </c>
      <c r="O44" s="376" t="s">
        <v>1314</v>
      </c>
      <c r="P44" s="376"/>
      <c r="Q44" s="376"/>
      <c r="R44" s="376"/>
      <c r="S44" s="416"/>
      <c r="T44" s="751"/>
      <c r="U44" s="416"/>
      <c r="V44" s="609">
        <f t="shared" si="1"/>
        <v>0</v>
      </c>
      <c r="W44" s="692"/>
    </row>
    <row r="45" spans="2:23" outlineLevel="3">
      <c r="B45" s="376" t="s">
        <v>91</v>
      </c>
      <c r="C45" s="376" t="s">
        <v>92</v>
      </c>
      <c r="D45" s="376" t="s">
        <v>27</v>
      </c>
      <c r="E45" s="376" t="s">
        <v>28</v>
      </c>
      <c r="F45" s="623" t="s">
        <v>1318</v>
      </c>
      <c r="G45" s="723">
        <v>0.1</v>
      </c>
      <c r="H45" s="692">
        <v>1</v>
      </c>
      <c r="I45" s="626"/>
      <c r="J45" s="751"/>
      <c r="K45" s="416"/>
      <c r="L45" s="376" t="s">
        <v>28</v>
      </c>
      <c r="M45" s="376" t="s">
        <v>1208</v>
      </c>
      <c r="N45" s="376" t="s">
        <v>1313</v>
      </c>
      <c r="O45" s="376" t="s">
        <v>1314</v>
      </c>
      <c r="P45" s="376"/>
      <c r="Q45" s="376"/>
      <c r="R45" s="376"/>
      <c r="S45" s="416"/>
      <c r="T45" s="751"/>
      <c r="U45" s="416"/>
      <c r="V45" s="609">
        <f t="shared" si="1"/>
        <v>0</v>
      </c>
      <c r="W45" s="692"/>
    </row>
    <row r="46" spans="2:23" outlineLevel="3">
      <c r="B46" s="376" t="s">
        <v>91</v>
      </c>
      <c r="C46" s="376" t="s">
        <v>92</v>
      </c>
      <c r="D46" s="376" t="s">
        <v>27</v>
      </c>
      <c r="E46" s="376" t="s">
        <v>28</v>
      </c>
      <c r="F46" s="623" t="s">
        <v>1305</v>
      </c>
      <c r="G46" s="723">
        <v>0.1</v>
      </c>
      <c r="H46" s="692">
        <v>1</v>
      </c>
      <c r="I46" s="626"/>
      <c r="J46" s="751"/>
      <c r="K46" s="416"/>
      <c r="L46" s="376" t="s">
        <v>28</v>
      </c>
      <c r="M46" s="376" t="s">
        <v>1208</v>
      </c>
      <c r="N46" s="376" t="s">
        <v>1313</v>
      </c>
      <c r="O46" s="376" t="s">
        <v>1314</v>
      </c>
      <c r="P46" s="376"/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2:23" outlineLevel="2">
      <c r="B47" s="684" t="s">
        <v>91</v>
      </c>
      <c r="C47" s="684" t="s">
        <v>92</v>
      </c>
      <c r="D47" s="684" t="s">
        <v>58</v>
      </c>
      <c r="E47" s="684"/>
      <c r="F47" s="685" t="s">
        <v>112</v>
      </c>
      <c r="G47" s="686">
        <f>SUBTOTAL(9,G48:G51)</f>
        <v>0.20895962000000001</v>
      </c>
      <c r="H47" s="691">
        <f>SUBTOTAL(9,H48:H51)</f>
        <v>4</v>
      </c>
      <c r="I47" s="626"/>
      <c r="J47" s="751"/>
      <c r="K47" s="416"/>
      <c r="L47" s="684"/>
      <c r="M47" s="684"/>
      <c r="N47" s="684"/>
      <c r="O47" s="684"/>
      <c r="P47" s="684"/>
      <c r="Q47" s="684"/>
      <c r="R47" s="684"/>
      <c r="S47" s="416"/>
      <c r="T47" s="751"/>
      <c r="U47" s="416"/>
      <c r="V47" s="686">
        <f>SUBTOTAL(9,V48:V51)</f>
        <v>0</v>
      </c>
      <c r="W47" s="691">
        <f>SUBTOTAL(9,W48:W51)</f>
        <v>0</v>
      </c>
    </row>
    <row r="48" spans="2:23" outlineLevel="3">
      <c r="B48" s="376" t="s">
        <v>91</v>
      </c>
      <c r="C48" s="376" t="s">
        <v>92</v>
      </c>
      <c r="D48" s="376" t="s">
        <v>58</v>
      </c>
      <c r="E48" s="376" t="s">
        <v>28</v>
      </c>
      <c r="F48" s="623" t="s">
        <v>1319</v>
      </c>
      <c r="G48" s="723">
        <v>0.02</v>
      </c>
      <c r="H48" s="692">
        <v>1</v>
      </c>
      <c r="I48" s="626"/>
      <c r="J48" s="751"/>
      <c r="K48" s="416"/>
      <c r="L48" s="376" t="s">
        <v>28</v>
      </c>
      <c r="M48" s="376" t="s">
        <v>1236</v>
      </c>
      <c r="N48" s="376" t="s">
        <v>1282</v>
      </c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91</v>
      </c>
      <c r="C49" s="376" t="s">
        <v>92</v>
      </c>
      <c r="D49" s="376" t="s">
        <v>58</v>
      </c>
      <c r="E49" s="376" t="s">
        <v>28</v>
      </c>
      <c r="F49" s="623" t="s">
        <v>1597</v>
      </c>
      <c r="G49" s="723">
        <v>3.8959620000000007E-2</v>
      </c>
      <c r="H49" s="692">
        <v>1</v>
      </c>
      <c r="I49" s="626"/>
      <c r="J49" s="751"/>
      <c r="K49" s="416"/>
      <c r="L49" s="376" t="s">
        <v>28</v>
      </c>
      <c r="M49" s="376" t="s">
        <v>1236</v>
      </c>
      <c r="N49" s="376"/>
      <c r="O49" s="376"/>
      <c r="P49" s="376"/>
      <c r="Q49" s="376"/>
      <c r="R49" s="376"/>
      <c r="S49" s="416"/>
      <c r="T49" s="751"/>
      <c r="U49" s="416"/>
      <c r="V49" s="609">
        <f>IF(W49=1,G49,0)</f>
        <v>0</v>
      </c>
      <c r="W49" s="692"/>
    </row>
    <row r="50" spans="2:23" ht="26.4" outlineLevel="3">
      <c r="B50" s="376" t="s">
        <v>91</v>
      </c>
      <c r="C50" s="376" t="s">
        <v>92</v>
      </c>
      <c r="D50" s="376" t="s">
        <v>58</v>
      </c>
      <c r="E50" s="376" t="s">
        <v>28</v>
      </c>
      <c r="F50" s="623" t="s">
        <v>1598</v>
      </c>
      <c r="G50" s="723">
        <v>0.05</v>
      </c>
      <c r="H50" s="692">
        <v>1</v>
      </c>
      <c r="I50" s="626"/>
      <c r="J50" s="751"/>
      <c r="K50" s="416"/>
      <c r="L50" s="376" t="s">
        <v>28</v>
      </c>
      <c r="M50" s="376" t="s">
        <v>1236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91</v>
      </c>
      <c r="C51" s="376" t="s">
        <v>92</v>
      </c>
      <c r="D51" s="376" t="s">
        <v>58</v>
      </c>
      <c r="E51" s="376" t="s">
        <v>28</v>
      </c>
      <c r="F51" s="623" t="s">
        <v>1305</v>
      </c>
      <c r="G51" s="723">
        <v>0.1</v>
      </c>
      <c r="H51" s="692">
        <v>1</v>
      </c>
      <c r="I51" s="626"/>
      <c r="J51" s="751"/>
      <c r="K51" s="416"/>
      <c r="L51" s="376" t="s">
        <v>28</v>
      </c>
      <c r="M51" s="376" t="s">
        <v>1236</v>
      </c>
      <c r="N51" s="376" t="s">
        <v>1282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s="793" customFormat="1" outlineLevel="1">
      <c r="B52" s="665" t="s">
        <v>120</v>
      </c>
      <c r="C52" s="665" t="s">
        <v>121</v>
      </c>
      <c r="D52" s="665"/>
      <c r="E52" s="665"/>
      <c r="F52" s="681" t="s">
        <v>262</v>
      </c>
      <c r="G52" s="797">
        <f>SUBTOTAL(9,G53:G54)</f>
        <v>0</v>
      </c>
      <c r="H52" s="798">
        <f>SUBTOTAL(9,H53:H54)</f>
        <v>0</v>
      </c>
      <c r="I52" s="627"/>
      <c r="J52" s="753"/>
      <c r="K52" s="612"/>
      <c r="L52" s="665"/>
      <c r="M52" s="665"/>
      <c r="N52" s="665" t="s">
        <v>1321</v>
      </c>
      <c r="O52" s="665" t="s">
        <v>1322</v>
      </c>
      <c r="P52" s="665" t="s">
        <v>1323</v>
      </c>
      <c r="Q52" s="665"/>
      <c r="R52" s="665"/>
      <c r="S52" s="612"/>
      <c r="T52" s="753"/>
      <c r="U52" s="612"/>
      <c r="V52" s="797">
        <f>SUBTOTAL(9,V53:V54)</f>
        <v>0</v>
      </c>
      <c r="W52" s="798">
        <f>SUBTOTAL(9,W53:W54)</f>
        <v>0</v>
      </c>
    </row>
    <row r="53" spans="2:23" outlineLevel="2">
      <c r="B53" s="687" t="s">
        <v>120</v>
      </c>
      <c r="C53" s="687" t="s">
        <v>121</v>
      </c>
      <c r="D53" s="684" t="s">
        <v>58</v>
      </c>
      <c r="E53" s="684"/>
      <c r="F53" s="717"/>
      <c r="G53" s="686">
        <f>SUBTOTAL(9,G54)</f>
        <v>0</v>
      </c>
      <c r="H53" s="691">
        <f>SUBTOTAL(9,H54)</f>
        <v>0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SUBTOTAL(9,V54)</f>
        <v>0</v>
      </c>
      <c r="W53" s="691">
        <f>SUBTOTAL(9,W54)</f>
        <v>0</v>
      </c>
    </row>
    <row r="54" spans="2:23" outlineLevel="3">
      <c r="B54" s="386" t="s">
        <v>120</v>
      </c>
      <c r="C54" s="376" t="s">
        <v>121</v>
      </c>
      <c r="D54" s="376" t="s">
        <v>58</v>
      </c>
      <c r="E54" s="376" t="s">
        <v>28</v>
      </c>
      <c r="F54" s="623" t="s">
        <v>1599</v>
      </c>
      <c r="G54" s="718"/>
      <c r="H54" s="799"/>
      <c r="I54" s="626"/>
      <c r="J54" s="751"/>
      <c r="K54" s="416"/>
      <c r="L54" s="380"/>
      <c r="M54" s="380"/>
      <c r="N54" s="380"/>
      <c r="O54" s="380"/>
      <c r="P54" s="380"/>
      <c r="Q54" s="380"/>
      <c r="R54" s="380"/>
      <c r="S54" s="416"/>
      <c r="T54" s="751"/>
      <c r="U54" s="416"/>
      <c r="V54" s="718"/>
      <c r="W54" s="799"/>
    </row>
    <row r="55" spans="2:23" s="793" customFormat="1" outlineLevel="1">
      <c r="B55" s="665" t="s">
        <v>130</v>
      </c>
      <c r="C55" s="665" t="s">
        <v>131</v>
      </c>
      <c r="D55" s="665"/>
      <c r="E55" s="665"/>
      <c r="F55" s="681" t="s">
        <v>262</v>
      </c>
      <c r="G55" s="797">
        <f>SUBTOTAL(9,G56:G57)</f>
        <v>0.02</v>
      </c>
      <c r="H55" s="798">
        <f>SUBTOTAL(9,H56:H57)</f>
        <v>1</v>
      </c>
      <c r="I55" s="627"/>
      <c r="J55" s="753"/>
      <c r="K55" s="612"/>
      <c r="L55" s="665"/>
      <c r="M55" s="665"/>
      <c r="N55" s="665"/>
      <c r="O55" s="665"/>
      <c r="P55" s="665"/>
      <c r="Q55" s="665"/>
      <c r="R55" s="665"/>
      <c r="S55" s="612"/>
      <c r="T55" s="753"/>
      <c r="U55" s="612"/>
      <c r="V55" s="797">
        <f>SUBTOTAL(9,V56:V57)</f>
        <v>0</v>
      </c>
      <c r="W55" s="798">
        <f>SUBTOTAL(9,W56:W57)</f>
        <v>0</v>
      </c>
    </row>
    <row r="56" spans="2:23" outlineLevel="2">
      <c r="B56" s="684" t="s">
        <v>130</v>
      </c>
      <c r="C56" s="684" t="s">
        <v>131</v>
      </c>
      <c r="D56" s="684" t="s">
        <v>27</v>
      </c>
      <c r="E56" s="684"/>
      <c r="F56" s="685" t="s">
        <v>77</v>
      </c>
      <c r="G56" s="686">
        <f>SUBTOTAL(9,G57)</f>
        <v>0.02</v>
      </c>
      <c r="H56" s="691">
        <f>SUBTOTAL(9,H57)</f>
        <v>1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SUBTOTAL(9,V57)</f>
        <v>0</v>
      </c>
      <c r="W56" s="691">
        <f>SUBTOTAL(9,W57)</f>
        <v>0</v>
      </c>
    </row>
    <row r="57" spans="2:23" outlineLevel="3">
      <c r="B57" s="376" t="s">
        <v>130</v>
      </c>
      <c r="C57" s="376" t="s">
        <v>131</v>
      </c>
      <c r="D57" s="376" t="s">
        <v>27</v>
      </c>
      <c r="E57" s="376" t="s">
        <v>28</v>
      </c>
      <c r="F57" s="608" t="s">
        <v>1334</v>
      </c>
      <c r="G57" s="609">
        <v>0.02</v>
      </c>
      <c r="H57" s="692">
        <v>1</v>
      </c>
      <c r="I57" s="626"/>
      <c r="J57" s="751"/>
      <c r="K57" s="416"/>
      <c r="L57" s="376" t="s">
        <v>28</v>
      </c>
      <c r="M57" s="376" t="s">
        <v>1208</v>
      </c>
      <c r="N57" s="376" t="s">
        <v>1351</v>
      </c>
      <c r="O57" s="376"/>
      <c r="P57" s="376" t="s">
        <v>1333</v>
      </c>
      <c r="Q57" s="376"/>
      <c r="R57" s="376">
        <v>0</v>
      </c>
      <c r="S57" s="416"/>
      <c r="T57" s="751"/>
      <c r="U57" s="416"/>
      <c r="V57" s="609">
        <f>IF(W57=1,G57,0)</f>
        <v>0</v>
      </c>
      <c r="W57" s="692"/>
    </row>
    <row r="58" spans="2:23" s="793" customFormat="1" outlineLevel="1">
      <c r="B58" s="666" t="s">
        <v>160</v>
      </c>
      <c r="C58" s="666" t="s">
        <v>22</v>
      </c>
      <c r="D58" s="666"/>
      <c r="E58" s="666"/>
      <c r="F58" s="681" t="s">
        <v>262</v>
      </c>
      <c r="G58" s="797">
        <f>SUBTOTAL(9,G59:G62)</f>
        <v>6.7122779915E-2</v>
      </c>
      <c r="H58" s="798">
        <f>SUBTOTAL(9,H59:H62)</f>
        <v>3</v>
      </c>
      <c r="I58" s="627"/>
      <c r="J58" s="753"/>
      <c r="K58" s="612"/>
      <c r="L58" s="666"/>
      <c r="M58" s="666"/>
      <c r="N58" s="666"/>
      <c r="O58" s="666"/>
      <c r="P58" s="666"/>
      <c r="Q58" s="666"/>
      <c r="R58" s="666"/>
      <c r="S58" s="612"/>
      <c r="T58" s="753"/>
      <c r="U58" s="612"/>
      <c r="V58" s="797">
        <f>SUBTOTAL(9,V59:V62)</f>
        <v>0</v>
      </c>
      <c r="W58" s="798">
        <f>SUBTOTAL(9,W59:W62)</f>
        <v>0</v>
      </c>
    </row>
    <row r="59" spans="2:23" ht="26.4" outlineLevel="2">
      <c r="B59" s="684" t="s">
        <v>160</v>
      </c>
      <c r="C59" s="684" t="s">
        <v>22</v>
      </c>
      <c r="D59" s="684" t="s">
        <v>27</v>
      </c>
      <c r="E59" s="684"/>
      <c r="F59" s="685" t="s">
        <v>1372</v>
      </c>
      <c r="G59" s="686">
        <f>SUBTOTAL(9,G60:G62)</f>
        <v>6.7122779915E-2</v>
      </c>
      <c r="H59" s="691">
        <f>SUBTOTAL(9,H60:H62)</f>
        <v>3</v>
      </c>
      <c r="I59" s="626"/>
      <c r="J59" s="751"/>
      <c r="K59" s="416"/>
      <c r="L59" s="684"/>
      <c r="M59" s="684"/>
      <c r="N59" s="684"/>
      <c r="O59" s="684"/>
      <c r="P59" s="684"/>
      <c r="Q59" s="684"/>
      <c r="R59" s="684"/>
      <c r="S59" s="416"/>
      <c r="T59" s="751"/>
      <c r="U59" s="416"/>
      <c r="V59" s="686">
        <f>SUBTOTAL(9,V60:V62)</f>
        <v>0</v>
      </c>
      <c r="W59" s="691">
        <f>SUBTOTAL(9,W60:W62)</f>
        <v>0</v>
      </c>
    </row>
    <row r="60" spans="2:23" outlineLevel="3">
      <c r="B60" s="376" t="s">
        <v>160</v>
      </c>
      <c r="C60" s="376" t="s">
        <v>22</v>
      </c>
      <c r="D60" s="376" t="s">
        <v>27</v>
      </c>
      <c r="E60" s="376" t="s">
        <v>28</v>
      </c>
      <c r="F60" s="608" t="s">
        <v>1365</v>
      </c>
      <c r="G60" s="609">
        <v>3.0822447240000002E-2</v>
      </c>
      <c r="H60" s="692">
        <v>1</v>
      </c>
      <c r="I60" s="626"/>
      <c r="J60" s="751"/>
      <c r="K60" s="416"/>
      <c r="L60" s="376" t="s">
        <v>28</v>
      </c>
      <c r="M60" s="376" t="s">
        <v>1208</v>
      </c>
      <c r="N60" s="376" t="s">
        <v>1373</v>
      </c>
      <c r="O60" s="376" t="s">
        <v>1374</v>
      </c>
      <c r="P60" s="376"/>
      <c r="Q60" s="376"/>
      <c r="R60" s="376"/>
      <c r="S60" s="416"/>
      <c r="T60" s="751"/>
      <c r="U60" s="416"/>
      <c r="V60" s="609">
        <f>IF(W60=1,G60,0)</f>
        <v>0</v>
      </c>
      <c r="W60" s="692"/>
    </row>
    <row r="61" spans="2:23" outlineLevel="3">
      <c r="B61" s="376" t="s">
        <v>160</v>
      </c>
      <c r="C61" s="376" t="s">
        <v>22</v>
      </c>
      <c r="D61" s="376" t="s">
        <v>27</v>
      </c>
      <c r="E61" s="376" t="s">
        <v>28</v>
      </c>
      <c r="F61" s="608" t="s">
        <v>1367</v>
      </c>
      <c r="G61" s="609">
        <v>0.02</v>
      </c>
      <c r="H61" s="692">
        <v>1</v>
      </c>
      <c r="I61" s="626"/>
      <c r="J61" s="751"/>
      <c r="K61" s="416"/>
      <c r="L61" s="376" t="s">
        <v>28</v>
      </c>
      <c r="M61" s="376" t="s">
        <v>1208</v>
      </c>
      <c r="N61" s="376" t="s">
        <v>1373</v>
      </c>
      <c r="O61" s="376" t="s">
        <v>1374</v>
      </c>
      <c r="P61" s="376"/>
      <c r="Q61" s="376"/>
      <c r="R61" s="376"/>
      <c r="S61" s="416"/>
      <c r="T61" s="751"/>
      <c r="U61" s="416"/>
      <c r="V61" s="609">
        <f>IF(W61=1,G61,0)</f>
        <v>0</v>
      </c>
      <c r="W61" s="692"/>
    </row>
    <row r="62" spans="2:23" outlineLevel="3">
      <c r="B62" s="376" t="s">
        <v>160</v>
      </c>
      <c r="C62" s="376" t="s">
        <v>22</v>
      </c>
      <c r="D62" s="376" t="s">
        <v>27</v>
      </c>
      <c r="E62" s="376" t="s">
        <v>28</v>
      </c>
      <c r="F62" s="608" t="s">
        <v>1368</v>
      </c>
      <c r="G62" s="609">
        <v>1.6300332674999998E-2</v>
      </c>
      <c r="H62" s="692">
        <v>1</v>
      </c>
      <c r="I62" s="626"/>
      <c r="J62" s="751"/>
      <c r="K62" s="416"/>
      <c r="L62" s="376" t="s">
        <v>28</v>
      </c>
      <c r="M62" s="376" t="s">
        <v>1208</v>
      </c>
      <c r="N62" s="376" t="s">
        <v>1373</v>
      </c>
      <c r="O62" s="376" t="s">
        <v>1374</v>
      </c>
      <c r="P62" s="376"/>
      <c r="Q62" s="376"/>
      <c r="R62" s="376"/>
      <c r="S62" s="416"/>
      <c r="T62" s="751"/>
      <c r="U62" s="416"/>
      <c r="V62" s="609">
        <f>IF(W62=1,G62,0)</f>
        <v>0</v>
      </c>
      <c r="W62" s="692"/>
    </row>
    <row r="63" spans="2:23" outlineLevel="1">
      <c r="B63" s="665" t="s">
        <v>167</v>
      </c>
      <c r="C63" s="665" t="s">
        <v>121</v>
      </c>
      <c r="D63" s="665"/>
      <c r="E63" s="665"/>
      <c r="F63" s="681" t="s">
        <v>262</v>
      </c>
      <c r="G63" s="797">
        <f>SUBTOTAL(9,G64:G65)</f>
        <v>0.04</v>
      </c>
      <c r="H63" s="798">
        <f>SUBTOTAL(9,H64:H65)</f>
        <v>1</v>
      </c>
      <c r="I63" s="626"/>
      <c r="J63" s="751"/>
      <c r="K63" s="416"/>
      <c r="L63" s="665"/>
      <c r="M63" s="665"/>
      <c r="N63" s="665"/>
      <c r="O63" s="665"/>
      <c r="P63" s="665"/>
      <c r="Q63" s="665"/>
      <c r="R63" s="665"/>
      <c r="S63" s="416"/>
      <c r="T63" s="751"/>
      <c r="U63" s="416"/>
      <c r="V63" s="797">
        <f>SUBTOTAL(9,V64:V65)</f>
        <v>0</v>
      </c>
      <c r="W63" s="798">
        <f>SUBTOTAL(9,W64:W65)</f>
        <v>0</v>
      </c>
    </row>
    <row r="64" spans="2:23" outlineLevel="2">
      <c r="B64" s="684" t="s">
        <v>167</v>
      </c>
      <c r="C64" s="684" t="s">
        <v>121</v>
      </c>
      <c r="D64" s="684" t="s">
        <v>27</v>
      </c>
      <c r="E64" s="684"/>
      <c r="F64" s="685" t="s">
        <v>77</v>
      </c>
      <c r="G64" s="686">
        <f>SUBTOTAL(9,G65)</f>
        <v>0.04</v>
      </c>
      <c r="H64" s="691">
        <f>SUBTOTAL(9,H65)</f>
        <v>1</v>
      </c>
      <c r="I64" s="626"/>
      <c r="J64" s="751"/>
      <c r="K64" s="416"/>
      <c r="L64" s="684"/>
      <c r="M64" s="684"/>
      <c r="N64" s="684"/>
      <c r="O64" s="684"/>
      <c r="P64" s="684"/>
      <c r="Q64" s="684"/>
      <c r="R64" s="684"/>
      <c r="S64" s="416"/>
      <c r="T64" s="751"/>
      <c r="U64" s="416"/>
      <c r="V64" s="686">
        <f>SUBTOTAL(9,V65)</f>
        <v>0</v>
      </c>
      <c r="W64" s="691">
        <f>SUBTOTAL(9,W65)</f>
        <v>0</v>
      </c>
    </row>
    <row r="65" spans="2:23" outlineLevel="3">
      <c r="B65" s="376" t="s">
        <v>167</v>
      </c>
      <c r="C65" s="376" t="s">
        <v>121</v>
      </c>
      <c r="D65" s="376" t="s">
        <v>27</v>
      </c>
      <c r="E65" s="376" t="s">
        <v>28</v>
      </c>
      <c r="F65" s="608" t="s">
        <v>1334</v>
      </c>
      <c r="G65" s="609">
        <v>0.04</v>
      </c>
      <c r="H65" s="692">
        <v>1</v>
      </c>
      <c r="I65" s="626"/>
      <c r="J65" s="751"/>
      <c r="K65" s="416"/>
      <c r="L65" s="376" t="s">
        <v>28</v>
      </c>
      <c r="M65" s="376" t="s">
        <v>1208</v>
      </c>
      <c r="N65" s="376" t="s">
        <v>1209</v>
      </c>
      <c r="O65" s="376" t="s">
        <v>1235</v>
      </c>
      <c r="P65" s="376"/>
      <c r="Q65" s="376"/>
      <c r="R65" s="376"/>
      <c r="S65" s="416"/>
      <c r="T65" s="751"/>
      <c r="U65" s="416"/>
      <c r="V65" s="609">
        <f>IF(W65=1,G65,0)</f>
        <v>0</v>
      </c>
      <c r="W65" s="692"/>
    </row>
    <row r="66" spans="2:23" outlineLevel="2">
      <c r="B66" s="684" t="s">
        <v>182</v>
      </c>
      <c r="C66" s="684" t="s">
        <v>182</v>
      </c>
      <c r="D66" s="684" t="s">
        <v>27</v>
      </c>
      <c r="E66" s="684"/>
      <c r="F66" s="685" t="s">
        <v>183</v>
      </c>
      <c r="G66" s="686">
        <f>SUBTOTAL(9,G67)</f>
        <v>3.6853334887931043E-2</v>
      </c>
      <c r="H66" s="691">
        <f>SUBTOTAL(9,H67)</f>
        <v>1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SUBTOTAL(9,V67)</f>
        <v>0</v>
      </c>
      <c r="W66" s="691">
        <f>SUBTOTAL(9,W67)</f>
        <v>0</v>
      </c>
    </row>
    <row r="67" spans="2:23" outlineLevel="3">
      <c r="B67" s="376" t="s">
        <v>182</v>
      </c>
      <c r="C67" s="376" t="s">
        <v>182</v>
      </c>
      <c r="D67" s="376" t="s">
        <v>27</v>
      </c>
      <c r="E67" s="376" t="s">
        <v>28</v>
      </c>
      <c r="F67" s="608" t="s">
        <v>220</v>
      </c>
      <c r="G67" s="609">
        <v>3.6853334887931043E-2</v>
      </c>
      <c r="H67" s="692">
        <v>1</v>
      </c>
      <c r="I67" s="626"/>
      <c r="J67" s="751"/>
      <c r="K67" s="416"/>
      <c r="L67" s="376" t="s">
        <v>28</v>
      </c>
      <c r="M67" s="376" t="s">
        <v>1208</v>
      </c>
      <c r="N67" s="376" t="s">
        <v>1400</v>
      </c>
      <c r="O67" s="376" t="s">
        <v>1401</v>
      </c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1">
      <c r="B68" s="665" t="s">
        <v>222</v>
      </c>
      <c r="C68" s="665" t="s">
        <v>222</v>
      </c>
      <c r="D68" s="665"/>
      <c r="E68" s="665"/>
      <c r="F68" s="681" t="s">
        <v>262</v>
      </c>
      <c r="G68" s="797">
        <f>SUBTOTAL(9,G69:G71)</f>
        <v>2.1397857699999998E-2</v>
      </c>
      <c r="H68" s="798">
        <f>SUBTOTAL(9,H69:H71)</f>
        <v>2</v>
      </c>
      <c r="I68" s="626"/>
      <c r="J68" s="751"/>
      <c r="K68" s="416"/>
      <c r="L68" s="665"/>
      <c r="M68" s="665"/>
      <c r="N68" s="665"/>
      <c r="O68" s="665"/>
      <c r="P68" s="665"/>
      <c r="Q68" s="665"/>
      <c r="R68" s="665"/>
      <c r="S68" s="416"/>
      <c r="T68" s="751"/>
      <c r="U68" s="416"/>
      <c r="V68" s="797">
        <f>SUBTOTAL(9,V69:V71)</f>
        <v>0</v>
      </c>
      <c r="W68" s="798">
        <f>SUBTOTAL(9,W69:W71)</f>
        <v>0</v>
      </c>
    </row>
    <row r="69" spans="2:23" outlineLevel="2">
      <c r="B69" s="684" t="s">
        <v>222</v>
      </c>
      <c r="C69" s="684" t="s">
        <v>222</v>
      </c>
      <c r="D69" s="684" t="s">
        <v>27</v>
      </c>
      <c r="E69" s="684"/>
      <c r="F69" s="685" t="s">
        <v>1413</v>
      </c>
      <c r="G69" s="686">
        <f>SUBTOTAL(9,G70:G71)</f>
        <v>2.1397857699999998E-2</v>
      </c>
      <c r="H69" s="691">
        <f>SUBTOTAL(9,H70:H71)</f>
        <v>2</v>
      </c>
      <c r="I69" s="626"/>
      <c r="J69" s="751"/>
      <c r="K69" s="416"/>
      <c r="L69" s="684"/>
      <c r="M69" s="684"/>
      <c r="N69" s="684"/>
      <c r="O69" s="684"/>
      <c r="P69" s="684"/>
      <c r="Q69" s="684"/>
      <c r="R69" s="684"/>
      <c r="S69" s="416"/>
      <c r="T69" s="751"/>
      <c r="U69" s="416"/>
      <c r="V69" s="686">
        <f>SUBTOTAL(9,V70:V71)</f>
        <v>0</v>
      </c>
      <c r="W69" s="691">
        <f>SUBTOTAL(9,W70:W71)</f>
        <v>0</v>
      </c>
    </row>
    <row r="70" spans="2:23" outlineLevel="3">
      <c r="B70" s="376" t="s">
        <v>222</v>
      </c>
      <c r="C70" s="376" t="s">
        <v>222</v>
      </c>
      <c r="D70" s="376" t="s">
        <v>27</v>
      </c>
      <c r="E70" s="376" t="s">
        <v>28</v>
      </c>
      <c r="F70" s="608" t="s">
        <v>1409</v>
      </c>
      <c r="G70" s="728">
        <v>2.0842521999999999E-2</v>
      </c>
      <c r="H70" s="692">
        <v>1</v>
      </c>
      <c r="I70" s="626"/>
      <c r="J70" s="751"/>
      <c r="K70" s="416"/>
      <c r="L70" s="376" t="s">
        <v>28</v>
      </c>
      <c r="M70" s="376" t="s">
        <v>1208</v>
      </c>
      <c r="N70" s="376" t="s">
        <v>1393</v>
      </c>
      <c r="O70" s="376" t="s">
        <v>1420</v>
      </c>
      <c r="P70" s="376"/>
      <c r="Q70" s="376"/>
      <c r="R70" s="376"/>
      <c r="S70" s="416"/>
      <c r="T70" s="751"/>
      <c r="U70" s="416"/>
      <c r="V70" s="609">
        <f>IF(W70=1,G70,0)</f>
        <v>0</v>
      </c>
      <c r="W70" s="692"/>
    </row>
    <row r="71" spans="2:23" outlineLevel="3">
      <c r="B71" s="376" t="s">
        <v>222</v>
      </c>
      <c r="C71" s="376" t="s">
        <v>222</v>
      </c>
      <c r="D71" s="376" t="s">
        <v>27</v>
      </c>
      <c r="E71" s="376" t="s">
        <v>28</v>
      </c>
      <c r="F71" s="608" t="s">
        <v>1411</v>
      </c>
      <c r="G71" s="728">
        <v>5.5533570000000003E-4</v>
      </c>
      <c r="H71" s="692">
        <v>1</v>
      </c>
      <c r="I71" s="626"/>
      <c r="J71" s="751"/>
      <c r="K71" s="416"/>
      <c r="L71" s="376" t="s">
        <v>28</v>
      </c>
      <c r="M71" s="376" t="s">
        <v>1208</v>
      </c>
      <c r="N71" s="376" t="s">
        <v>1393</v>
      </c>
      <c r="O71" s="376" t="s">
        <v>1420</v>
      </c>
      <c r="P71" s="376"/>
      <c r="Q71" s="376"/>
      <c r="R71" s="376"/>
      <c r="S71" s="416"/>
      <c r="T71" s="751"/>
      <c r="U71" s="416"/>
      <c r="V71" s="609">
        <f>IF(W71=1,G71,0)</f>
        <v>0</v>
      </c>
      <c r="W71" s="692"/>
    </row>
    <row r="72" spans="2:23" outlineLevel="1">
      <c r="B72" s="665" t="s">
        <v>233</v>
      </c>
      <c r="C72" s="665" t="s">
        <v>233</v>
      </c>
      <c r="D72" s="665"/>
      <c r="E72" s="665"/>
      <c r="F72" s="681" t="s">
        <v>262</v>
      </c>
      <c r="G72" s="797">
        <f>SUBTOTAL(9,G73:G76)</f>
        <v>3.3020265040000003E-2</v>
      </c>
      <c r="H72" s="798">
        <f>SUBTOTAL(9,H73:H76)</f>
        <v>2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SUBTOTAL(9,V73:V76)</f>
        <v>0</v>
      </c>
      <c r="W72" s="798">
        <f>SUBTOTAL(9,W73:W76)</f>
        <v>0</v>
      </c>
    </row>
    <row r="73" spans="2:23" outlineLevel="2">
      <c r="B73" s="684" t="s">
        <v>233</v>
      </c>
      <c r="C73" s="684" t="s">
        <v>233</v>
      </c>
      <c r="D73" s="684" t="s">
        <v>27</v>
      </c>
      <c r="E73" s="684"/>
      <c r="F73" s="685" t="s">
        <v>1421</v>
      </c>
      <c r="G73" s="686">
        <f>SUBTOTAL(9,G74)</f>
        <v>1.7955720160000004E-2</v>
      </c>
      <c r="H73" s="691">
        <f>SUBTOTAL(9,H74)</f>
        <v>1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SUBTOTAL(9,V74)</f>
        <v>0</v>
      </c>
      <c r="W73" s="691">
        <f>SUBTOTAL(9,W74)</f>
        <v>0</v>
      </c>
    </row>
    <row r="74" spans="2:23" outlineLevel="3">
      <c r="B74" s="376" t="s">
        <v>233</v>
      </c>
      <c r="C74" s="376" t="s">
        <v>233</v>
      </c>
      <c r="D74" s="376" t="s">
        <v>27</v>
      </c>
      <c r="E74" s="376" t="s">
        <v>28</v>
      </c>
      <c r="F74" s="608" t="s">
        <v>236</v>
      </c>
      <c r="G74" s="609">
        <v>1.7955720160000004E-2</v>
      </c>
      <c r="H74" s="692">
        <v>1</v>
      </c>
      <c r="I74" s="626"/>
      <c r="J74" s="751"/>
      <c r="K74" s="416"/>
      <c r="L74" s="376" t="s">
        <v>28</v>
      </c>
      <c r="M74" s="376" t="s">
        <v>1425</v>
      </c>
      <c r="N74" s="376"/>
      <c r="O74" s="376"/>
      <c r="P74" s="376"/>
      <c r="Q74" s="376"/>
      <c r="R74" s="376"/>
      <c r="S74" s="416"/>
      <c r="T74" s="751"/>
      <c r="U74" s="416"/>
      <c r="V74" s="609">
        <f>IF(W74=1,G74,0)</f>
        <v>0</v>
      </c>
      <c r="W74" s="692"/>
    </row>
    <row r="75" spans="2:23" outlineLevel="2">
      <c r="B75" s="684" t="s">
        <v>233</v>
      </c>
      <c r="C75" s="684" t="s">
        <v>233</v>
      </c>
      <c r="D75" s="684" t="s">
        <v>58</v>
      </c>
      <c r="E75" s="684"/>
      <c r="F75" s="685" t="s">
        <v>1421</v>
      </c>
      <c r="G75" s="686">
        <f>SUBTOTAL(9,G76)</f>
        <v>1.5064544879999999E-2</v>
      </c>
      <c r="H75" s="691">
        <f>SUBTOTAL(9,H76)</f>
        <v>1</v>
      </c>
      <c r="I75" s="626"/>
      <c r="J75" s="751"/>
      <c r="K75" s="416"/>
      <c r="L75" s="684"/>
      <c r="M75" s="684"/>
      <c r="N75" s="684"/>
      <c r="O75" s="684"/>
      <c r="P75" s="684"/>
      <c r="Q75" s="684"/>
      <c r="R75" s="684"/>
      <c r="S75" s="416"/>
      <c r="T75" s="751"/>
      <c r="U75" s="416"/>
      <c r="V75" s="686">
        <f>SUBTOTAL(9,V76)</f>
        <v>0</v>
      </c>
      <c r="W75" s="691">
        <f>SUBTOTAL(9,W76)</f>
        <v>0</v>
      </c>
    </row>
    <row r="76" spans="2:23" outlineLevel="3">
      <c r="B76" s="376" t="s">
        <v>233</v>
      </c>
      <c r="C76" s="376" t="s">
        <v>233</v>
      </c>
      <c r="D76" s="376" t="s">
        <v>58</v>
      </c>
      <c r="E76" s="376" t="s">
        <v>28</v>
      </c>
      <c r="F76" s="608" t="s">
        <v>236</v>
      </c>
      <c r="G76" s="609">
        <v>1.5064544879999999E-2</v>
      </c>
      <c r="H76" s="692">
        <v>1</v>
      </c>
      <c r="I76" s="626"/>
      <c r="J76" s="751"/>
      <c r="K76" s="416"/>
      <c r="L76" s="376" t="s">
        <v>28</v>
      </c>
      <c r="M76" s="376" t="s">
        <v>1425</v>
      </c>
      <c r="N76" s="376"/>
      <c r="O76" s="376"/>
      <c r="P76" s="376"/>
      <c r="Q76" s="376"/>
      <c r="R76" s="376"/>
      <c r="S76" s="416"/>
      <c r="T76" s="751"/>
      <c r="U76" s="416"/>
      <c r="V76" s="609">
        <f>IF(W76=1,G76,0)</f>
        <v>0</v>
      </c>
      <c r="W76" s="692"/>
    </row>
    <row r="77" spans="2:23" outlineLevel="1">
      <c r="B77" s="665" t="s">
        <v>245</v>
      </c>
      <c r="C77" s="665" t="s">
        <v>246</v>
      </c>
      <c r="D77" s="665"/>
      <c r="E77" s="665"/>
      <c r="F77" s="681" t="s">
        <v>262</v>
      </c>
      <c r="G77" s="797">
        <f>SUBTOTAL(9,G78:G84)</f>
        <v>4.1700000000000001E-2</v>
      </c>
      <c r="H77" s="798">
        <f>SUBTOTAL(9,H78:H84)</f>
        <v>5</v>
      </c>
      <c r="I77" s="626"/>
      <c r="J77" s="751"/>
      <c r="K77" s="416"/>
      <c r="L77" s="665"/>
      <c r="M77" s="665"/>
      <c r="N77" s="665"/>
      <c r="O77" s="665"/>
      <c r="P77" s="665"/>
      <c r="Q77" s="665"/>
      <c r="R77" s="665"/>
      <c r="S77" s="416"/>
      <c r="T77" s="751"/>
      <c r="U77" s="416"/>
      <c r="V77" s="797">
        <f>SUBTOTAL(9,V78:V84)</f>
        <v>0</v>
      </c>
      <c r="W77" s="798">
        <f>SUBTOTAL(9,W78:W84)</f>
        <v>0</v>
      </c>
    </row>
    <row r="78" spans="2:23" outlineLevel="2">
      <c r="B78" s="684" t="s">
        <v>245</v>
      </c>
      <c r="C78" s="684" t="s">
        <v>246</v>
      </c>
      <c r="D78" s="684" t="s">
        <v>27</v>
      </c>
      <c r="E78" s="684"/>
      <c r="F78" s="685" t="s">
        <v>1605</v>
      </c>
      <c r="G78" s="686">
        <f>SUBTOTAL(9,G79:G81)</f>
        <v>2.9700000000000001E-2</v>
      </c>
      <c r="H78" s="691">
        <f>SUBTOTAL(9,H79:H80)</f>
        <v>2</v>
      </c>
      <c r="I78" s="626"/>
      <c r="J78" s="751"/>
      <c r="K78" s="416"/>
      <c r="L78" s="684"/>
      <c r="M78" s="684"/>
      <c r="N78" s="684"/>
      <c r="O78" s="684"/>
      <c r="P78" s="684"/>
      <c r="Q78" s="684"/>
      <c r="R78" s="684"/>
      <c r="S78" s="416"/>
      <c r="T78" s="751"/>
      <c r="U78" s="416"/>
      <c r="V78" s="686">
        <f>SUBTOTAL(9,V79:V80)</f>
        <v>0</v>
      </c>
      <c r="W78" s="691">
        <f>SUBTOTAL(9,W79:W80)</f>
        <v>0</v>
      </c>
    </row>
    <row r="79" spans="2:23" outlineLevel="3">
      <c r="B79" s="376" t="s">
        <v>245</v>
      </c>
      <c r="C79" s="376" t="s">
        <v>246</v>
      </c>
      <c r="D79" s="376" t="s">
        <v>27</v>
      </c>
      <c r="E79" s="376" t="s">
        <v>28</v>
      </c>
      <c r="F79" s="608" t="s">
        <v>236</v>
      </c>
      <c r="G79" s="609">
        <v>5.4000000000000003E-3</v>
      </c>
      <c r="H79" s="692">
        <v>1</v>
      </c>
      <c r="I79" s="626"/>
      <c r="J79" s="751"/>
      <c r="K79" s="416"/>
      <c r="L79" s="376" t="s">
        <v>28</v>
      </c>
      <c r="M79" s="376" t="s">
        <v>1208</v>
      </c>
      <c r="N79" s="376" t="s">
        <v>1209</v>
      </c>
      <c r="O79" s="376" t="s">
        <v>1430</v>
      </c>
      <c r="P79" s="376"/>
      <c r="Q79" s="376"/>
      <c r="R79" s="376"/>
      <c r="S79" s="416"/>
      <c r="T79" s="751"/>
      <c r="U79" s="416"/>
      <c r="V79" s="609">
        <f>IF(W79=1,G79,0)</f>
        <v>0</v>
      </c>
      <c r="W79" s="692"/>
    </row>
    <row r="80" spans="2:23" outlineLevel="3">
      <c r="B80" s="376" t="s">
        <v>245</v>
      </c>
      <c r="C80" s="376" t="s">
        <v>246</v>
      </c>
      <c r="D80" s="376" t="s">
        <v>27</v>
      </c>
      <c r="E80" s="376" t="s">
        <v>28</v>
      </c>
      <c r="F80" s="608" t="s">
        <v>237</v>
      </c>
      <c r="G80" s="609">
        <v>5.4000000000000003E-3</v>
      </c>
      <c r="H80" s="692">
        <v>1</v>
      </c>
      <c r="I80" s="626"/>
      <c r="J80" s="751"/>
      <c r="K80" s="416"/>
      <c r="L80" s="376" t="s">
        <v>28</v>
      </c>
      <c r="M80" s="376" t="s">
        <v>1208</v>
      </c>
      <c r="N80" s="376" t="s">
        <v>1209</v>
      </c>
      <c r="O80" s="376" t="s">
        <v>1430</v>
      </c>
      <c r="P80" s="376"/>
      <c r="Q80" s="376"/>
      <c r="R80" s="376"/>
      <c r="S80" s="416"/>
      <c r="T80" s="751"/>
      <c r="U80" s="416"/>
      <c r="V80" s="609">
        <f>IF(W80=1,G80,0)</f>
        <v>0</v>
      </c>
      <c r="W80" s="692"/>
    </row>
    <row r="81" spans="2:23" outlineLevel="3">
      <c r="B81" s="376" t="s">
        <v>245</v>
      </c>
      <c r="C81" s="376" t="s">
        <v>246</v>
      </c>
      <c r="D81" s="376" t="s">
        <v>27</v>
      </c>
      <c r="E81" s="376" t="s">
        <v>28</v>
      </c>
      <c r="F81" s="608" t="s">
        <v>238</v>
      </c>
      <c r="G81" s="609">
        <v>1.89E-2</v>
      </c>
      <c r="H81" s="692">
        <v>1</v>
      </c>
      <c r="I81" s="626"/>
      <c r="J81" s="751"/>
      <c r="K81" s="416"/>
      <c r="L81" s="376" t="s">
        <v>28</v>
      </c>
      <c r="M81" s="376" t="s">
        <v>1208</v>
      </c>
      <c r="N81" s="376" t="s">
        <v>1209</v>
      </c>
      <c r="O81" s="376" t="s">
        <v>1430</v>
      </c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2">
      <c r="B82" s="684" t="s">
        <v>245</v>
      </c>
      <c r="C82" s="684" t="s">
        <v>246</v>
      </c>
      <c r="D82" s="684" t="s">
        <v>58</v>
      </c>
      <c r="E82" s="684"/>
      <c r="F82" s="685" t="s">
        <v>1604</v>
      </c>
      <c r="G82" s="686">
        <f>SUBTOTAL(9,G83:G84)</f>
        <v>1.2E-2</v>
      </c>
      <c r="H82" s="691">
        <f>SUBTOTAL(9,H83:H84)</f>
        <v>2</v>
      </c>
      <c r="I82" s="626"/>
      <c r="J82" s="751"/>
      <c r="K82" s="416"/>
      <c r="L82" s="684"/>
      <c r="M82" s="684"/>
      <c r="N82" s="684"/>
      <c r="O82" s="684"/>
      <c r="P82" s="684"/>
      <c r="Q82" s="684"/>
      <c r="R82" s="684"/>
      <c r="S82" s="416"/>
      <c r="T82" s="751"/>
      <c r="U82" s="416"/>
      <c r="V82" s="686">
        <f>SUBTOTAL(9,V83:V84)</f>
        <v>0</v>
      </c>
      <c r="W82" s="691">
        <f>SUBTOTAL(9,W83:W84)</f>
        <v>0</v>
      </c>
    </row>
    <row r="83" spans="2:23" outlineLevel="3">
      <c r="B83" s="376" t="s">
        <v>245</v>
      </c>
      <c r="C83" s="376" t="s">
        <v>246</v>
      </c>
      <c r="D83" s="376" t="s">
        <v>58</v>
      </c>
      <c r="E83" s="376" t="s">
        <v>28</v>
      </c>
      <c r="F83" s="608" t="s">
        <v>236</v>
      </c>
      <c r="G83" s="609">
        <v>6.0000000000000001E-3</v>
      </c>
      <c r="H83" s="692">
        <v>1</v>
      </c>
      <c r="I83" s="626"/>
      <c r="J83" s="751"/>
      <c r="K83" s="416"/>
      <c r="L83" s="376" t="s">
        <v>28</v>
      </c>
      <c r="M83" s="376" t="s">
        <v>1236</v>
      </c>
      <c r="N83" s="376" t="s">
        <v>1431</v>
      </c>
      <c r="O83" s="376"/>
      <c r="P83" s="376"/>
      <c r="Q83" s="376"/>
      <c r="R83" s="376"/>
      <c r="S83" s="416"/>
      <c r="T83" s="751"/>
      <c r="U83" s="416"/>
      <c r="V83" s="609">
        <f>IF(W83=1,G83,0)</f>
        <v>0</v>
      </c>
      <c r="W83" s="692"/>
    </row>
    <row r="84" spans="2:23" outlineLevel="3">
      <c r="B84" s="376" t="s">
        <v>245</v>
      </c>
      <c r="C84" s="376" t="s">
        <v>246</v>
      </c>
      <c r="D84" s="376" t="s">
        <v>58</v>
      </c>
      <c r="E84" s="376" t="s">
        <v>28</v>
      </c>
      <c r="F84" s="608" t="s">
        <v>237</v>
      </c>
      <c r="G84" s="609">
        <v>6.0000000000000001E-3</v>
      </c>
      <c r="H84" s="692">
        <v>1</v>
      </c>
      <c r="I84" s="626"/>
      <c r="J84" s="751"/>
      <c r="K84" s="416"/>
      <c r="L84" s="376" t="s">
        <v>28</v>
      </c>
      <c r="M84" s="376" t="s">
        <v>1236</v>
      </c>
      <c r="N84" s="376" t="s">
        <v>1431</v>
      </c>
      <c r="O84" s="376"/>
      <c r="P84" s="376"/>
      <c r="Q84" s="376"/>
      <c r="R84" s="376"/>
      <c r="S84" s="416"/>
      <c r="T84" s="751"/>
      <c r="U84" s="416"/>
      <c r="V84" s="609">
        <f>IF(W84=1,G84,0)</f>
        <v>0</v>
      </c>
      <c r="W84" s="692"/>
    </row>
    <row r="85" spans="2:23" outlineLevel="1">
      <c r="B85" s="665" t="s">
        <v>248</v>
      </c>
      <c r="C85" s="665" t="s">
        <v>249</v>
      </c>
      <c r="D85" s="665"/>
      <c r="E85" s="665"/>
      <c r="F85" s="681" t="s">
        <v>262</v>
      </c>
      <c r="G85" s="797">
        <f>SUBTOTAL(9,G86:G93)</f>
        <v>0.19498500000000002</v>
      </c>
      <c r="H85" s="798">
        <f>SUBTOTAL(9,H86:H93)</f>
        <v>6</v>
      </c>
      <c r="I85" s="626"/>
      <c r="J85" s="751"/>
      <c r="K85" s="416"/>
      <c r="L85" s="665"/>
      <c r="M85" s="665"/>
      <c r="N85" s="665"/>
      <c r="O85" s="665"/>
      <c r="P85" s="665"/>
      <c r="Q85" s="665"/>
      <c r="R85" s="665"/>
      <c r="S85" s="416"/>
      <c r="T85" s="751"/>
      <c r="U85" s="416"/>
      <c r="V85" s="797">
        <f>SUBTOTAL(9,V86:V93)</f>
        <v>0</v>
      </c>
      <c r="W85" s="798">
        <f>SUBTOTAL(9,W86:W93)</f>
        <v>0</v>
      </c>
    </row>
    <row r="86" spans="2:23" outlineLevel="2">
      <c r="B86" s="684" t="s">
        <v>248</v>
      </c>
      <c r="C86" s="684" t="s">
        <v>249</v>
      </c>
      <c r="D86" s="684" t="s">
        <v>27</v>
      </c>
      <c r="E86" s="684"/>
      <c r="F86" s="685" t="s">
        <v>77</v>
      </c>
      <c r="G86" s="686">
        <f>SUBTOTAL(9,G87:G90)</f>
        <v>0.1253475</v>
      </c>
      <c r="H86" s="691">
        <f>SUBTOTAL(9,H87:H90)</f>
        <v>4</v>
      </c>
      <c r="I86" s="626"/>
      <c r="J86" s="751"/>
      <c r="K86" s="416"/>
      <c r="L86" s="684"/>
      <c r="M86" s="684"/>
      <c r="N86" s="684"/>
      <c r="O86" s="684"/>
      <c r="P86" s="684"/>
      <c r="Q86" s="684"/>
      <c r="R86" s="684"/>
      <c r="S86" s="416"/>
      <c r="T86" s="751"/>
      <c r="U86" s="416"/>
      <c r="V86" s="686">
        <f>SUBTOTAL(9,V87:V90)</f>
        <v>0</v>
      </c>
      <c r="W86" s="691">
        <f>SUBTOTAL(9,W87:W90)</f>
        <v>0</v>
      </c>
    </row>
    <row r="87" spans="2:23" outlineLevel="3">
      <c r="B87" s="376" t="s">
        <v>248</v>
      </c>
      <c r="C87" s="376" t="s">
        <v>249</v>
      </c>
      <c r="D87" s="376" t="s">
        <v>27</v>
      </c>
      <c r="E87" s="376" t="s">
        <v>28</v>
      </c>
      <c r="F87" s="608" t="s">
        <v>237</v>
      </c>
      <c r="G87" s="609">
        <v>1.6713000000000002E-2</v>
      </c>
      <c r="H87" s="692">
        <v>1</v>
      </c>
      <c r="I87" s="626"/>
      <c r="J87" s="751"/>
      <c r="K87" s="416"/>
      <c r="L87" s="376" t="s">
        <v>28</v>
      </c>
      <c r="M87" s="376" t="s">
        <v>1208</v>
      </c>
      <c r="N87" s="376" t="s">
        <v>1393</v>
      </c>
      <c r="O87" s="376" t="s">
        <v>1432</v>
      </c>
      <c r="P87" s="376"/>
      <c r="Q87" s="376"/>
      <c r="R87" s="376"/>
      <c r="S87" s="416"/>
      <c r="T87" s="751"/>
      <c r="U87" s="416"/>
      <c r="V87" s="609">
        <f>IF(W87=1,G87,0)</f>
        <v>0</v>
      </c>
      <c r="W87" s="692"/>
    </row>
    <row r="88" spans="2:23" outlineLevel="3">
      <c r="B88" s="376" t="s">
        <v>248</v>
      </c>
      <c r="C88" s="376" t="s">
        <v>249</v>
      </c>
      <c r="D88" s="376" t="s">
        <v>27</v>
      </c>
      <c r="E88" s="376" t="s">
        <v>28</v>
      </c>
      <c r="F88" s="608" t="s">
        <v>238</v>
      </c>
      <c r="G88" s="609">
        <v>5.8495499999999999E-2</v>
      </c>
      <c r="H88" s="692">
        <v>1</v>
      </c>
      <c r="I88" s="626"/>
      <c r="J88" s="751"/>
      <c r="K88" s="416"/>
      <c r="L88" s="376" t="s">
        <v>28</v>
      </c>
      <c r="M88" s="376" t="s">
        <v>1208</v>
      </c>
      <c r="N88" s="376" t="s">
        <v>1393</v>
      </c>
      <c r="O88" s="376" t="s">
        <v>1432</v>
      </c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248</v>
      </c>
      <c r="C89" s="376" t="s">
        <v>249</v>
      </c>
      <c r="D89" s="376" t="s">
        <v>27</v>
      </c>
      <c r="E89" s="376" t="s">
        <v>28</v>
      </c>
      <c r="F89" s="608" t="s">
        <v>242</v>
      </c>
      <c r="G89" s="609">
        <v>2.5069499999999998E-2</v>
      </c>
      <c r="H89" s="692">
        <v>1</v>
      </c>
      <c r="I89" s="626"/>
      <c r="J89" s="751"/>
      <c r="K89" s="416"/>
      <c r="L89" s="376" t="s">
        <v>28</v>
      </c>
      <c r="M89" s="376" t="s">
        <v>1208</v>
      </c>
      <c r="N89" s="376" t="s">
        <v>1393</v>
      </c>
      <c r="O89" s="376" t="s">
        <v>1432</v>
      </c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248</v>
      </c>
      <c r="C90" s="376" t="s">
        <v>249</v>
      </c>
      <c r="D90" s="376" t="s">
        <v>27</v>
      </c>
      <c r="E90" s="376" t="s">
        <v>28</v>
      </c>
      <c r="F90" s="608" t="s">
        <v>239</v>
      </c>
      <c r="G90" s="609">
        <v>2.5069499999999998E-2</v>
      </c>
      <c r="H90" s="692">
        <v>1</v>
      </c>
      <c r="I90" s="626"/>
      <c r="J90" s="751"/>
      <c r="K90" s="416"/>
      <c r="L90" s="376" t="s">
        <v>28</v>
      </c>
      <c r="M90" s="376" t="s">
        <v>1208</v>
      </c>
      <c r="N90" s="376" t="s">
        <v>1393</v>
      </c>
      <c r="O90" s="376" t="s">
        <v>1432</v>
      </c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 outlineLevel="2">
      <c r="B91" s="684" t="s">
        <v>248</v>
      </c>
      <c r="C91" s="684" t="s">
        <v>249</v>
      </c>
      <c r="D91" s="684" t="s">
        <v>58</v>
      </c>
      <c r="E91" s="684"/>
      <c r="F91" s="685" t="s">
        <v>77</v>
      </c>
      <c r="G91" s="686">
        <f>SUBTOTAL(9,G92:G93)</f>
        <v>6.9637500000000005E-2</v>
      </c>
      <c r="H91" s="691">
        <f>SUBTOTAL(9,H92:H93)</f>
        <v>2</v>
      </c>
      <c r="I91" s="626"/>
      <c r="J91" s="751"/>
      <c r="K91" s="416"/>
      <c r="L91" s="684"/>
      <c r="M91" s="684"/>
      <c r="N91" s="684"/>
      <c r="O91" s="684"/>
      <c r="P91" s="684"/>
      <c r="Q91" s="684"/>
      <c r="R91" s="684"/>
      <c r="S91" s="416"/>
      <c r="T91" s="751"/>
      <c r="U91" s="416"/>
      <c r="V91" s="686">
        <f>SUBTOTAL(9,V92:V93)</f>
        <v>0</v>
      </c>
      <c r="W91" s="691">
        <f>SUBTOTAL(9,W92:W93)</f>
        <v>0</v>
      </c>
    </row>
    <row r="92" spans="2:23" outlineLevel="3">
      <c r="B92" s="376" t="s">
        <v>248</v>
      </c>
      <c r="C92" s="376" t="s">
        <v>249</v>
      </c>
      <c r="D92" s="376" t="s">
        <v>58</v>
      </c>
      <c r="E92" s="376" t="s">
        <v>28</v>
      </c>
      <c r="F92" s="608" t="s">
        <v>237</v>
      </c>
      <c r="G92" s="609">
        <v>1.857E-2</v>
      </c>
      <c r="H92" s="692">
        <v>1</v>
      </c>
      <c r="I92" s="626"/>
      <c r="J92" s="751"/>
      <c r="K92" s="416"/>
      <c r="L92" s="376" t="s">
        <v>28</v>
      </c>
      <c r="M92" s="376" t="s">
        <v>1236</v>
      </c>
      <c r="N92" s="376" t="s">
        <v>1431</v>
      </c>
      <c r="O92" s="376" t="s">
        <v>1433</v>
      </c>
      <c r="P92" s="376"/>
      <c r="Q92" s="376"/>
      <c r="R92" s="376"/>
      <c r="S92" s="416"/>
      <c r="T92" s="751"/>
      <c r="U92" s="416"/>
      <c r="V92" s="609">
        <f>IF(W92=1,G92,0)</f>
        <v>0</v>
      </c>
      <c r="W92" s="692"/>
    </row>
    <row r="93" spans="2:23" outlineLevel="3">
      <c r="B93" s="376" t="s">
        <v>248</v>
      </c>
      <c r="C93" s="376" t="s">
        <v>249</v>
      </c>
      <c r="D93" s="376" t="s">
        <v>58</v>
      </c>
      <c r="E93" s="376" t="s">
        <v>28</v>
      </c>
      <c r="F93" s="608" t="s">
        <v>242</v>
      </c>
      <c r="G93" s="609">
        <v>5.1067500000000002E-2</v>
      </c>
      <c r="H93" s="692">
        <v>1</v>
      </c>
      <c r="I93" s="626"/>
      <c r="J93" s="751"/>
      <c r="K93" s="416"/>
      <c r="L93" s="376" t="s">
        <v>28</v>
      </c>
      <c r="M93" s="376" t="s">
        <v>1236</v>
      </c>
      <c r="N93" s="376" t="s">
        <v>1431</v>
      </c>
      <c r="O93" s="376" t="s">
        <v>1433</v>
      </c>
      <c r="P93" s="376"/>
      <c r="Q93" s="376"/>
      <c r="R93" s="376"/>
      <c r="S93" s="416"/>
      <c r="T93" s="751"/>
      <c r="U93" s="416"/>
      <c r="V93" s="609">
        <f>IF(W93=1,G93,0)</f>
        <v>0</v>
      </c>
      <c r="W93" s="692"/>
    </row>
    <row r="94" spans="2:23" outlineLevel="1">
      <c r="B94" s="665" t="s">
        <v>251</v>
      </c>
      <c r="C94" s="665" t="s">
        <v>252</v>
      </c>
      <c r="D94" s="665"/>
      <c r="E94" s="665"/>
      <c r="F94" s="681" t="s">
        <v>262</v>
      </c>
      <c r="G94" s="797">
        <f>SUBTOTAL(9,G95:G96)</f>
        <v>1.13E-4</v>
      </c>
      <c r="H94" s="798">
        <f>SUBTOTAL(9,H95:H96)</f>
        <v>1</v>
      </c>
      <c r="I94" s="626"/>
      <c r="J94" s="751"/>
      <c r="K94" s="416"/>
      <c r="L94" s="665"/>
      <c r="M94" s="665"/>
      <c r="N94" s="665"/>
      <c r="O94" s="665"/>
      <c r="P94" s="665"/>
      <c r="Q94" s="665"/>
      <c r="R94" s="665"/>
      <c r="S94" s="416"/>
      <c r="T94" s="751"/>
      <c r="U94" s="416"/>
      <c r="V94" s="797">
        <f>SUBTOTAL(9,V95:V96)</f>
        <v>0</v>
      </c>
      <c r="W94" s="798">
        <f>SUBTOTAL(9,W95:W96)</f>
        <v>0</v>
      </c>
    </row>
    <row r="95" spans="2:23" outlineLevel="2">
      <c r="B95" s="684" t="s">
        <v>251</v>
      </c>
      <c r="C95" s="684" t="s">
        <v>252</v>
      </c>
      <c r="D95" s="684" t="s">
        <v>58</v>
      </c>
      <c r="E95" s="684"/>
      <c r="F95" s="685" t="s">
        <v>1434</v>
      </c>
      <c r="G95" s="686">
        <f>SUBTOTAL(9,G96)</f>
        <v>1.13E-4</v>
      </c>
      <c r="H95" s="691">
        <f>SUBTOTAL(9,H96)</f>
        <v>1</v>
      </c>
      <c r="I95" s="626"/>
      <c r="J95" s="751"/>
      <c r="K95" s="416"/>
      <c r="L95" s="684"/>
      <c r="M95" s="684"/>
      <c r="N95" s="684"/>
      <c r="O95" s="684"/>
      <c r="P95" s="684"/>
      <c r="Q95" s="684"/>
      <c r="R95" s="684"/>
      <c r="S95" s="416"/>
      <c r="T95" s="751"/>
      <c r="U95" s="416"/>
      <c r="V95" s="686">
        <f>SUBTOTAL(9,V96)</f>
        <v>0</v>
      </c>
      <c r="W95" s="691">
        <f>SUBTOTAL(9,W96)</f>
        <v>0</v>
      </c>
    </row>
    <row r="96" spans="2:23" outlineLevel="3">
      <c r="B96" s="376" t="s">
        <v>251</v>
      </c>
      <c r="C96" s="376" t="s">
        <v>252</v>
      </c>
      <c r="D96" s="376" t="s">
        <v>58</v>
      </c>
      <c r="E96" s="376" t="s">
        <v>28</v>
      </c>
      <c r="F96" s="608" t="s">
        <v>257</v>
      </c>
      <c r="G96" s="609">
        <v>1.13E-4</v>
      </c>
      <c r="H96" s="692">
        <v>1</v>
      </c>
      <c r="I96" s="626"/>
      <c r="J96" s="751"/>
      <c r="K96" s="416"/>
      <c r="L96" s="376" t="s">
        <v>28</v>
      </c>
      <c r="M96" s="376" t="s">
        <v>1236</v>
      </c>
      <c r="N96" s="376" t="s">
        <v>1433</v>
      </c>
      <c r="O96" s="376"/>
      <c r="P96" s="376"/>
      <c r="Q96" s="376"/>
      <c r="R96" s="376"/>
      <c r="S96" s="416"/>
      <c r="T96" s="751"/>
      <c r="U96" s="416"/>
      <c r="V96" s="609">
        <f>IF(W96=1,G96,0)</f>
        <v>0</v>
      </c>
      <c r="W96" s="692"/>
    </row>
    <row r="97" spans="1:23" outlineLevel="1">
      <c r="A97" s="376"/>
      <c r="B97" s="665" t="s">
        <v>258</v>
      </c>
      <c r="C97" s="665" t="s">
        <v>259</v>
      </c>
      <c r="D97" s="665"/>
      <c r="E97" s="665"/>
      <c r="F97" s="681" t="s">
        <v>262</v>
      </c>
      <c r="G97" s="797">
        <f>SUBTOTAL(9,G98:G101)</f>
        <v>4.1481945120000002E-2</v>
      </c>
      <c r="H97" s="798">
        <f>SUBTOTAL(9,H98:H101)</f>
        <v>2</v>
      </c>
      <c r="I97" s="626"/>
      <c r="J97" s="751"/>
      <c r="K97" s="416"/>
      <c r="L97" s="665"/>
      <c r="M97" s="665"/>
      <c r="N97" s="665"/>
      <c r="O97" s="665"/>
      <c r="P97" s="665"/>
      <c r="Q97" s="665"/>
      <c r="R97" s="665"/>
      <c r="S97" s="416"/>
      <c r="T97" s="751"/>
      <c r="U97" s="416"/>
      <c r="V97" s="797">
        <f>SUBTOTAL(9,V98:V101)</f>
        <v>0</v>
      </c>
      <c r="W97" s="798">
        <f>SUBTOTAL(9,W98:W101)</f>
        <v>0</v>
      </c>
    </row>
    <row r="98" spans="1:23" outlineLevel="2">
      <c r="A98" s="376"/>
      <c r="B98" s="684" t="s">
        <v>258</v>
      </c>
      <c r="C98" s="684" t="s">
        <v>259</v>
      </c>
      <c r="D98" s="684" t="s">
        <v>27</v>
      </c>
      <c r="E98" s="684"/>
      <c r="F98" s="685" t="s">
        <v>1436</v>
      </c>
      <c r="G98" s="686">
        <f>SUBTOTAL(9,G99)</f>
        <v>2.2626515519999998E-2</v>
      </c>
      <c r="H98" s="691">
        <f>SUBTOTAL(9,H99)</f>
        <v>1</v>
      </c>
      <c r="I98" s="626"/>
      <c r="J98" s="751"/>
      <c r="K98" s="416"/>
      <c r="L98" s="684"/>
      <c r="M98" s="684"/>
      <c r="N98" s="684"/>
      <c r="O98" s="684"/>
      <c r="P98" s="684"/>
      <c r="Q98" s="684"/>
      <c r="R98" s="684"/>
      <c r="S98" s="416"/>
      <c r="T98" s="751"/>
      <c r="U98" s="416"/>
      <c r="V98" s="686">
        <f>SUBTOTAL(9,V99)</f>
        <v>0</v>
      </c>
      <c r="W98" s="691">
        <f>SUBTOTAL(9,W99)</f>
        <v>0</v>
      </c>
    </row>
    <row r="99" spans="1:23" outlineLevel="3">
      <c r="A99" s="376"/>
      <c r="B99" s="376" t="s">
        <v>258</v>
      </c>
      <c r="C99" s="376" t="s">
        <v>259</v>
      </c>
      <c r="D99" s="376" t="s">
        <v>27</v>
      </c>
      <c r="E99" s="376" t="s">
        <v>28</v>
      </c>
      <c r="F99" s="608" t="s">
        <v>236</v>
      </c>
      <c r="G99" s="609">
        <v>2.2626515519999998E-2</v>
      </c>
      <c r="H99" s="692">
        <v>1</v>
      </c>
      <c r="I99" s="626"/>
      <c r="J99" s="751"/>
      <c r="K99" s="416"/>
      <c r="L99" s="376" t="s">
        <v>28</v>
      </c>
      <c r="M99" s="376" t="s">
        <v>1425</v>
      </c>
      <c r="N99" s="376"/>
      <c r="O99" s="376"/>
      <c r="P99" s="376"/>
      <c r="Q99" s="376"/>
      <c r="R99" s="376"/>
      <c r="S99" s="416"/>
      <c r="T99" s="751"/>
      <c r="U99" s="416"/>
      <c r="V99" s="609">
        <f>IF(W99=1,G99,0)</f>
        <v>0</v>
      </c>
      <c r="W99" s="692"/>
    </row>
    <row r="100" spans="1:23" outlineLevel="2">
      <c r="A100" s="376"/>
      <c r="B100" s="684" t="s">
        <v>258</v>
      </c>
      <c r="C100" s="684" t="s">
        <v>259</v>
      </c>
      <c r="D100" s="684" t="s">
        <v>58</v>
      </c>
      <c r="E100" s="684"/>
      <c r="F100" s="685" t="s">
        <v>1436</v>
      </c>
      <c r="G100" s="686">
        <f>SUBTOTAL(9,G101)</f>
        <v>1.8855429600000001E-2</v>
      </c>
      <c r="H100" s="691">
        <f>SUBTOTAL(9,H101)</f>
        <v>1</v>
      </c>
      <c r="I100" s="626"/>
      <c r="J100" s="751"/>
      <c r="K100" s="416"/>
      <c r="L100" s="684"/>
      <c r="M100" s="684"/>
      <c r="N100" s="684"/>
      <c r="O100" s="684"/>
      <c r="P100" s="684"/>
      <c r="Q100" s="684"/>
      <c r="R100" s="684"/>
      <c r="S100" s="416"/>
      <c r="T100" s="751"/>
      <c r="U100" s="416"/>
      <c r="V100" s="686">
        <f>SUBTOTAL(9,V101)</f>
        <v>0</v>
      </c>
      <c r="W100" s="691">
        <f>SUBTOTAL(9,W101)</f>
        <v>0</v>
      </c>
    </row>
    <row r="101" spans="1:23" outlineLevel="3">
      <c r="A101" s="376"/>
      <c r="B101" s="376" t="s">
        <v>258</v>
      </c>
      <c r="C101" s="376" t="s">
        <v>259</v>
      </c>
      <c r="D101" s="376" t="s">
        <v>58</v>
      </c>
      <c r="E101" s="376" t="s">
        <v>28</v>
      </c>
      <c r="F101" s="608" t="s">
        <v>236</v>
      </c>
      <c r="G101" s="609">
        <v>1.8855429600000001E-2</v>
      </c>
      <c r="H101" s="692">
        <v>1</v>
      </c>
      <c r="I101" s="626"/>
      <c r="J101" s="751"/>
      <c r="K101" s="416"/>
      <c r="L101" s="376" t="s">
        <v>28</v>
      </c>
      <c r="M101" s="376" t="s">
        <v>1425</v>
      </c>
      <c r="N101" s="376"/>
      <c r="O101" s="376"/>
      <c r="P101" s="376"/>
      <c r="Q101" s="376"/>
      <c r="R101" s="376"/>
      <c r="S101" s="416"/>
      <c r="T101" s="751"/>
      <c r="U101" s="416"/>
      <c r="V101" s="609">
        <f>IF(W101=1,G101,0)</f>
        <v>0</v>
      </c>
      <c r="W101" s="692"/>
    </row>
    <row r="102" spans="1:23" ht="3" customHeight="1" outlineLevel="1">
      <c r="A102" s="376"/>
      <c r="B102" s="392"/>
      <c r="C102" s="376"/>
      <c r="D102" s="392"/>
      <c r="E102" s="392"/>
      <c r="F102" s="608"/>
      <c r="G102" s="609"/>
      <c r="H102" s="692"/>
      <c r="I102" s="626"/>
      <c r="J102" s="751"/>
      <c r="K102" s="416"/>
      <c r="L102" s="392"/>
      <c r="M102" s="392"/>
      <c r="N102" s="392"/>
      <c r="O102" s="392"/>
      <c r="P102" s="392"/>
      <c r="Q102" s="392"/>
      <c r="R102" s="392"/>
      <c r="S102" s="416"/>
      <c r="T102" s="751"/>
      <c r="U102" s="416"/>
      <c r="V102" s="609"/>
      <c r="W102" s="692"/>
    </row>
    <row r="103" spans="1:23" ht="15">
      <c r="A103" s="376"/>
      <c r="B103" s="430" t="s">
        <v>280</v>
      </c>
      <c r="C103" s="430"/>
      <c r="D103" s="430"/>
      <c r="E103" s="430"/>
      <c r="F103" s="697"/>
      <c r="G103" s="738">
        <f>SUBTOTAL(9,G114:G262)</f>
        <v>21.398604354045709</v>
      </c>
      <c r="H103" s="739">
        <f>SUBTOTAL(9,H114:H262)</f>
        <v>97</v>
      </c>
      <c r="I103" s="626"/>
      <c r="J103" s="751"/>
      <c r="K103" s="416"/>
      <c r="L103" s="430"/>
      <c r="M103" s="430"/>
      <c r="N103" s="430"/>
      <c r="O103" s="430"/>
      <c r="P103" s="430"/>
      <c r="Q103" s="430"/>
      <c r="R103" s="430"/>
      <c r="S103" s="416"/>
      <c r="T103" s="751"/>
      <c r="U103" s="416"/>
      <c r="V103" s="738">
        <f>SUBTOTAL(9,V114:V262)</f>
        <v>0</v>
      </c>
      <c r="W103" s="739">
        <f>SUBTOTAL(9,W114:W262)</f>
        <v>0</v>
      </c>
    </row>
    <row r="104" spans="1:23" ht="3" customHeight="1" outlineLevel="1">
      <c r="A104" s="376"/>
      <c r="B104" s="376"/>
      <c r="C104" s="376"/>
      <c r="D104" s="376"/>
      <c r="E104" s="376"/>
      <c r="F104" s="608"/>
      <c r="G104" s="609"/>
      <c r="H104" s="692"/>
      <c r="I104" s="626"/>
      <c r="J104" s="751"/>
      <c r="K104" s="416"/>
      <c r="L104" s="376"/>
      <c r="M104" s="376"/>
      <c r="N104" s="376"/>
      <c r="O104" s="376"/>
      <c r="P104" s="376"/>
      <c r="Q104" s="376"/>
      <c r="R104" s="376"/>
      <c r="S104" s="416"/>
      <c r="T104" s="751"/>
      <c r="U104" s="416"/>
      <c r="V104" s="609"/>
      <c r="W104" s="692"/>
    </row>
    <row r="105" spans="1:23" outlineLevel="1">
      <c r="A105" s="376"/>
      <c r="B105" s="666" t="s">
        <v>1587</v>
      </c>
      <c r="C105" s="666" t="s">
        <v>1587</v>
      </c>
      <c r="D105" s="667"/>
      <c r="E105" s="665"/>
      <c r="F105" s="681" t="s">
        <v>262</v>
      </c>
      <c r="G105" s="708">
        <f>SUBTOTAL(9,G106:G111)</f>
        <v>0</v>
      </c>
      <c r="H105" s="709">
        <f>SUBTOTAL(9,H106:H111)</f>
        <v>3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08">
        <f>SUBTOTAL(9,V106:V111)</f>
        <v>0</v>
      </c>
      <c r="W105" s="709">
        <f>SUBTOTAL(9,W106:W111)</f>
        <v>0</v>
      </c>
    </row>
    <row r="106" spans="1:23" outlineLevel="2">
      <c r="A106" s="376"/>
      <c r="B106" s="684" t="s">
        <v>1587</v>
      </c>
      <c r="C106" s="687" t="s">
        <v>1587</v>
      </c>
      <c r="D106" s="684" t="s">
        <v>27</v>
      </c>
      <c r="E106" s="684"/>
      <c r="F106" s="685" t="s">
        <v>1606</v>
      </c>
      <c r="G106" s="686">
        <f>SUBTOTAL(9,G107)</f>
        <v>0</v>
      </c>
      <c r="H106" s="691">
        <f>SUBTOTAL(9,H107:H109)</f>
        <v>2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SUBTOTAL(9,V107)</f>
        <v>0</v>
      </c>
      <c r="W106" s="691">
        <f>SUBTOTAL(9,W107)</f>
        <v>0</v>
      </c>
    </row>
    <row r="107" spans="1:23" outlineLevel="3">
      <c r="A107" s="376"/>
      <c r="B107" s="376" t="s">
        <v>1587</v>
      </c>
      <c r="C107" s="387" t="s">
        <v>1587</v>
      </c>
      <c r="D107" s="376" t="s">
        <v>27</v>
      </c>
      <c r="E107" s="376" t="s">
        <v>28</v>
      </c>
      <c r="F107" s="608" t="s">
        <v>236</v>
      </c>
      <c r="G107" s="609"/>
      <c r="H107" s="692">
        <v>1</v>
      </c>
      <c r="I107" s="626"/>
      <c r="J107" s="751"/>
      <c r="K107" s="416"/>
      <c r="L107" s="376" t="s">
        <v>28</v>
      </c>
      <c r="M107" s="376" t="s">
        <v>1208</v>
      </c>
      <c r="N107" s="376"/>
      <c r="O107" s="376"/>
      <c r="P107" s="376"/>
      <c r="Q107" s="376"/>
      <c r="R107" s="376"/>
      <c r="S107" s="416"/>
      <c r="T107" s="751"/>
      <c r="U107" s="416"/>
      <c r="V107" s="609">
        <f>IF(W107=1,G107,0)</f>
        <v>0</v>
      </c>
      <c r="W107" s="692"/>
    </row>
    <row r="108" spans="1:23" outlineLevel="3">
      <c r="A108" s="376"/>
      <c r="B108" s="376" t="s">
        <v>1587</v>
      </c>
      <c r="C108" s="387" t="s">
        <v>1587</v>
      </c>
      <c r="D108" s="376" t="s">
        <v>27</v>
      </c>
      <c r="E108" s="376" t="s">
        <v>28</v>
      </c>
      <c r="F108" s="608" t="s">
        <v>1608</v>
      </c>
      <c r="G108" s="609"/>
      <c r="H108" s="692"/>
      <c r="I108" s="626"/>
      <c r="J108" s="751"/>
      <c r="K108" s="416"/>
      <c r="L108" s="376" t="s">
        <v>28</v>
      </c>
      <c r="M108" s="376" t="s">
        <v>1208</v>
      </c>
      <c r="N108" s="376"/>
      <c r="O108" s="376"/>
      <c r="P108" s="376"/>
      <c r="Q108" s="376"/>
      <c r="R108" s="376"/>
      <c r="S108" s="416"/>
      <c r="T108" s="751"/>
      <c r="U108" s="416"/>
      <c r="V108" s="609"/>
      <c r="W108" s="692"/>
    </row>
    <row r="109" spans="1:23" outlineLevel="3">
      <c r="A109" s="376"/>
      <c r="B109" s="376" t="s">
        <v>1587</v>
      </c>
      <c r="C109" s="387" t="s">
        <v>1587</v>
      </c>
      <c r="D109" s="376" t="s">
        <v>27</v>
      </c>
      <c r="E109" s="376" t="s">
        <v>28</v>
      </c>
      <c r="F109" s="608" t="s">
        <v>32</v>
      </c>
      <c r="G109" s="609"/>
      <c r="H109" s="692">
        <v>1</v>
      </c>
      <c r="I109" s="626"/>
      <c r="J109" s="751"/>
      <c r="K109" s="416"/>
      <c r="L109" s="376" t="s">
        <v>28</v>
      </c>
      <c r="M109" s="376" t="s">
        <v>1208</v>
      </c>
      <c r="N109" s="376"/>
      <c r="O109" s="376"/>
      <c r="P109" s="376"/>
      <c r="Q109" s="376"/>
      <c r="R109" s="376"/>
      <c r="S109" s="416"/>
      <c r="T109" s="751"/>
      <c r="U109" s="416"/>
      <c r="V109" s="609">
        <f>IF(W109=1,G109,0)</f>
        <v>0</v>
      </c>
      <c r="W109" s="692"/>
    </row>
    <row r="110" spans="1:23" outlineLevel="2">
      <c r="A110" s="376"/>
      <c r="B110" s="684" t="s">
        <v>1587</v>
      </c>
      <c r="C110" s="687" t="s">
        <v>1587</v>
      </c>
      <c r="D110" s="684" t="s">
        <v>58</v>
      </c>
      <c r="E110" s="684"/>
      <c r="F110" s="685" t="s">
        <v>1606</v>
      </c>
      <c r="G110" s="686">
        <f>SUBTOTAL(9,G111)</f>
        <v>0</v>
      </c>
      <c r="H110" s="691">
        <f>SUBTOTAL(9,H111:H113)</f>
        <v>2</v>
      </c>
      <c r="I110" s="626"/>
      <c r="J110" s="751"/>
      <c r="K110" s="416"/>
      <c r="L110" s="684"/>
      <c r="M110" s="684"/>
      <c r="N110" s="684"/>
      <c r="O110" s="684"/>
      <c r="P110" s="684"/>
      <c r="Q110" s="684"/>
      <c r="R110" s="684"/>
      <c r="S110" s="416"/>
      <c r="T110" s="751"/>
      <c r="U110" s="416"/>
      <c r="V110" s="686">
        <f>SUBTOTAL(9,V111)</f>
        <v>0</v>
      </c>
      <c r="W110" s="691">
        <f>SUBTOTAL(9,W111:W113)</f>
        <v>0</v>
      </c>
    </row>
    <row r="111" spans="1:23" outlineLevel="3">
      <c r="A111" s="376"/>
      <c r="B111" s="376" t="s">
        <v>1587</v>
      </c>
      <c r="C111" s="387" t="s">
        <v>1587</v>
      </c>
      <c r="D111" s="376" t="s">
        <v>58</v>
      </c>
      <c r="E111" s="376" t="s">
        <v>28</v>
      </c>
      <c r="F111" s="608" t="s">
        <v>236</v>
      </c>
      <c r="G111" s="609"/>
      <c r="H111" s="769">
        <v>1</v>
      </c>
      <c r="I111" s="626"/>
      <c r="J111" s="751"/>
      <c r="K111" s="416"/>
      <c r="L111" s="376" t="s">
        <v>28</v>
      </c>
      <c r="M111" s="376" t="s">
        <v>1236</v>
      </c>
      <c r="N111" s="376"/>
      <c r="O111" s="376"/>
      <c r="P111" s="376"/>
      <c r="Q111" s="376"/>
      <c r="R111" s="376"/>
      <c r="S111" s="416"/>
      <c r="T111" s="751"/>
      <c r="U111" s="416"/>
      <c r="V111" s="609">
        <f>IF(W111=1,G111,0)</f>
        <v>0</v>
      </c>
      <c r="W111" s="609"/>
    </row>
    <row r="112" spans="1:23" outlineLevel="3">
      <c r="A112" s="376"/>
      <c r="B112" s="376" t="s">
        <v>1587</v>
      </c>
      <c r="C112" s="387" t="s">
        <v>1587</v>
      </c>
      <c r="D112" s="376" t="s">
        <v>58</v>
      </c>
      <c r="E112" s="376" t="s">
        <v>28</v>
      </c>
      <c r="F112" s="608" t="s">
        <v>1608</v>
      </c>
      <c r="G112" s="609"/>
      <c r="H112" s="769"/>
      <c r="I112" s="626"/>
      <c r="J112" s="751"/>
      <c r="K112" s="416"/>
      <c r="L112" s="376" t="s">
        <v>28</v>
      </c>
      <c r="M112" s="376" t="s">
        <v>1236</v>
      </c>
      <c r="N112" s="376"/>
      <c r="O112" s="376"/>
      <c r="P112" s="376"/>
      <c r="Q112" s="376"/>
      <c r="R112" s="376"/>
      <c r="S112" s="416"/>
      <c r="T112" s="751"/>
      <c r="U112" s="416"/>
      <c r="V112" s="609"/>
      <c r="W112" s="609"/>
    </row>
    <row r="113" spans="1:23" outlineLevel="3">
      <c r="A113" s="376"/>
      <c r="B113" s="376" t="s">
        <v>1587</v>
      </c>
      <c r="C113" s="387" t="s">
        <v>1587</v>
      </c>
      <c r="D113" s="376" t="s">
        <v>58</v>
      </c>
      <c r="E113" s="376" t="s">
        <v>28</v>
      </c>
      <c r="F113" s="608" t="s">
        <v>32</v>
      </c>
      <c r="G113" s="609"/>
      <c r="H113" s="692">
        <v>1</v>
      </c>
      <c r="I113" s="626"/>
      <c r="J113" s="751"/>
      <c r="K113" s="416"/>
      <c r="L113" s="376" t="s">
        <v>28</v>
      </c>
      <c r="M113" s="376" t="s">
        <v>1236</v>
      </c>
      <c r="N113" s="376"/>
      <c r="O113" s="376"/>
      <c r="P113" s="376"/>
      <c r="Q113" s="376"/>
      <c r="R113" s="376"/>
      <c r="S113" s="416"/>
      <c r="T113" s="751"/>
      <c r="U113" s="416"/>
      <c r="V113" s="609">
        <f>IF(W113=1,G113,0)</f>
        <v>0</v>
      </c>
      <c r="W113" s="692"/>
    </row>
    <row r="114" spans="1:23" outlineLevel="1">
      <c r="A114" s="376"/>
      <c r="B114" s="665" t="s">
        <v>281</v>
      </c>
      <c r="C114" s="665" t="s">
        <v>70</v>
      </c>
      <c r="D114" s="665"/>
      <c r="E114" s="665"/>
      <c r="F114" s="681" t="s">
        <v>262</v>
      </c>
      <c r="G114" s="708">
        <f>SUBTOTAL(9,G115:G120)</f>
        <v>0.16686000000000001</v>
      </c>
      <c r="H114" s="709">
        <f>SUBTOTAL(9,H115:H120)</f>
        <v>4</v>
      </c>
      <c r="I114" s="626"/>
      <c r="J114" s="751"/>
      <c r="K114" s="416"/>
      <c r="L114" s="665"/>
      <c r="M114" s="665"/>
      <c r="N114" s="665"/>
      <c r="O114" s="665"/>
      <c r="P114" s="665"/>
      <c r="Q114" s="665"/>
      <c r="R114" s="665"/>
      <c r="S114" s="416"/>
      <c r="T114" s="751"/>
      <c r="U114" s="416"/>
      <c r="V114" s="708">
        <f>SUBTOTAL(9,V115:V120)</f>
        <v>0</v>
      </c>
      <c r="W114" s="709">
        <f>SUBTOTAL(9,W115:W120)</f>
        <v>0</v>
      </c>
    </row>
    <row r="115" spans="1:23" outlineLevel="2">
      <c r="A115" s="376"/>
      <c r="B115" s="684" t="s">
        <v>281</v>
      </c>
      <c r="C115" s="684" t="s">
        <v>70</v>
      </c>
      <c r="D115" s="684" t="s">
        <v>27</v>
      </c>
      <c r="E115" s="684"/>
      <c r="F115" s="685" t="s">
        <v>1606</v>
      </c>
      <c r="G115" s="686">
        <f>SUBTOTAL(9,G116:G117)</f>
        <v>9.5579999999999998E-2</v>
      </c>
      <c r="H115" s="691">
        <f>SUBTOTAL(9,H116:H117)</f>
        <v>2</v>
      </c>
      <c r="I115" s="626"/>
      <c r="J115" s="751"/>
      <c r="K115" s="416"/>
      <c r="L115" s="684"/>
      <c r="M115" s="684"/>
      <c r="N115" s="684"/>
      <c r="O115" s="684"/>
      <c r="P115" s="684"/>
      <c r="Q115" s="684"/>
      <c r="R115" s="684"/>
      <c r="S115" s="416"/>
      <c r="T115" s="751"/>
      <c r="U115" s="416"/>
      <c r="V115" s="686">
        <f>SUBTOTAL(9,V116:V117)</f>
        <v>0</v>
      </c>
      <c r="W115" s="691">
        <f>SUBTOTAL(9,W116:W117)</f>
        <v>0</v>
      </c>
    </row>
    <row r="116" spans="1:23" outlineLevel="4">
      <c r="A116" s="376"/>
      <c r="B116" s="376" t="s">
        <v>281</v>
      </c>
      <c r="C116" s="376" t="s">
        <v>70</v>
      </c>
      <c r="D116" s="376" t="s">
        <v>27</v>
      </c>
      <c r="E116" s="376" t="s">
        <v>28</v>
      </c>
      <c r="F116" s="608" t="s">
        <v>236</v>
      </c>
      <c r="G116" s="609">
        <v>6.3719999999999999E-2</v>
      </c>
      <c r="H116" s="692">
        <v>1</v>
      </c>
      <c r="I116" s="626"/>
      <c r="J116" s="751"/>
      <c r="K116" s="416"/>
      <c r="L116" s="376" t="s">
        <v>28</v>
      </c>
      <c r="M116" s="376" t="s">
        <v>1208</v>
      </c>
      <c r="N116" s="376" t="s">
        <v>1209</v>
      </c>
      <c r="O116" s="376" t="s">
        <v>1457</v>
      </c>
      <c r="P116" s="376"/>
      <c r="Q116" s="376"/>
      <c r="R116" s="376"/>
      <c r="S116" s="416"/>
      <c r="T116" s="751"/>
      <c r="U116" s="416"/>
      <c r="V116" s="609">
        <f>IF(W116=1,G116,0)</f>
        <v>0</v>
      </c>
      <c r="W116" s="692"/>
    </row>
    <row r="117" spans="1:23" outlineLevel="4">
      <c r="A117" s="376"/>
      <c r="B117" s="376" t="s">
        <v>281</v>
      </c>
      <c r="C117" s="376" t="s">
        <v>70</v>
      </c>
      <c r="D117" s="376" t="s">
        <v>27</v>
      </c>
      <c r="E117" s="376" t="s">
        <v>28</v>
      </c>
      <c r="F117" s="608" t="s">
        <v>32</v>
      </c>
      <c r="G117" s="609">
        <v>3.1859999999999999E-2</v>
      </c>
      <c r="H117" s="692">
        <v>1</v>
      </c>
      <c r="I117" s="626"/>
      <c r="J117" s="751"/>
      <c r="K117" s="416"/>
      <c r="L117" s="376" t="s">
        <v>28</v>
      </c>
      <c r="M117" s="376" t="s">
        <v>1208</v>
      </c>
      <c r="N117" s="376" t="s">
        <v>1209</v>
      </c>
      <c r="O117" s="376" t="s">
        <v>1457</v>
      </c>
      <c r="P117" s="376"/>
      <c r="Q117" s="376"/>
      <c r="R117" s="376"/>
      <c r="S117" s="416"/>
      <c r="T117" s="751"/>
      <c r="U117" s="416"/>
      <c r="V117" s="609">
        <f>IF(W117=1,G117,0)</f>
        <v>0</v>
      </c>
      <c r="W117" s="692"/>
    </row>
    <row r="118" spans="1:23" outlineLevel="2">
      <c r="A118" s="376"/>
      <c r="B118" s="684" t="s">
        <v>281</v>
      </c>
      <c r="C118" s="684" t="s">
        <v>70</v>
      </c>
      <c r="D118" s="684" t="s">
        <v>58</v>
      </c>
      <c r="E118" s="684"/>
      <c r="F118" s="685" t="s">
        <v>1606</v>
      </c>
      <c r="G118" s="686">
        <f>SUBTOTAL(9,G119:G120)</f>
        <v>7.1279999999999996E-2</v>
      </c>
      <c r="H118" s="691">
        <f>SUBTOTAL(9,H119:H120)</f>
        <v>2</v>
      </c>
      <c r="I118" s="626"/>
      <c r="J118" s="751"/>
      <c r="K118" s="416"/>
      <c r="L118" s="684"/>
      <c r="M118" s="684"/>
      <c r="N118" s="684"/>
      <c r="O118" s="684"/>
      <c r="P118" s="684"/>
      <c r="Q118" s="684"/>
      <c r="R118" s="684"/>
      <c r="S118" s="416"/>
      <c r="T118" s="751"/>
      <c r="U118" s="416"/>
      <c r="V118" s="686">
        <f>SUBTOTAL(9,V119:V120)</f>
        <v>0</v>
      </c>
      <c r="W118" s="691">
        <f>SUBTOTAL(9,W119:W120)</f>
        <v>0</v>
      </c>
    </row>
    <row r="119" spans="1:23" outlineLevel="4">
      <c r="A119" s="376"/>
      <c r="B119" s="376" t="s">
        <v>281</v>
      </c>
      <c r="C119" s="376" t="s">
        <v>70</v>
      </c>
      <c r="D119" s="376" t="s">
        <v>58</v>
      </c>
      <c r="E119" s="376" t="s">
        <v>28</v>
      </c>
      <c r="F119" s="608" t="s">
        <v>236</v>
      </c>
      <c r="G119" s="609">
        <v>5.3460000000000001E-2</v>
      </c>
      <c r="H119" s="692">
        <v>1</v>
      </c>
      <c r="I119" s="626"/>
      <c r="J119" s="751"/>
      <c r="K119" s="416"/>
      <c r="L119" s="376" t="s">
        <v>28</v>
      </c>
      <c r="M119" s="376" t="s">
        <v>1236</v>
      </c>
      <c r="N119" s="376" t="s">
        <v>1282</v>
      </c>
      <c r="O119" s="376"/>
      <c r="P119" s="376"/>
      <c r="Q119" s="376"/>
      <c r="R119" s="376"/>
      <c r="S119" s="416"/>
      <c r="T119" s="751"/>
      <c r="U119" s="416"/>
      <c r="V119" s="609">
        <f>IF(W119=1,G119,0)</f>
        <v>0</v>
      </c>
      <c r="W119" s="692"/>
    </row>
    <row r="120" spans="1:23" outlineLevel="4">
      <c r="A120" s="376"/>
      <c r="B120" s="376" t="s">
        <v>281</v>
      </c>
      <c r="C120" s="376" t="s">
        <v>70</v>
      </c>
      <c r="D120" s="376" t="s">
        <v>58</v>
      </c>
      <c r="E120" s="376" t="s">
        <v>28</v>
      </c>
      <c r="F120" s="608" t="s">
        <v>32</v>
      </c>
      <c r="G120" s="609">
        <v>1.7819999999999999E-2</v>
      </c>
      <c r="H120" s="692">
        <v>1</v>
      </c>
      <c r="I120" s="626"/>
      <c r="J120" s="751"/>
      <c r="K120" s="416"/>
      <c r="L120" s="376" t="s">
        <v>28</v>
      </c>
      <c r="M120" s="376" t="s">
        <v>1236</v>
      </c>
      <c r="N120" s="376" t="s">
        <v>1282</v>
      </c>
      <c r="O120" s="376"/>
      <c r="P120" s="376"/>
      <c r="Q120" s="376"/>
      <c r="R120" s="376"/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289</v>
      </c>
      <c r="C121" s="665" t="s">
        <v>29</v>
      </c>
      <c r="D121" s="665"/>
      <c r="E121" s="665"/>
      <c r="F121" s="681" t="s">
        <v>262</v>
      </c>
      <c r="G121" s="708">
        <f>SUBTOTAL(9,G122:G127)</f>
        <v>7.3659760000000005E-2</v>
      </c>
      <c r="H121" s="709">
        <f>SUBTOTAL(9,H122:H127)</f>
        <v>4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08">
        <f>SUBTOTAL(9,V122:V127)</f>
        <v>0</v>
      </c>
      <c r="W121" s="709">
        <f>SUBTOTAL(9,W122:W127)</f>
        <v>0</v>
      </c>
    </row>
    <row r="122" spans="1:23" outlineLevel="2">
      <c r="A122" s="376"/>
      <c r="B122" s="684" t="s">
        <v>289</v>
      </c>
      <c r="C122" s="684" t="s">
        <v>29</v>
      </c>
      <c r="D122" s="684" t="s">
        <v>27</v>
      </c>
      <c r="E122" s="684"/>
      <c r="F122" s="685" t="s">
        <v>1610</v>
      </c>
      <c r="G122" s="686">
        <f>SUBTOTAL(9,G123:G124)</f>
        <v>3.9179040000000005E-2</v>
      </c>
      <c r="H122" s="691">
        <f>SUBTOTAL(9,H123:H124)</f>
        <v>2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SUBTOTAL(9,V123:V124)</f>
        <v>0</v>
      </c>
      <c r="W122" s="691">
        <f>SUBTOTAL(9,W123:W124)</f>
        <v>0</v>
      </c>
    </row>
    <row r="123" spans="1:23" outlineLevel="3" collapsed="1">
      <c r="A123" s="376"/>
      <c r="B123" s="376" t="s">
        <v>289</v>
      </c>
      <c r="C123" s="376" t="s">
        <v>29</v>
      </c>
      <c r="D123" s="376" t="s">
        <v>27</v>
      </c>
      <c r="E123" s="376" t="s">
        <v>28</v>
      </c>
      <c r="F123" s="608" t="s">
        <v>236</v>
      </c>
      <c r="G123" s="609">
        <v>2.9179040000000003E-2</v>
      </c>
      <c r="H123" s="692">
        <v>1</v>
      </c>
      <c r="I123" s="626"/>
      <c r="J123" s="751"/>
      <c r="K123" s="416"/>
      <c r="L123" s="376" t="s">
        <v>28</v>
      </c>
      <c r="M123" s="376" t="s">
        <v>1208</v>
      </c>
      <c r="N123" s="376" t="s">
        <v>1393</v>
      </c>
      <c r="O123" s="376" t="s">
        <v>1464</v>
      </c>
      <c r="P123" s="376"/>
      <c r="Q123" s="376"/>
      <c r="R123" s="376"/>
      <c r="S123" s="416"/>
      <c r="T123" s="751"/>
      <c r="U123" s="416"/>
      <c r="V123" s="609">
        <f>IF(W123=1,G123,0)</f>
        <v>0</v>
      </c>
      <c r="W123" s="692"/>
    </row>
    <row r="124" spans="1:23" outlineLevel="3" collapsed="1">
      <c r="A124" s="376"/>
      <c r="B124" s="376" t="s">
        <v>289</v>
      </c>
      <c r="C124" s="376" t="s">
        <v>29</v>
      </c>
      <c r="D124" s="376" t="s">
        <v>27</v>
      </c>
      <c r="E124" s="376" t="s">
        <v>28</v>
      </c>
      <c r="F124" s="608" t="s">
        <v>317</v>
      </c>
      <c r="G124" s="609">
        <v>0.01</v>
      </c>
      <c r="H124" s="692">
        <v>1</v>
      </c>
      <c r="I124" s="626"/>
      <c r="J124" s="751"/>
      <c r="K124" s="416"/>
      <c r="L124" s="376" t="s">
        <v>28</v>
      </c>
      <c r="M124" s="376" t="s">
        <v>1208</v>
      </c>
      <c r="N124" s="376" t="s">
        <v>1393</v>
      </c>
      <c r="O124" s="376" t="s">
        <v>1464</v>
      </c>
      <c r="P124" s="376"/>
      <c r="Q124" s="376"/>
      <c r="R124" s="376"/>
      <c r="S124" s="416"/>
      <c r="T124" s="751"/>
      <c r="U124" s="416"/>
      <c r="V124" s="609">
        <f>IF(W124=1,G124,0)</f>
        <v>0</v>
      </c>
      <c r="W124" s="692"/>
    </row>
    <row r="125" spans="1:23" outlineLevel="2">
      <c r="A125" s="376"/>
      <c r="B125" s="684" t="s">
        <v>289</v>
      </c>
      <c r="C125" s="684" t="s">
        <v>29</v>
      </c>
      <c r="D125" s="684" t="s">
        <v>58</v>
      </c>
      <c r="E125" s="684"/>
      <c r="F125" s="685" t="s">
        <v>1610</v>
      </c>
      <c r="G125" s="686">
        <f>SUBTOTAL(9,G126:G127)</f>
        <v>3.4480719999999999E-2</v>
      </c>
      <c r="H125" s="691">
        <f>SUBTOTAL(9,H126:H127)</f>
        <v>2</v>
      </c>
      <c r="I125" s="626"/>
      <c r="J125" s="751"/>
      <c r="K125" s="416"/>
      <c r="L125" s="684"/>
      <c r="M125" s="684"/>
      <c r="N125" s="684"/>
      <c r="O125" s="684"/>
      <c r="P125" s="684"/>
      <c r="Q125" s="684"/>
      <c r="R125" s="684"/>
      <c r="S125" s="416"/>
      <c r="T125" s="751"/>
      <c r="U125" s="416"/>
      <c r="V125" s="686">
        <f>SUBTOTAL(9,V127)</f>
        <v>0</v>
      </c>
      <c r="W125" s="691">
        <f>SUBTOTAL(9,W127)</f>
        <v>0</v>
      </c>
    </row>
    <row r="126" spans="1:23" outlineLevel="3" collapsed="1">
      <c r="A126" s="376"/>
      <c r="B126" s="376" t="s">
        <v>289</v>
      </c>
      <c r="C126" s="376" t="s">
        <v>29</v>
      </c>
      <c r="D126" s="376" t="s">
        <v>58</v>
      </c>
      <c r="E126" s="376" t="s">
        <v>28</v>
      </c>
      <c r="F126" s="608" t="s">
        <v>236</v>
      </c>
      <c r="G126" s="609">
        <v>2.4480720000000001E-2</v>
      </c>
      <c r="H126" s="692">
        <v>1</v>
      </c>
      <c r="I126" s="626"/>
      <c r="J126" s="751"/>
      <c r="K126" s="416"/>
      <c r="L126" s="376" t="s">
        <v>28</v>
      </c>
      <c r="M126" s="376" t="s">
        <v>1236</v>
      </c>
      <c r="N126" s="376" t="s">
        <v>1433</v>
      </c>
      <c r="O126" s="376"/>
      <c r="P126" s="376"/>
      <c r="Q126" s="376"/>
      <c r="R126" s="376"/>
      <c r="S126" s="416"/>
      <c r="T126" s="751"/>
      <c r="U126" s="416"/>
      <c r="V126" s="609">
        <f>IF(W126=1,G126,0)</f>
        <v>0</v>
      </c>
      <c r="W126" s="692"/>
    </row>
    <row r="127" spans="1:23" outlineLevel="3">
      <c r="A127" s="376"/>
      <c r="B127" s="376" t="s">
        <v>289</v>
      </c>
      <c r="C127" s="376" t="s">
        <v>29</v>
      </c>
      <c r="D127" s="376" t="s">
        <v>58</v>
      </c>
      <c r="E127" s="376" t="s">
        <v>28</v>
      </c>
      <c r="F127" s="608" t="s">
        <v>317</v>
      </c>
      <c r="G127" s="609">
        <v>0.01</v>
      </c>
      <c r="H127" s="692">
        <v>1</v>
      </c>
      <c r="I127" s="626"/>
      <c r="J127" s="751"/>
      <c r="K127" s="416"/>
      <c r="L127" s="376" t="s">
        <v>28</v>
      </c>
      <c r="M127" s="376" t="s">
        <v>1236</v>
      </c>
      <c r="N127" s="376" t="s">
        <v>1433</v>
      </c>
      <c r="O127" s="376"/>
      <c r="P127" s="376"/>
      <c r="Q127" s="376"/>
      <c r="R127" s="376"/>
      <c r="S127" s="416"/>
      <c r="T127" s="751"/>
      <c r="U127" s="416"/>
      <c r="V127" s="609">
        <f>IF(W127=1,G127,0)</f>
        <v>0</v>
      </c>
      <c r="W127" s="692"/>
    </row>
    <row r="128" spans="1:23" s="793" customFormat="1" outlineLevel="1">
      <c r="A128" s="380"/>
      <c r="B128" s="666" t="s">
        <v>296</v>
      </c>
      <c r="C128" s="666" t="s">
        <v>297</v>
      </c>
      <c r="D128" s="666"/>
      <c r="E128" s="666"/>
      <c r="F128" s="681" t="s">
        <v>262</v>
      </c>
      <c r="G128" s="708">
        <f>SUBTOTAL(9,G129:G132)</f>
        <v>1.2952557286377333</v>
      </c>
      <c r="H128" s="709">
        <f>SUBTOTAL(9,H129:H132)</f>
        <v>3</v>
      </c>
      <c r="I128" s="627"/>
      <c r="J128" s="753"/>
      <c r="K128" s="612"/>
      <c r="L128" s="666"/>
      <c r="M128" s="666"/>
      <c r="N128" s="666"/>
      <c r="O128" s="666"/>
      <c r="P128" s="666"/>
      <c r="Q128" s="666"/>
      <c r="R128" s="666"/>
      <c r="S128" s="612"/>
      <c r="T128" s="753"/>
      <c r="U128" s="612"/>
      <c r="V128" s="708">
        <f>SUBTOTAL(9,V129:V132)</f>
        <v>0</v>
      </c>
      <c r="W128" s="709">
        <f>SUBTOTAL(9,W129:W132)</f>
        <v>0</v>
      </c>
    </row>
    <row r="129" spans="1:23" ht="39.6" outlineLevel="2">
      <c r="A129" s="376"/>
      <c r="B129" s="684" t="s">
        <v>296</v>
      </c>
      <c r="C129" s="684" t="s">
        <v>297</v>
      </c>
      <c r="D129" s="684" t="s">
        <v>27</v>
      </c>
      <c r="E129" s="684"/>
      <c r="F129" s="685" t="s">
        <v>1472</v>
      </c>
      <c r="G129" s="686">
        <f>SUBTOTAL(9,G130:G132)</f>
        <v>1.2952557286377333</v>
      </c>
      <c r="H129" s="691">
        <f>SUBTOTAL(9,H130:H132)</f>
        <v>3</v>
      </c>
      <c r="I129" s="626"/>
      <c r="J129" s="751"/>
      <c r="K129" s="416"/>
      <c r="L129" s="684"/>
      <c r="M129" s="684"/>
      <c r="N129" s="684"/>
      <c r="O129" s="684"/>
      <c r="P129" s="684"/>
      <c r="Q129" s="684"/>
      <c r="R129" s="684"/>
      <c r="S129" s="416"/>
      <c r="T129" s="751"/>
      <c r="U129" s="416"/>
      <c r="V129" s="686">
        <f>SUBTOTAL(9,V130:V132)</f>
        <v>0</v>
      </c>
      <c r="W129" s="691">
        <f>SUBTOTAL(9,W130:W132)</f>
        <v>0</v>
      </c>
    </row>
    <row r="130" spans="1:23" outlineLevel="3">
      <c r="A130" s="376"/>
      <c r="B130" s="376" t="s">
        <v>296</v>
      </c>
      <c r="C130" s="376" t="s">
        <v>297</v>
      </c>
      <c r="D130" s="376" t="s">
        <v>27</v>
      </c>
      <c r="E130" s="376" t="s">
        <v>28</v>
      </c>
      <c r="F130" s="608" t="s">
        <v>236</v>
      </c>
      <c r="G130" s="609">
        <v>0.51810229145509312</v>
      </c>
      <c r="H130" s="692">
        <v>1</v>
      </c>
      <c r="I130" s="626"/>
      <c r="J130" s="751"/>
      <c r="K130" s="416"/>
      <c r="L130" s="376" t="s">
        <v>28</v>
      </c>
      <c r="M130" s="376" t="s">
        <v>1208</v>
      </c>
      <c r="N130" s="376" t="s">
        <v>1400</v>
      </c>
      <c r="O130" s="376" t="s">
        <v>1473</v>
      </c>
      <c r="P130" s="376"/>
      <c r="Q130" s="376"/>
      <c r="R130" s="376"/>
      <c r="S130" s="416"/>
      <c r="T130" s="751"/>
      <c r="U130" s="416"/>
      <c r="V130" s="609">
        <f>IF(W130=1,G130,0)</f>
        <v>0</v>
      </c>
      <c r="W130" s="692"/>
    </row>
    <row r="131" spans="1:23" outlineLevel="3">
      <c r="A131" s="376"/>
      <c r="B131" s="376" t="s">
        <v>296</v>
      </c>
      <c r="C131" s="376" t="s">
        <v>297</v>
      </c>
      <c r="D131" s="376" t="s">
        <v>27</v>
      </c>
      <c r="E131" s="376" t="s">
        <v>28</v>
      </c>
      <c r="F131" s="608" t="s">
        <v>1212</v>
      </c>
      <c r="G131" s="609">
        <v>0.51810229145509312</v>
      </c>
      <c r="H131" s="692">
        <v>1</v>
      </c>
      <c r="I131" s="626"/>
      <c r="J131" s="751"/>
      <c r="K131" s="416"/>
      <c r="L131" s="376" t="s">
        <v>28</v>
      </c>
      <c r="M131" s="376" t="s">
        <v>1208</v>
      </c>
      <c r="N131" s="376" t="s">
        <v>1400</v>
      </c>
      <c r="O131" s="376" t="s">
        <v>1473</v>
      </c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3">
      <c r="A132" s="376"/>
      <c r="B132" s="376" t="s">
        <v>296</v>
      </c>
      <c r="C132" s="376" t="s">
        <v>297</v>
      </c>
      <c r="D132" s="376" t="s">
        <v>27</v>
      </c>
      <c r="E132" s="376" t="s">
        <v>28</v>
      </c>
      <c r="F132" s="608" t="s">
        <v>1468</v>
      </c>
      <c r="G132" s="609">
        <v>0.25905114572754701</v>
      </c>
      <c r="H132" s="692">
        <v>1</v>
      </c>
      <c r="I132" s="626"/>
      <c r="J132" s="751"/>
      <c r="K132" s="416"/>
      <c r="L132" s="376" t="s">
        <v>28</v>
      </c>
      <c r="M132" s="376" t="s">
        <v>1208</v>
      </c>
      <c r="N132" s="376" t="s">
        <v>1400</v>
      </c>
      <c r="O132" s="376" t="s">
        <v>1473</v>
      </c>
      <c r="P132" s="376"/>
      <c r="Q132" s="376"/>
      <c r="R132" s="376"/>
      <c r="S132" s="416"/>
      <c r="T132" s="751"/>
      <c r="U132" s="416"/>
      <c r="V132" s="609">
        <f>IF(W132=1,G132,0)</f>
        <v>0</v>
      </c>
      <c r="W132" s="692"/>
    </row>
    <row r="133" spans="1:23" s="790" customFormat="1" outlineLevel="1">
      <c r="A133" s="392"/>
      <c r="B133" s="666" t="s">
        <v>300</v>
      </c>
      <c r="C133" s="666" t="s">
        <v>301</v>
      </c>
      <c r="D133" s="666"/>
      <c r="E133" s="666"/>
      <c r="F133" s="681" t="s">
        <v>262</v>
      </c>
      <c r="G133" s="708">
        <f>SUBTOTAL(9,G134:G141)</f>
        <v>2.3204556000000003</v>
      </c>
      <c r="H133" s="709">
        <f>SUBTOTAL(9,H134:H141)</f>
        <v>6</v>
      </c>
      <c r="I133" s="740"/>
      <c r="J133" s="757"/>
      <c r="K133" s="748"/>
      <c r="L133" s="666"/>
      <c r="M133" s="666"/>
      <c r="N133" s="666"/>
      <c r="O133" s="666"/>
      <c r="P133" s="666"/>
      <c r="Q133" s="666"/>
      <c r="R133" s="666"/>
      <c r="S133" s="748"/>
      <c r="T133" s="757"/>
      <c r="U133" s="748"/>
      <c r="V133" s="708">
        <f>SUBTOTAL(9,V134:V141)</f>
        <v>0</v>
      </c>
      <c r="W133" s="709">
        <f>SUBTOTAL(9,W134:W141)</f>
        <v>0</v>
      </c>
    </row>
    <row r="134" spans="1:23" s="790" customFormat="1" outlineLevel="2">
      <c r="A134" s="392"/>
      <c r="B134" s="687" t="s">
        <v>301</v>
      </c>
      <c r="C134" s="687" t="s">
        <v>301</v>
      </c>
      <c r="D134" s="687" t="s">
        <v>27</v>
      </c>
      <c r="E134" s="687"/>
      <c r="F134" s="717" t="s">
        <v>1612</v>
      </c>
      <c r="G134" s="742">
        <f>SUBTOTAL(9,G135:G138)</f>
        <v>1.6902084000000004</v>
      </c>
      <c r="H134" s="743">
        <f>SUBTOTAL(9,H135:H138)</f>
        <v>4</v>
      </c>
      <c r="I134" s="740"/>
      <c r="J134" s="757"/>
      <c r="K134" s="748"/>
      <c r="L134" s="687"/>
      <c r="M134" s="687"/>
      <c r="N134" s="687"/>
      <c r="O134" s="687"/>
      <c r="P134" s="687"/>
      <c r="Q134" s="687"/>
      <c r="R134" s="687"/>
      <c r="S134" s="748"/>
      <c r="T134" s="757"/>
      <c r="U134" s="748"/>
      <c r="V134" s="742">
        <f>SUBTOTAL(9,V135:V137)</f>
        <v>0</v>
      </c>
      <c r="W134" s="743">
        <f>SUBTOTAL(9,W135:W137)</f>
        <v>0</v>
      </c>
    </row>
    <row r="135" spans="1:23" s="790" customFormat="1" outlineLevel="3">
      <c r="A135" s="392"/>
      <c r="B135" s="387" t="s">
        <v>301</v>
      </c>
      <c r="C135" s="387" t="s">
        <v>301</v>
      </c>
      <c r="D135" s="387" t="s">
        <v>27</v>
      </c>
      <c r="E135" s="387" t="s">
        <v>28</v>
      </c>
      <c r="F135" s="705" t="s">
        <v>236</v>
      </c>
      <c r="G135" s="706">
        <v>0.56340280000000009</v>
      </c>
      <c r="H135" s="707">
        <v>1</v>
      </c>
      <c r="I135" s="740"/>
      <c r="J135" s="757"/>
      <c r="K135" s="748"/>
      <c r="L135" s="387" t="s">
        <v>28</v>
      </c>
      <c r="M135" s="387" t="s">
        <v>1208</v>
      </c>
      <c r="N135" s="387" t="s">
        <v>1481</v>
      </c>
      <c r="O135" s="387" t="s">
        <v>1482</v>
      </c>
      <c r="P135" s="387"/>
      <c r="Q135" s="387"/>
      <c r="R135" s="387"/>
      <c r="S135" s="748"/>
      <c r="T135" s="757"/>
      <c r="U135" s="748"/>
      <c r="V135" s="609">
        <f>IF(W135=1,G135,0)</f>
        <v>0</v>
      </c>
      <c r="W135" s="707"/>
    </row>
    <row r="136" spans="1:23" s="790" customFormat="1" outlineLevel="3">
      <c r="A136" s="392"/>
      <c r="B136" s="387" t="s">
        <v>301</v>
      </c>
      <c r="C136" s="387" t="s">
        <v>301</v>
      </c>
      <c r="D136" s="387" t="s">
        <v>27</v>
      </c>
      <c r="E136" s="387" t="s">
        <v>28</v>
      </c>
      <c r="F136" s="705" t="s">
        <v>1427</v>
      </c>
      <c r="G136" s="706">
        <v>0.28170140000000005</v>
      </c>
      <c r="H136" s="707">
        <v>1</v>
      </c>
      <c r="I136" s="740"/>
      <c r="J136" s="757"/>
      <c r="K136" s="748"/>
      <c r="L136" s="387" t="s">
        <v>28</v>
      </c>
      <c r="M136" s="387" t="s">
        <v>1208</v>
      </c>
      <c r="N136" s="387" t="s">
        <v>1481</v>
      </c>
      <c r="O136" s="387" t="s">
        <v>1482</v>
      </c>
      <c r="P136" s="387"/>
      <c r="Q136" s="387"/>
      <c r="R136" s="387"/>
      <c r="S136" s="748"/>
      <c r="T136" s="757"/>
      <c r="U136" s="748"/>
      <c r="V136" s="609">
        <f>IF(W136=1,G136,0)</f>
        <v>0</v>
      </c>
      <c r="W136" s="707"/>
    </row>
    <row r="137" spans="1:23" s="790" customFormat="1" outlineLevel="3">
      <c r="A137" s="392"/>
      <c r="B137" s="387" t="s">
        <v>301</v>
      </c>
      <c r="C137" s="387" t="s">
        <v>301</v>
      </c>
      <c r="D137" s="387" t="s">
        <v>27</v>
      </c>
      <c r="E137" s="387" t="s">
        <v>28</v>
      </c>
      <c r="F137" s="705" t="s">
        <v>1468</v>
      </c>
      <c r="G137" s="706">
        <v>0.28170140000000005</v>
      </c>
      <c r="H137" s="707">
        <v>1</v>
      </c>
      <c r="I137" s="740"/>
      <c r="J137" s="757"/>
      <c r="K137" s="748"/>
      <c r="L137" s="387" t="s">
        <v>28</v>
      </c>
      <c r="M137" s="387" t="s">
        <v>1208</v>
      </c>
      <c r="N137" s="387" t="s">
        <v>1481</v>
      </c>
      <c r="O137" s="387" t="s">
        <v>1482</v>
      </c>
      <c r="P137" s="387"/>
      <c r="Q137" s="387"/>
      <c r="R137" s="387"/>
      <c r="S137" s="748"/>
      <c r="T137" s="757"/>
      <c r="U137" s="748"/>
      <c r="V137" s="609">
        <f>IF(W137=1,G137,0)</f>
        <v>0</v>
      </c>
      <c r="W137" s="707"/>
    </row>
    <row r="138" spans="1:23" s="790" customFormat="1" outlineLevel="3">
      <c r="A138" s="392"/>
      <c r="B138" s="387" t="s">
        <v>301</v>
      </c>
      <c r="C138" s="387" t="s">
        <v>301</v>
      </c>
      <c r="D138" s="387" t="s">
        <v>27</v>
      </c>
      <c r="E138" s="387" t="s">
        <v>28</v>
      </c>
      <c r="F138" s="705" t="s">
        <v>1613</v>
      </c>
      <c r="G138" s="706">
        <v>0.56340280000000009</v>
      </c>
      <c r="H138" s="707">
        <v>1</v>
      </c>
      <c r="I138" s="740"/>
      <c r="J138" s="757"/>
      <c r="K138" s="748"/>
      <c r="L138" s="387" t="s">
        <v>28</v>
      </c>
      <c r="M138" s="387" t="s">
        <v>1208</v>
      </c>
      <c r="N138" s="387" t="s">
        <v>1481</v>
      </c>
      <c r="O138" s="387" t="s">
        <v>1482</v>
      </c>
      <c r="P138" s="387"/>
      <c r="Q138" s="387"/>
      <c r="R138" s="387"/>
      <c r="S138" s="748"/>
      <c r="T138" s="757"/>
      <c r="U138" s="748"/>
      <c r="V138" s="609">
        <f>IF(W138=1,G138,0)</f>
        <v>0</v>
      </c>
      <c r="W138" s="707"/>
    </row>
    <row r="139" spans="1:23" s="790" customFormat="1" outlineLevel="2">
      <c r="A139" s="392">
        <v>2</v>
      </c>
      <c r="B139" s="687" t="s">
        <v>301</v>
      </c>
      <c r="C139" s="687" t="s">
        <v>301</v>
      </c>
      <c r="D139" s="687" t="s">
        <v>58</v>
      </c>
      <c r="E139" s="687"/>
      <c r="F139" s="717" t="s">
        <v>1615</v>
      </c>
      <c r="G139" s="742">
        <f>SUBTOTAL(9,G140:G142)</f>
        <v>1.1029326000000002</v>
      </c>
      <c r="H139" s="743">
        <f>SUBTOTAL(9,H140:H142)</f>
        <v>3</v>
      </c>
      <c r="I139" s="740"/>
      <c r="J139" s="757"/>
      <c r="K139" s="748"/>
      <c r="L139" s="687"/>
      <c r="M139" s="687"/>
      <c r="N139" s="687"/>
      <c r="O139" s="687"/>
      <c r="P139" s="687"/>
      <c r="Q139" s="687"/>
      <c r="R139" s="687"/>
      <c r="S139" s="748"/>
      <c r="T139" s="757"/>
      <c r="U139" s="748"/>
      <c r="V139" s="742">
        <f>SUBTOTAL(9,V140:V141)</f>
        <v>0</v>
      </c>
      <c r="W139" s="743">
        <f>SUBTOTAL(9,W140:W141)</f>
        <v>0</v>
      </c>
    </row>
    <row r="140" spans="1:23" s="790" customFormat="1" outlineLevel="3">
      <c r="A140" s="392"/>
      <c r="B140" s="387" t="s">
        <v>301</v>
      </c>
      <c r="C140" s="387" t="s">
        <v>301</v>
      </c>
      <c r="D140" s="387" t="s">
        <v>58</v>
      </c>
      <c r="E140" s="387" t="s">
        <v>28</v>
      </c>
      <c r="F140" s="705" t="s">
        <v>236</v>
      </c>
      <c r="G140" s="706">
        <v>0.47268540000000003</v>
      </c>
      <c r="H140" s="707">
        <v>1</v>
      </c>
      <c r="I140" s="740"/>
      <c r="J140" s="757"/>
      <c r="K140" s="748"/>
      <c r="L140" s="387" t="s">
        <v>28</v>
      </c>
      <c r="M140" s="387" t="s">
        <v>1236</v>
      </c>
      <c r="N140" s="387" t="s">
        <v>1282</v>
      </c>
      <c r="O140" s="387" t="s">
        <v>1433</v>
      </c>
      <c r="P140" s="387"/>
      <c r="Q140" s="387"/>
      <c r="R140" s="387"/>
      <c r="S140" s="748"/>
      <c r="T140" s="757"/>
      <c r="U140" s="748"/>
      <c r="V140" s="609">
        <f>IF(W140=1,G140,0)</f>
        <v>0</v>
      </c>
      <c r="W140" s="707"/>
    </row>
    <row r="141" spans="1:23" s="790" customFormat="1" outlineLevel="3">
      <c r="A141" s="392"/>
      <c r="B141" s="387" t="s">
        <v>301</v>
      </c>
      <c r="C141" s="387" t="s">
        <v>301</v>
      </c>
      <c r="D141" s="387" t="s">
        <v>58</v>
      </c>
      <c r="E141" s="387" t="s">
        <v>28</v>
      </c>
      <c r="F141" s="705" t="s">
        <v>1468</v>
      </c>
      <c r="G141" s="706">
        <v>0.15756180000000003</v>
      </c>
      <c r="H141" s="707">
        <v>1</v>
      </c>
      <c r="I141" s="740"/>
      <c r="J141" s="757"/>
      <c r="K141" s="748"/>
      <c r="L141" s="387" t="s">
        <v>28</v>
      </c>
      <c r="M141" s="387" t="s">
        <v>1236</v>
      </c>
      <c r="N141" s="387" t="s">
        <v>1282</v>
      </c>
      <c r="O141" s="387" t="s">
        <v>1433</v>
      </c>
      <c r="P141" s="387"/>
      <c r="Q141" s="387"/>
      <c r="R141" s="387"/>
      <c r="S141" s="748"/>
      <c r="T141" s="757"/>
      <c r="U141" s="748"/>
      <c r="V141" s="609">
        <f>IF(W141=1,G141,0)</f>
        <v>0</v>
      </c>
      <c r="W141" s="707"/>
    </row>
    <row r="142" spans="1:23" s="790" customFormat="1" outlineLevel="3">
      <c r="A142" s="392"/>
      <c r="B142" s="387" t="s">
        <v>301</v>
      </c>
      <c r="C142" s="387" t="s">
        <v>301</v>
      </c>
      <c r="D142" s="387" t="s">
        <v>58</v>
      </c>
      <c r="E142" s="387" t="s">
        <v>28</v>
      </c>
      <c r="F142" s="705" t="s">
        <v>1613</v>
      </c>
      <c r="G142" s="706">
        <v>0.47268540000000003</v>
      </c>
      <c r="H142" s="707">
        <v>1</v>
      </c>
      <c r="I142" s="740"/>
      <c r="J142" s="757"/>
      <c r="K142" s="748"/>
      <c r="L142" s="387" t="s">
        <v>28</v>
      </c>
      <c r="M142" s="387" t="s">
        <v>1236</v>
      </c>
      <c r="N142" s="387" t="s">
        <v>1282</v>
      </c>
      <c r="O142" s="387" t="s">
        <v>1433</v>
      </c>
      <c r="P142" s="387"/>
      <c r="Q142" s="387"/>
      <c r="R142" s="387"/>
      <c r="S142" s="748"/>
      <c r="T142" s="757"/>
      <c r="U142" s="748"/>
      <c r="V142" s="609">
        <f>IF(W142=1,G142,0)</f>
        <v>0</v>
      </c>
      <c r="W142" s="707"/>
    </row>
    <row r="143" spans="1:23" s="790" customFormat="1" outlineLevel="1">
      <c r="A143" s="392"/>
      <c r="B143" s="666" t="s">
        <v>307</v>
      </c>
      <c r="C143" s="666" t="s">
        <v>308</v>
      </c>
      <c r="D143" s="666"/>
      <c r="E143" s="666"/>
      <c r="F143" s="681" t="s">
        <v>262</v>
      </c>
      <c r="G143" s="708">
        <f>SUBTOTAL(9,G144:G150)</f>
        <v>2.033775828</v>
      </c>
      <c r="H143" s="709">
        <f>SUBTOTAL(9,H144:H150)</f>
        <v>5</v>
      </c>
      <c r="I143" s="740"/>
      <c r="J143" s="757"/>
      <c r="K143" s="748"/>
      <c r="L143" s="666"/>
      <c r="M143" s="666"/>
      <c r="N143" s="666"/>
      <c r="O143" s="666"/>
      <c r="P143" s="666"/>
      <c r="Q143" s="666"/>
      <c r="R143" s="666"/>
      <c r="S143" s="748"/>
      <c r="T143" s="757"/>
      <c r="U143" s="748"/>
      <c r="V143" s="708">
        <f>SUBTOTAL(9,V144:V150)</f>
        <v>0</v>
      </c>
      <c r="W143" s="709">
        <f>SUBTOTAL(9,W144:W150)</f>
        <v>0</v>
      </c>
    </row>
    <row r="144" spans="1:23" s="790" customFormat="1" outlineLevel="2">
      <c r="A144" s="392"/>
      <c r="B144" s="687" t="s">
        <v>308</v>
      </c>
      <c r="C144" s="687" t="s">
        <v>308</v>
      </c>
      <c r="D144" s="687" t="s">
        <v>27</v>
      </c>
      <c r="E144" s="687"/>
      <c r="F144" s="717" t="s">
        <v>1618</v>
      </c>
      <c r="G144" s="742">
        <f>SUBTOTAL(9,G145:G147)</f>
        <v>1.3042692810000003</v>
      </c>
      <c r="H144" s="743">
        <f>SUBTOTAL(9,H145:H147)</f>
        <v>3</v>
      </c>
      <c r="I144" s="740"/>
      <c r="J144" s="757"/>
      <c r="K144" s="748"/>
      <c r="L144" s="687"/>
      <c r="M144" s="687"/>
      <c r="N144" s="687"/>
      <c r="O144" s="687"/>
      <c r="P144" s="687"/>
      <c r="Q144" s="687"/>
      <c r="R144" s="687"/>
      <c r="S144" s="748"/>
      <c r="T144" s="757"/>
      <c r="U144" s="748"/>
      <c r="V144" s="742">
        <f>SUBTOTAL(9,V145:V146)</f>
        <v>0</v>
      </c>
      <c r="W144" s="743">
        <f>SUBTOTAL(9,W145:W146)</f>
        <v>0</v>
      </c>
    </row>
    <row r="145" spans="1:23" s="790" customFormat="1" outlineLevel="3">
      <c r="A145" s="392"/>
      <c r="B145" s="387" t="s">
        <v>308</v>
      </c>
      <c r="C145" s="387" t="s">
        <v>308</v>
      </c>
      <c r="D145" s="387" t="s">
        <v>27</v>
      </c>
      <c r="E145" s="387" t="s">
        <v>28</v>
      </c>
      <c r="F145" s="705" t="s">
        <v>236</v>
      </c>
      <c r="G145" s="706">
        <v>0.43475642700000006</v>
      </c>
      <c r="H145" s="707">
        <v>1</v>
      </c>
      <c r="I145" s="740"/>
      <c r="J145" s="757"/>
      <c r="K145" s="748"/>
      <c r="L145" s="387" t="s">
        <v>28</v>
      </c>
      <c r="M145" s="387" t="s">
        <v>1208</v>
      </c>
      <c r="N145" s="387" t="s">
        <v>1481</v>
      </c>
      <c r="O145" s="387" t="s">
        <v>1489</v>
      </c>
      <c r="P145" s="387"/>
      <c r="Q145" s="387"/>
      <c r="R145" s="387"/>
      <c r="S145" s="748"/>
      <c r="T145" s="757"/>
      <c r="U145" s="748"/>
      <c r="V145" s="609">
        <f>IF(W145=1,G145,0)</f>
        <v>0</v>
      </c>
      <c r="W145" s="707"/>
    </row>
    <row r="146" spans="1:23" s="790" customFormat="1" outlineLevel="3">
      <c r="A146" s="392"/>
      <c r="B146" s="387" t="s">
        <v>308</v>
      </c>
      <c r="C146" s="387" t="s">
        <v>308</v>
      </c>
      <c r="D146" s="387" t="s">
        <v>27</v>
      </c>
      <c r="E146" s="387" t="s">
        <v>28</v>
      </c>
      <c r="F146" s="705" t="s">
        <v>1427</v>
      </c>
      <c r="G146" s="706">
        <v>0.43475642700000006</v>
      </c>
      <c r="H146" s="707">
        <v>1</v>
      </c>
      <c r="I146" s="740"/>
      <c r="J146" s="757"/>
      <c r="K146" s="748"/>
      <c r="L146" s="387" t="s">
        <v>28</v>
      </c>
      <c r="M146" s="387" t="s">
        <v>1208</v>
      </c>
      <c r="N146" s="387" t="s">
        <v>1481</v>
      </c>
      <c r="O146" s="387" t="s">
        <v>1489</v>
      </c>
      <c r="P146" s="387"/>
      <c r="Q146" s="387"/>
      <c r="R146" s="387"/>
      <c r="S146" s="748"/>
      <c r="T146" s="757"/>
      <c r="U146" s="748"/>
      <c r="V146" s="609">
        <f>IF(W146=1,G146,0)</f>
        <v>0</v>
      </c>
      <c r="W146" s="707"/>
    </row>
    <row r="147" spans="1:23" s="790" customFormat="1" outlineLevel="3">
      <c r="A147" s="392"/>
      <c r="B147" s="387" t="s">
        <v>308</v>
      </c>
      <c r="C147" s="387" t="s">
        <v>308</v>
      </c>
      <c r="D147" s="387" t="s">
        <v>27</v>
      </c>
      <c r="E147" s="387" t="s">
        <v>28</v>
      </c>
      <c r="F147" s="705" t="s">
        <v>1613</v>
      </c>
      <c r="G147" s="706">
        <v>0.43475642700000006</v>
      </c>
      <c r="H147" s="707">
        <v>1</v>
      </c>
      <c r="I147" s="740"/>
      <c r="J147" s="757"/>
      <c r="K147" s="748"/>
      <c r="L147" s="387" t="s">
        <v>28</v>
      </c>
      <c r="M147" s="387" t="s">
        <v>1208</v>
      </c>
      <c r="N147" s="387" t="s">
        <v>1481</v>
      </c>
      <c r="O147" s="387" t="s">
        <v>1489</v>
      </c>
      <c r="P147" s="387"/>
      <c r="Q147" s="387"/>
      <c r="R147" s="387"/>
      <c r="S147" s="748"/>
      <c r="T147" s="757"/>
      <c r="U147" s="748"/>
      <c r="V147" s="609">
        <f>IF(W147=1,G147,0)</f>
        <v>0</v>
      </c>
      <c r="W147" s="707"/>
    </row>
    <row r="148" spans="1:23" s="790" customFormat="1" outlineLevel="2">
      <c r="A148" s="392"/>
      <c r="B148" s="687" t="s">
        <v>308</v>
      </c>
      <c r="C148" s="687" t="s">
        <v>308</v>
      </c>
      <c r="D148" s="687" t="s">
        <v>58</v>
      </c>
      <c r="E148" s="687"/>
      <c r="F148" s="717" t="s">
        <v>1617</v>
      </c>
      <c r="G148" s="742">
        <f>SUBTOTAL(9,G149:G150)</f>
        <v>0.72950654699999995</v>
      </c>
      <c r="H148" s="743">
        <f>SUBTOTAL(9,H149:H150)</f>
        <v>2</v>
      </c>
      <c r="I148" s="740"/>
      <c r="J148" s="757"/>
      <c r="K148" s="748"/>
      <c r="L148" s="687"/>
      <c r="M148" s="687"/>
      <c r="N148" s="687"/>
      <c r="O148" s="687"/>
      <c r="P148" s="687"/>
      <c r="Q148" s="687"/>
      <c r="R148" s="687"/>
      <c r="S148" s="748"/>
      <c r="T148" s="757"/>
      <c r="U148" s="748"/>
      <c r="V148" s="742">
        <f>SUBTOTAL(9,V150)</f>
        <v>0</v>
      </c>
      <c r="W148" s="743">
        <f>SUBTOTAL(9,W150)</f>
        <v>0</v>
      </c>
    </row>
    <row r="149" spans="1:23" s="790" customFormat="1" outlineLevel="3">
      <c r="A149" s="392"/>
      <c r="B149" s="387" t="s">
        <v>308</v>
      </c>
      <c r="C149" s="387" t="s">
        <v>308</v>
      </c>
      <c r="D149" s="387" t="s">
        <v>58</v>
      </c>
      <c r="E149" s="387" t="s">
        <v>28</v>
      </c>
      <c r="F149" s="705" t="s">
        <v>236</v>
      </c>
      <c r="G149" s="706">
        <v>0.36475327349999997</v>
      </c>
      <c r="H149" s="707">
        <v>1</v>
      </c>
      <c r="I149" s="740"/>
      <c r="J149" s="757"/>
      <c r="K149" s="748"/>
      <c r="L149" s="387" t="s">
        <v>28</v>
      </c>
      <c r="M149" s="387"/>
      <c r="N149" s="387"/>
      <c r="O149" s="387"/>
      <c r="P149" s="387"/>
      <c r="Q149" s="387"/>
      <c r="R149" s="387"/>
      <c r="S149" s="748"/>
      <c r="T149" s="757"/>
      <c r="U149" s="748"/>
      <c r="V149" s="609">
        <f>IF(W149=1,G149,0)</f>
        <v>0</v>
      </c>
      <c r="W149" s="707"/>
    </row>
    <row r="150" spans="1:23" s="790" customFormat="1" outlineLevel="3">
      <c r="A150" s="392"/>
      <c r="B150" s="387" t="s">
        <v>308</v>
      </c>
      <c r="C150" s="387" t="s">
        <v>308</v>
      </c>
      <c r="D150" s="387" t="s">
        <v>58</v>
      </c>
      <c r="E150" s="387" t="s">
        <v>28</v>
      </c>
      <c r="F150" s="705" t="s">
        <v>1613</v>
      </c>
      <c r="G150" s="706">
        <v>0.36475327349999997</v>
      </c>
      <c r="H150" s="707">
        <v>1</v>
      </c>
      <c r="I150" s="740"/>
      <c r="J150" s="757"/>
      <c r="K150" s="748"/>
      <c r="L150" s="387" t="s">
        <v>28</v>
      </c>
      <c r="M150" s="387"/>
      <c r="N150" s="387"/>
      <c r="O150" s="387"/>
      <c r="P150" s="387"/>
      <c r="Q150" s="387"/>
      <c r="R150" s="387"/>
      <c r="S150" s="748"/>
      <c r="T150" s="757"/>
      <c r="U150" s="748"/>
      <c r="V150" s="609">
        <f>IF(W150=1,G150,0)</f>
        <v>0</v>
      </c>
      <c r="W150" s="707"/>
    </row>
    <row r="151" spans="1:23" s="790" customFormat="1" outlineLevel="1">
      <c r="A151" s="392"/>
      <c r="B151" s="666" t="s">
        <v>311</v>
      </c>
      <c r="C151" s="666" t="s">
        <v>312</v>
      </c>
      <c r="D151" s="666"/>
      <c r="E151" s="666"/>
      <c r="F151" s="681" t="s">
        <v>262</v>
      </c>
      <c r="G151" s="708">
        <f>SUBTOTAL(9,G152:G158)</f>
        <v>0.67792527599999997</v>
      </c>
      <c r="H151" s="709">
        <f>SUBTOTAL(9,H152:H158)</f>
        <v>5</v>
      </c>
      <c r="I151" s="740"/>
      <c r="J151" s="757"/>
      <c r="K151" s="748"/>
      <c r="L151" s="666"/>
      <c r="M151" s="666"/>
      <c r="N151" s="666"/>
      <c r="O151" s="666"/>
      <c r="P151" s="666"/>
      <c r="Q151" s="666"/>
      <c r="R151" s="666"/>
      <c r="S151" s="748"/>
      <c r="T151" s="757"/>
      <c r="U151" s="748"/>
      <c r="V151" s="708">
        <f>SUBTOTAL(9,V152:V158)</f>
        <v>0</v>
      </c>
      <c r="W151" s="709">
        <f>SUBTOTAL(9,W152:W158)</f>
        <v>0</v>
      </c>
    </row>
    <row r="152" spans="1:23" outlineLevel="2">
      <c r="A152" s="376"/>
      <c r="B152" s="687" t="s">
        <v>312</v>
      </c>
      <c r="C152" s="687" t="s">
        <v>312</v>
      </c>
      <c r="D152" s="684" t="s">
        <v>27</v>
      </c>
      <c r="E152" s="684"/>
      <c r="F152" s="717" t="s">
        <v>1619</v>
      </c>
      <c r="G152" s="742">
        <f>SUBTOTAL(9,G153:G155)</f>
        <v>0.43475642700000006</v>
      </c>
      <c r="H152" s="743">
        <f>SUBTOTAL(9,H153:H155)</f>
        <v>3</v>
      </c>
      <c r="I152" s="626"/>
      <c r="J152" s="751"/>
      <c r="K152" s="416"/>
      <c r="L152" s="684"/>
      <c r="M152" s="684"/>
      <c r="N152" s="684"/>
      <c r="O152" s="684"/>
      <c r="P152" s="684"/>
      <c r="Q152" s="684"/>
      <c r="R152" s="684"/>
      <c r="S152" s="416"/>
      <c r="T152" s="751"/>
      <c r="U152" s="416"/>
      <c r="V152" s="742">
        <f>SUBTOTAL(9,V153:V154)</f>
        <v>0</v>
      </c>
      <c r="W152" s="743">
        <f>SUBTOTAL(9,W153:W154)</f>
        <v>0</v>
      </c>
    </row>
    <row r="153" spans="1:23" outlineLevel="3">
      <c r="A153" s="376"/>
      <c r="B153" s="387" t="s">
        <v>312</v>
      </c>
      <c r="C153" s="387" t="s">
        <v>312</v>
      </c>
      <c r="D153" s="376" t="s">
        <v>27</v>
      </c>
      <c r="E153" s="376" t="s">
        <v>28</v>
      </c>
      <c r="F153" s="705" t="s">
        <v>236</v>
      </c>
      <c r="G153" s="706">
        <v>0.14491880900000001</v>
      </c>
      <c r="H153" s="707">
        <v>1</v>
      </c>
      <c r="I153" s="626"/>
      <c r="J153" s="751"/>
      <c r="K153" s="416"/>
      <c r="L153" s="376" t="s">
        <v>28</v>
      </c>
      <c r="M153" s="376" t="s">
        <v>1208</v>
      </c>
      <c r="N153" s="376" t="s">
        <v>1481</v>
      </c>
      <c r="O153" s="376" t="s">
        <v>1493</v>
      </c>
      <c r="P153" s="376"/>
      <c r="Q153" s="376"/>
      <c r="R153" s="376"/>
      <c r="S153" s="416"/>
      <c r="T153" s="751"/>
      <c r="U153" s="416"/>
      <c r="V153" s="609">
        <f>IF(W153=1,G153,0)</f>
        <v>0</v>
      </c>
      <c r="W153" s="707"/>
    </row>
    <row r="154" spans="1:23" outlineLevel="3">
      <c r="A154" s="376"/>
      <c r="B154" s="387" t="s">
        <v>312</v>
      </c>
      <c r="C154" s="387" t="s">
        <v>312</v>
      </c>
      <c r="D154" s="376" t="s">
        <v>27</v>
      </c>
      <c r="E154" s="376" t="s">
        <v>28</v>
      </c>
      <c r="F154" s="705" t="s">
        <v>1427</v>
      </c>
      <c r="G154" s="706">
        <v>0.14491880900000001</v>
      </c>
      <c r="H154" s="707">
        <v>1</v>
      </c>
      <c r="I154" s="626"/>
      <c r="J154" s="751"/>
      <c r="K154" s="416"/>
      <c r="L154" s="376" t="s">
        <v>28</v>
      </c>
      <c r="M154" s="376" t="s">
        <v>1208</v>
      </c>
      <c r="N154" s="376" t="s">
        <v>1481</v>
      </c>
      <c r="O154" s="376" t="s">
        <v>1493</v>
      </c>
      <c r="P154" s="376"/>
      <c r="Q154" s="376"/>
      <c r="R154" s="376"/>
      <c r="S154" s="416"/>
      <c r="T154" s="751"/>
      <c r="U154" s="416"/>
      <c r="V154" s="609">
        <f>IF(W154=1,G154,0)</f>
        <v>0</v>
      </c>
      <c r="W154" s="707"/>
    </row>
    <row r="155" spans="1:23" outlineLevel="3">
      <c r="A155" s="376"/>
      <c r="B155" s="387" t="s">
        <v>312</v>
      </c>
      <c r="C155" s="387" t="s">
        <v>312</v>
      </c>
      <c r="D155" s="376" t="s">
        <v>27</v>
      </c>
      <c r="E155" s="376" t="s">
        <v>28</v>
      </c>
      <c r="F155" s="705" t="s">
        <v>1613</v>
      </c>
      <c r="G155" s="706">
        <v>0.14491880900000001</v>
      </c>
      <c r="H155" s="707">
        <v>1</v>
      </c>
      <c r="I155" s="626"/>
      <c r="J155" s="751"/>
      <c r="K155" s="416"/>
      <c r="L155" s="376" t="s">
        <v>28</v>
      </c>
      <c r="M155" s="376" t="s">
        <v>1208</v>
      </c>
      <c r="N155" s="376" t="s">
        <v>1481</v>
      </c>
      <c r="O155" s="376" t="s">
        <v>1493</v>
      </c>
      <c r="P155" s="376"/>
      <c r="Q155" s="376"/>
      <c r="R155" s="376"/>
      <c r="S155" s="416"/>
      <c r="T155" s="751"/>
      <c r="U155" s="416"/>
      <c r="V155" s="609">
        <f>IF(W155=1,G155,0)</f>
        <v>0</v>
      </c>
      <c r="W155" s="707"/>
    </row>
    <row r="156" spans="1:23" outlineLevel="2">
      <c r="A156" s="376"/>
      <c r="B156" s="687" t="s">
        <v>312</v>
      </c>
      <c r="C156" s="687" t="s">
        <v>312</v>
      </c>
      <c r="D156" s="684" t="s">
        <v>58</v>
      </c>
      <c r="E156" s="684"/>
      <c r="F156" s="717" t="s">
        <v>1604</v>
      </c>
      <c r="G156" s="742">
        <f>SUBTOTAL(9,G157:G158)</f>
        <v>0.24316884899999996</v>
      </c>
      <c r="H156" s="743">
        <f>SUBTOTAL(9,H157:H158)</f>
        <v>2</v>
      </c>
      <c r="I156" s="626"/>
      <c r="J156" s="751"/>
      <c r="K156" s="416"/>
      <c r="L156" s="684"/>
      <c r="M156" s="684"/>
      <c r="N156" s="684"/>
      <c r="O156" s="684"/>
      <c r="P156" s="684"/>
      <c r="Q156" s="684"/>
      <c r="R156" s="684"/>
      <c r="S156" s="416"/>
      <c r="T156" s="751"/>
      <c r="U156" s="416"/>
      <c r="V156" s="742">
        <f>SUBTOTAL(9,V158)</f>
        <v>0</v>
      </c>
      <c r="W156" s="743">
        <f>SUBTOTAL(9,W158)</f>
        <v>0</v>
      </c>
    </row>
    <row r="157" spans="1:23" outlineLevel="3">
      <c r="A157" s="376"/>
      <c r="B157" s="387" t="s">
        <v>312</v>
      </c>
      <c r="C157" s="387" t="s">
        <v>312</v>
      </c>
      <c r="D157" s="376" t="s">
        <v>58</v>
      </c>
      <c r="E157" s="376" t="s">
        <v>28</v>
      </c>
      <c r="F157" s="705" t="s">
        <v>236</v>
      </c>
      <c r="G157" s="706">
        <v>0.12158442449999998</v>
      </c>
      <c r="H157" s="707">
        <v>1</v>
      </c>
      <c r="I157" s="626"/>
      <c r="J157" s="751"/>
      <c r="K157" s="416"/>
      <c r="L157" s="376" t="s">
        <v>28</v>
      </c>
      <c r="M157" s="376"/>
      <c r="N157" s="376"/>
      <c r="O157" s="376"/>
      <c r="P157" s="376"/>
      <c r="Q157" s="376"/>
      <c r="R157" s="376"/>
      <c r="S157" s="416"/>
      <c r="T157" s="751"/>
      <c r="U157" s="416"/>
      <c r="V157" s="609">
        <f>IF(W157=1,G157,0)</f>
        <v>0</v>
      </c>
      <c r="W157" s="707"/>
    </row>
    <row r="158" spans="1:23" outlineLevel="3">
      <c r="A158" s="376"/>
      <c r="B158" s="387" t="s">
        <v>312</v>
      </c>
      <c r="C158" s="387" t="s">
        <v>312</v>
      </c>
      <c r="D158" s="376" t="s">
        <v>58</v>
      </c>
      <c r="E158" s="376" t="s">
        <v>28</v>
      </c>
      <c r="F158" s="705" t="s">
        <v>1613</v>
      </c>
      <c r="G158" s="706">
        <v>0.12158442449999998</v>
      </c>
      <c r="H158" s="707">
        <v>1</v>
      </c>
      <c r="I158" s="626"/>
      <c r="J158" s="751"/>
      <c r="K158" s="416"/>
      <c r="L158" s="376" t="s">
        <v>28</v>
      </c>
      <c r="M158" s="376"/>
      <c r="N158" s="376"/>
      <c r="O158" s="376"/>
      <c r="P158" s="376"/>
      <c r="Q158" s="376"/>
      <c r="R158" s="376"/>
      <c r="S158" s="416"/>
      <c r="T158" s="751"/>
      <c r="U158" s="416"/>
      <c r="V158" s="609">
        <f>IF(W158=1,G158,0)</f>
        <v>0</v>
      </c>
      <c r="W158" s="707"/>
    </row>
    <row r="159" spans="1:23" outlineLevel="1">
      <c r="A159" s="376"/>
      <c r="B159" s="665" t="s">
        <v>271</v>
      </c>
      <c r="C159" s="665" t="s">
        <v>271</v>
      </c>
      <c r="D159" s="665"/>
      <c r="E159" s="665"/>
      <c r="F159" s="681" t="s">
        <v>262</v>
      </c>
      <c r="G159" s="708">
        <f>SUBTOTAL(9,G160:G167)</f>
        <v>0.24840000000000001</v>
      </c>
      <c r="H159" s="709">
        <f>SUBTOTAL(9,H160:H167)</f>
        <v>6</v>
      </c>
      <c r="I159" s="626"/>
      <c r="J159" s="751"/>
      <c r="K159" s="416"/>
      <c r="L159" s="665"/>
      <c r="M159" s="665"/>
      <c r="N159" s="665"/>
      <c r="O159" s="665"/>
      <c r="P159" s="665"/>
      <c r="Q159" s="665"/>
      <c r="R159" s="665"/>
      <c r="S159" s="416"/>
      <c r="T159" s="751"/>
      <c r="U159" s="416"/>
      <c r="V159" s="708">
        <f>SUBTOTAL(9,V160:V167)</f>
        <v>0</v>
      </c>
      <c r="W159" s="709">
        <f>SUBTOTAL(9,W160:W167)</f>
        <v>0</v>
      </c>
    </row>
    <row r="160" spans="1:23" outlineLevel="2">
      <c r="A160" s="376"/>
      <c r="B160" s="684" t="s">
        <v>271</v>
      </c>
      <c r="C160" s="684" t="s">
        <v>271</v>
      </c>
      <c r="D160" s="684" t="s">
        <v>27</v>
      </c>
      <c r="E160" s="684"/>
      <c r="F160" s="685" t="s">
        <v>1499</v>
      </c>
      <c r="G160" s="686">
        <f>SUBTOTAL(9,G161:G163)</f>
        <v>0.1593</v>
      </c>
      <c r="H160" s="691">
        <f>SUBTOTAL(9,H161:H163)</f>
        <v>3</v>
      </c>
      <c r="I160" s="626"/>
      <c r="J160" s="751"/>
      <c r="K160" s="416"/>
      <c r="L160" s="684"/>
      <c r="M160" s="684"/>
      <c r="N160" s="684"/>
      <c r="O160" s="684"/>
      <c r="P160" s="684"/>
      <c r="Q160" s="684"/>
      <c r="R160" s="684"/>
      <c r="S160" s="416"/>
      <c r="T160" s="751"/>
      <c r="U160" s="416"/>
      <c r="V160" s="686">
        <f>SUBTOTAL(9,V161:V163)</f>
        <v>0</v>
      </c>
      <c r="W160" s="691">
        <f>SUBTOTAL(9,W161:W163)</f>
        <v>0</v>
      </c>
    </row>
    <row r="161" spans="1:23" outlineLevel="3">
      <c r="A161" s="376"/>
      <c r="B161" s="376" t="s">
        <v>271</v>
      </c>
      <c r="C161" s="376" t="s">
        <v>271</v>
      </c>
      <c r="D161" s="376" t="s">
        <v>27</v>
      </c>
      <c r="E161" s="376" t="s">
        <v>28</v>
      </c>
      <c r="F161" s="608" t="s">
        <v>236</v>
      </c>
      <c r="G161" s="609">
        <v>3.9824999999999999E-2</v>
      </c>
      <c r="H161" s="692">
        <v>1</v>
      </c>
      <c r="I161" s="626"/>
      <c r="J161" s="751"/>
      <c r="K161" s="416"/>
      <c r="L161" s="376" t="s">
        <v>28</v>
      </c>
      <c r="M161" s="376" t="s">
        <v>1208</v>
      </c>
      <c r="N161" s="376" t="s">
        <v>1393</v>
      </c>
      <c r="O161" s="376" t="s">
        <v>1501</v>
      </c>
      <c r="P161" s="376"/>
      <c r="Q161" s="376"/>
      <c r="R161" s="376"/>
      <c r="S161" s="416"/>
      <c r="T161" s="751"/>
      <c r="U161" s="416"/>
      <c r="V161" s="609">
        <f>IF(W161=1,G161,0)</f>
        <v>0</v>
      </c>
      <c r="W161" s="692"/>
    </row>
    <row r="162" spans="1:23" outlineLevel="3">
      <c r="A162" s="376"/>
      <c r="B162" s="376" t="s">
        <v>271</v>
      </c>
      <c r="C162" s="376" t="s">
        <v>271</v>
      </c>
      <c r="D162" s="376" t="s">
        <v>27</v>
      </c>
      <c r="E162" s="376" t="s">
        <v>28</v>
      </c>
      <c r="F162" s="608" t="s">
        <v>1212</v>
      </c>
      <c r="G162" s="609">
        <v>7.9649999999999999E-2</v>
      </c>
      <c r="H162" s="692">
        <v>1</v>
      </c>
      <c r="I162" s="626"/>
      <c r="J162" s="751"/>
      <c r="K162" s="416"/>
      <c r="L162" s="376" t="s">
        <v>28</v>
      </c>
      <c r="M162" s="376" t="s">
        <v>1208</v>
      </c>
      <c r="N162" s="376" t="s">
        <v>1393</v>
      </c>
      <c r="O162" s="376" t="s">
        <v>1501</v>
      </c>
      <c r="P162" s="376"/>
      <c r="Q162" s="376"/>
      <c r="R162" s="376"/>
      <c r="S162" s="416"/>
      <c r="T162" s="751"/>
      <c r="U162" s="416"/>
      <c r="V162" s="609">
        <f>IF(W162=1,G162,0)</f>
        <v>0</v>
      </c>
      <c r="W162" s="692"/>
    </row>
    <row r="163" spans="1:23" outlineLevel="3" collapsed="1">
      <c r="A163" s="376"/>
      <c r="B163" s="376" t="s">
        <v>271</v>
      </c>
      <c r="C163" s="376" t="s">
        <v>271</v>
      </c>
      <c r="D163" s="376" t="s">
        <v>27</v>
      </c>
      <c r="E163" s="376" t="s">
        <v>28</v>
      </c>
      <c r="F163" s="608" t="s">
        <v>1499</v>
      </c>
      <c r="G163" s="609">
        <v>3.9824999999999999E-2</v>
      </c>
      <c r="H163" s="692">
        <v>1</v>
      </c>
      <c r="I163" s="626"/>
      <c r="J163" s="751"/>
      <c r="K163" s="416"/>
      <c r="L163" s="376" t="s">
        <v>28</v>
      </c>
      <c r="M163" s="376" t="s">
        <v>1208</v>
      </c>
      <c r="N163" s="376" t="s">
        <v>1393</v>
      </c>
      <c r="O163" s="376" t="s">
        <v>1501</v>
      </c>
      <c r="P163" s="376"/>
      <c r="Q163" s="376"/>
      <c r="R163" s="376"/>
      <c r="S163" s="416"/>
      <c r="T163" s="751"/>
      <c r="U163" s="416"/>
      <c r="V163" s="609">
        <f>IF(W163=1,G163,0)</f>
        <v>0</v>
      </c>
      <c r="W163" s="692"/>
    </row>
    <row r="164" spans="1:23" outlineLevel="2">
      <c r="A164" s="376"/>
      <c r="B164" s="684" t="s">
        <v>271</v>
      </c>
      <c r="C164" s="684" t="s">
        <v>271</v>
      </c>
      <c r="D164" s="684" t="s">
        <v>58</v>
      </c>
      <c r="E164" s="684"/>
      <c r="F164" s="685" t="s">
        <v>1499</v>
      </c>
      <c r="G164" s="686">
        <f>SUBTOTAL(9,G165:G167)</f>
        <v>8.9100000000000013E-2</v>
      </c>
      <c r="H164" s="691">
        <f>SUBTOTAL(9,H165:H167)</f>
        <v>3</v>
      </c>
      <c r="I164" s="626"/>
      <c r="J164" s="751"/>
      <c r="K164" s="416"/>
      <c r="L164" s="684"/>
      <c r="M164" s="684"/>
      <c r="N164" s="684"/>
      <c r="O164" s="684"/>
      <c r="P164" s="684"/>
      <c r="Q164" s="684"/>
      <c r="R164" s="684"/>
      <c r="S164" s="416"/>
      <c r="T164" s="751"/>
      <c r="U164" s="416"/>
      <c r="V164" s="686">
        <f>SUBTOTAL(9,V165:V167)</f>
        <v>0</v>
      </c>
      <c r="W164" s="691">
        <f>SUBTOTAL(9,W165:W167)</f>
        <v>0</v>
      </c>
    </row>
    <row r="165" spans="1:23" outlineLevel="3" collapsed="1">
      <c r="A165" s="376"/>
      <c r="B165" s="376" t="s">
        <v>271</v>
      </c>
      <c r="C165" s="376" t="s">
        <v>271</v>
      </c>
      <c r="D165" s="376" t="s">
        <v>58</v>
      </c>
      <c r="E165" s="376" t="s">
        <v>28</v>
      </c>
      <c r="F165" s="629" t="s">
        <v>236</v>
      </c>
      <c r="G165" s="609">
        <v>4.4550000000000006E-2</v>
      </c>
      <c r="H165" s="692">
        <v>1</v>
      </c>
      <c r="I165" s="626"/>
      <c r="J165" s="751"/>
      <c r="K165" s="416"/>
      <c r="L165" s="376" t="s">
        <v>28</v>
      </c>
      <c r="M165" s="376" t="s">
        <v>1236</v>
      </c>
      <c r="N165" s="376" t="s">
        <v>1502</v>
      </c>
      <c r="O165" s="376" t="s">
        <v>1433</v>
      </c>
      <c r="P165" s="376"/>
      <c r="Q165" s="376"/>
      <c r="R165" s="376"/>
      <c r="S165" s="416"/>
      <c r="T165" s="751"/>
      <c r="U165" s="416"/>
      <c r="V165" s="609">
        <f>IF(W165=1,G165,0)</f>
        <v>0</v>
      </c>
      <c r="W165" s="692"/>
    </row>
    <row r="166" spans="1:23" outlineLevel="3">
      <c r="A166" s="376"/>
      <c r="B166" s="376" t="s">
        <v>271</v>
      </c>
      <c r="C166" s="376" t="s">
        <v>271</v>
      </c>
      <c r="D166" s="376" t="s">
        <v>58</v>
      </c>
      <c r="E166" s="376" t="s">
        <v>28</v>
      </c>
      <c r="F166" s="608" t="s">
        <v>1212</v>
      </c>
      <c r="G166" s="609">
        <v>2.2275000000000003E-2</v>
      </c>
      <c r="H166" s="692">
        <v>1</v>
      </c>
      <c r="I166" s="626"/>
      <c r="J166" s="751"/>
      <c r="K166" s="416"/>
      <c r="L166" s="376" t="s">
        <v>28</v>
      </c>
      <c r="M166" s="376" t="s">
        <v>1236</v>
      </c>
      <c r="N166" s="376" t="s">
        <v>1502</v>
      </c>
      <c r="O166" s="376" t="s">
        <v>1433</v>
      </c>
      <c r="P166" s="376"/>
      <c r="Q166" s="376"/>
      <c r="R166" s="376"/>
      <c r="S166" s="416"/>
      <c r="T166" s="751"/>
      <c r="U166" s="416"/>
      <c r="V166" s="609">
        <f>IF(W166=1,G166,0)</f>
        <v>0</v>
      </c>
      <c r="W166" s="692"/>
    </row>
    <row r="167" spans="1:23" outlineLevel="3">
      <c r="A167" s="376"/>
      <c r="B167" s="376" t="s">
        <v>271</v>
      </c>
      <c r="C167" s="376" t="s">
        <v>271</v>
      </c>
      <c r="D167" s="376" t="s">
        <v>58</v>
      </c>
      <c r="E167" s="376" t="s">
        <v>28</v>
      </c>
      <c r="F167" s="608" t="s">
        <v>1499</v>
      </c>
      <c r="G167" s="609">
        <v>2.2275000000000003E-2</v>
      </c>
      <c r="H167" s="692">
        <v>1</v>
      </c>
      <c r="I167" s="626"/>
      <c r="J167" s="751"/>
      <c r="K167" s="416"/>
      <c r="L167" s="376" t="s">
        <v>28</v>
      </c>
      <c r="M167" s="376" t="s">
        <v>1236</v>
      </c>
      <c r="N167" s="376" t="s">
        <v>1502</v>
      </c>
      <c r="O167" s="376" t="s">
        <v>1433</v>
      </c>
      <c r="P167" s="376"/>
      <c r="Q167" s="376"/>
      <c r="R167" s="376"/>
      <c r="S167" s="416"/>
      <c r="T167" s="751"/>
      <c r="U167" s="416"/>
      <c r="V167" s="609">
        <f>IF(W167=1,G167,0)</f>
        <v>0</v>
      </c>
      <c r="W167" s="692"/>
    </row>
    <row r="168" spans="1:23" outlineLevel="1">
      <c r="A168" s="376"/>
      <c r="B168" s="665" t="s">
        <v>328</v>
      </c>
      <c r="C168" s="665" t="s">
        <v>265</v>
      </c>
      <c r="D168" s="665"/>
      <c r="E168" s="665"/>
      <c r="F168" s="681" t="s">
        <v>262</v>
      </c>
      <c r="G168" s="708">
        <f>SUBTOTAL(9,G169:G178)</f>
        <v>4.2498200000000006</v>
      </c>
      <c r="H168" s="709">
        <f>SUBTOTAL(9,H169:H178)</f>
        <v>7</v>
      </c>
      <c r="I168" s="626"/>
      <c r="J168" s="751"/>
      <c r="K168" s="416"/>
      <c r="L168" s="665"/>
      <c r="M168" s="665"/>
      <c r="N168" s="665"/>
      <c r="O168" s="665"/>
      <c r="P168" s="665"/>
      <c r="Q168" s="665"/>
      <c r="R168" s="665"/>
      <c r="S168" s="416"/>
      <c r="T168" s="751"/>
      <c r="U168" s="416"/>
      <c r="V168" s="708">
        <f>SUBTOTAL(9,V169:V178)</f>
        <v>0</v>
      </c>
      <c r="W168" s="709">
        <f>SUBTOTAL(9,W169:W178)</f>
        <v>0</v>
      </c>
    </row>
    <row r="169" spans="1:23" outlineLevel="2">
      <c r="A169" s="376"/>
      <c r="B169" s="684" t="s">
        <v>328</v>
      </c>
      <c r="C169" s="684" t="s">
        <v>121</v>
      </c>
      <c r="D169" s="684" t="s">
        <v>175</v>
      </c>
      <c r="E169" s="684"/>
      <c r="F169" s="685" t="s">
        <v>1622</v>
      </c>
      <c r="G169" s="686">
        <f>SUBTOTAL(9,G170:G172)</f>
        <v>3.6650000000000005</v>
      </c>
      <c r="H169" s="691">
        <f>SUBTOTAL(9,H170:H172)</f>
        <v>3</v>
      </c>
      <c r="I169" s="626"/>
      <c r="J169" s="751"/>
      <c r="K169" s="416"/>
      <c r="L169" s="684"/>
      <c r="M169" s="684"/>
      <c r="N169" s="684"/>
      <c r="O169" s="684"/>
      <c r="P169" s="684"/>
      <c r="Q169" s="684"/>
      <c r="R169" s="684"/>
      <c r="S169" s="416"/>
      <c r="T169" s="751"/>
      <c r="U169" s="416"/>
      <c r="V169" s="686">
        <f>SUBTOTAL(9,V170:V172)</f>
        <v>0</v>
      </c>
      <c r="W169" s="691">
        <f>SUBTOTAL(9,W170:W172)</f>
        <v>0</v>
      </c>
    </row>
    <row r="170" spans="1:23" outlineLevel="3">
      <c r="A170" s="376"/>
      <c r="B170" s="376" t="s">
        <v>328</v>
      </c>
      <c r="C170" s="376" t="s">
        <v>121</v>
      </c>
      <c r="D170" s="376" t="s">
        <v>175</v>
      </c>
      <c r="E170" s="376" t="s">
        <v>28</v>
      </c>
      <c r="F170" s="608" t="s">
        <v>418</v>
      </c>
      <c r="G170" s="609">
        <v>0.85500000000000009</v>
      </c>
      <c r="H170" s="692">
        <v>1</v>
      </c>
      <c r="I170" s="626"/>
      <c r="J170" s="751"/>
      <c r="K170" s="416"/>
      <c r="L170" s="376" t="s">
        <v>28</v>
      </c>
      <c r="M170" s="376" t="s">
        <v>1504</v>
      </c>
      <c r="N170" s="376" t="s">
        <v>1505</v>
      </c>
      <c r="O170" s="376"/>
      <c r="P170" s="376"/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1:23" outlineLevel="3">
      <c r="A171" s="376"/>
      <c r="B171" s="376" t="s">
        <v>328</v>
      </c>
      <c r="C171" s="376" t="s">
        <v>121</v>
      </c>
      <c r="D171" s="376" t="s">
        <v>175</v>
      </c>
      <c r="E171" s="376" t="s">
        <v>28</v>
      </c>
      <c r="F171" s="608" t="s">
        <v>236</v>
      </c>
      <c r="G171" s="609">
        <v>1.4050000000000002</v>
      </c>
      <c r="H171" s="692">
        <v>1</v>
      </c>
      <c r="I171" s="626"/>
      <c r="J171" s="751"/>
      <c r="K171" s="416"/>
      <c r="L171" s="376" t="s">
        <v>28</v>
      </c>
      <c r="M171" s="376" t="s">
        <v>1504</v>
      </c>
      <c r="N171" s="376" t="s">
        <v>1505</v>
      </c>
      <c r="O171" s="376"/>
      <c r="P171" s="376"/>
      <c r="Q171" s="376"/>
      <c r="R171" s="376"/>
      <c r="S171" s="416"/>
      <c r="T171" s="751"/>
      <c r="U171" s="416"/>
      <c r="V171" s="609">
        <f>IF(W171=1,G171,0)</f>
        <v>0</v>
      </c>
      <c r="W171" s="692"/>
    </row>
    <row r="172" spans="1:23" outlineLevel="3">
      <c r="A172" s="376"/>
      <c r="B172" s="376" t="s">
        <v>328</v>
      </c>
      <c r="C172" s="376" t="s">
        <v>121</v>
      </c>
      <c r="D172" s="376" t="s">
        <v>175</v>
      </c>
      <c r="E172" s="376" t="s">
        <v>28</v>
      </c>
      <c r="F172" s="608" t="s">
        <v>32</v>
      </c>
      <c r="G172" s="609">
        <v>1.4050000000000002</v>
      </c>
      <c r="H172" s="692">
        <v>1</v>
      </c>
      <c r="I172" s="626"/>
      <c r="J172" s="751"/>
      <c r="K172" s="416"/>
      <c r="L172" s="376" t="s">
        <v>28</v>
      </c>
      <c r="M172" s="376" t="s">
        <v>1504</v>
      </c>
      <c r="N172" s="376" t="s">
        <v>1505</v>
      </c>
      <c r="O172" s="376"/>
      <c r="P172" s="376"/>
      <c r="Q172" s="376"/>
      <c r="R172" s="376"/>
      <c r="S172" s="416"/>
      <c r="T172" s="751"/>
      <c r="U172" s="416"/>
      <c r="V172" s="609">
        <f>IF(W172=1,G172,0)</f>
        <v>0</v>
      </c>
      <c r="W172" s="692"/>
    </row>
    <row r="173" spans="1:23" outlineLevel="2">
      <c r="A173" s="376"/>
      <c r="B173" s="684" t="s">
        <v>328</v>
      </c>
      <c r="C173" s="684" t="s">
        <v>121</v>
      </c>
      <c r="D173" s="684" t="s">
        <v>27</v>
      </c>
      <c r="E173" s="684"/>
      <c r="F173" s="685" t="s">
        <v>1623</v>
      </c>
      <c r="G173" s="686">
        <f>SUBTOTAL(9,G174:G175)</f>
        <v>0.30266999999999999</v>
      </c>
      <c r="H173" s="691">
        <f>SUBTOTAL(9,H174:H175)</f>
        <v>2</v>
      </c>
      <c r="I173" s="626"/>
      <c r="J173" s="751"/>
      <c r="K173" s="416"/>
      <c r="L173" s="684"/>
      <c r="M173" s="684"/>
      <c r="N173" s="684"/>
      <c r="O173" s="684"/>
      <c r="P173" s="684"/>
      <c r="Q173" s="684"/>
      <c r="R173" s="684"/>
      <c r="S173" s="416"/>
      <c r="T173" s="751"/>
      <c r="U173" s="416"/>
      <c r="V173" s="686">
        <f>SUBTOTAL(9,V174:V175)</f>
        <v>0</v>
      </c>
      <c r="W173" s="691">
        <f>SUBTOTAL(9,W174:W175)</f>
        <v>0</v>
      </c>
    </row>
    <row r="174" spans="1:23" outlineLevel="3">
      <c r="A174" s="376"/>
      <c r="B174" s="376" t="s">
        <v>328</v>
      </c>
      <c r="C174" s="376" t="s">
        <v>121</v>
      </c>
      <c r="D174" s="376" t="s">
        <v>27</v>
      </c>
      <c r="E174" s="376" t="s">
        <v>28</v>
      </c>
      <c r="F174" s="608" t="s">
        <v>236</v>
      </c>
      <c r="G174" s="609">
        <v>0.10088999999999999</v>
      </c>
      <c r="H174" s="692">
        <v>1</v>
      </c>
      <c r="I174" s="626"/>
      <c r="J174" s="751"/>
      <c r="K174" s="416"/>
      <c r="L174" s="376" t="s">
        <v>28</v>
      </c>
      <c r="M174" s="376" t="s">
        <v>1208</v>
      </c>
      <c r="N174" s="376" t="s">
        <v>1511</v>
      </c>
      <c r="O174" s="376" t="s">
        <v>1512</v>
      </c>
      <c r="P174" s="376"/>
      <c r="Q174" s="376"/>
      <c r="R174" s="376"/>
      <c r="S174" s="416"/>
      <c r="T174" s="751"/>
      <c r="U174" s="416"/>
      <c r="V174" s="609">
        <f>IF(W174=1,G174,0)</f>
        <v>0</v>
      </c>
      <c r="W174" s="692"/>
    </row>
    <row r="175" spans="1:23" outlineLevel="3">
      <c r="A175" s="376"/>
      <c r="B175" s="376" t="s">
        <v>328</v>
      </c>
      <c r="C175" s="376" t="s">
        <v>121</v>
      </c>
      <c r="D175" s="376" t="s">
        <v>27</v>
      </c>
      <c r="E175" s="376" t="s">
        <v>28</v>
      </c>
      <c r="F175" s="608" t="s">
        <v>32</v>
      </c>
      <c r="G175" s="609">
        <v>0.20177999999999999</v>
      </c>
      <c r="H175" s="692">
        <v>1</v>
      </c>
      <c r="I175" s="626"/>
      <c r="J175" s="751"/>
      <c r="K175" s="416"/>
      <c r="L175" s="376" t="s">
        <v>28</v>
      </c>
      <c r="M175" s="376" t="s">
        <v>1208</v>
      </c>
      <c r="N175" s="376" t="s">
        <v>1511</v>
      </c>
      <c r="O175" s="376" t="s">
        <v>1512</v>
      </c>
      <c r="P175" s="376"/>
      <c r="Q175" s="376"/>
      <c r="R175" s="376"/>
      <c r="S175" s="416"/>
      <c r="T175" s="751"/>
      <c r="U175" s="416"/>
      <c r="V175" s="609">
        <f>IF(W175=1,G175,0)</f>
        <v>0</v>
      </c>
      <c r="W175" s="692"/>
    </row>
    <row r="176" spans="1:23" outlineLevel="2">
      <c r="A176" s="376"/>
      <c r="B176" s="684" t="s">
        <v>328</v>
      </c>
      <c r="C176" s="684" t="s">
        <v>121</v>
      </c>
      <c r="D176" s="684" t="s">
        <v>58</v>
      </c>
      <c r="E176" s="684"/>
      <c r="F176" s="685" t="s">
        <v>1623</v>
      </c>
      <c r="G176" s="686">
        <f>SUBTOTAL(9,G177:G178)</f>
        <v>0.28215000000000001</v>
      </c>
      <c r="H176" s="691">
        <f>SUBTOTAL(9,H177:H178)</f>
        <v>2</v>
      </c>
      <c r="I176" s="626"/>
      <c r="J176" s="751"/>
      <c r="K176" s="416"/>
      <c r="L176" s="684"/>
      <c r="M176" s="684"/>
      <c r="N176" s="684"/>
      <c r="O176" s="684"/>
      <c r="P176" s="684"/>
      <c r="Q176" s="684"/>
      <c r="R176" s="684"/>
      <c r="S176" s="416"/>
      <c r="T176" s="751"/>
      <c r="U176" s="416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328</v>
      </c>
      <c r="C177" s="376" t="s">
        <v>121</v>
      </c>
      <c r="D177" s="376" t="s">
        <v>58</v>
      </c>
      <c r="E177" s="376" t="s">
        <v>28</v>
      </c>
      <c r="F177" s="608" t="s">
        <v>236</v>
      </c>
      <c r="G177" s="609">
        <v>0.11286000000000002</v>
      </c>
      <c r="H177" s="692">
        <v>1</v>
      </c>
      <c r="I177" s="626"/>
      <c r="J177" s="751"/>
      <c r="K177" s="416"/>
      <c r="L177" s="376" t="s">
        <v>28</v>
      </c>
      <c r="M177" s="376" t="s">
        <v>1236</v>
      </c>
      <c r="N177" s="376" t="s">
        <v>1431</v>
      </c>
      <c r="O177" s="376"/>
      <c r="P177" s="376"/>
      <c r="Q177" s="376"/>
      <c r="R177" s="376"/>
      <c r="S177" s="416"/>
      <c r="T177" s="751"/>
      <c r="U177" s="416"/>
      <c r="V177" s="609">
        <f>IF(W177=1,G177,0)</f>
        <v>0</v>
      </c>
      <c r="W177" s="692"/>
    </row>
    <row r="178" spans="1:23" outlineLevel="3">
      <c r="A178" s="376"/>
      <c r="B178" s="376" t="s">
        <v>328</v>
      </c>
      <c r="C178" s="376" t="s">
        <v>121</v>
      </c>
      <c r="D178" s="376" t="s">
        <v>58</v>
      </c>
      <c r="E178" s="376" t="s">
        <v>28</v>
      </c>
      <c r="F178" s="608" t="s">
        <v>32</v>
      </c>
      <c r="G178" s="609">
        <v>0.16929</v>
      </c>
      <c r="H178" s="692">
        <v>1</v>
      </c>
      <c r="I178" s="626"/>
      <c r="J178" s="751"/>
      <c r="K178" s="416"/>
      <c r="L178" s="376" t="s">
        <v>28</v>
      </c>
      <c r="M178" s="376" t="s">
        <v>1236</v>
      </c>
      <c r="N178" s="376" t="s">
        <v>1431</v>
      </c>
      <c r="O178" s="376"/>
      <c r="P178" s="376"/>
      <c r="Q178" s="376"/>
      <c r="R178" s="376"/>
      <c r="S178" s="416"/>
      <c r="T178" s="751"/>
      <c r="U178" s="416"/>
      <c r="V178" s="609">
        <f>IF(W178=1,G178,0)</f>
        <v>0</v>
      </c>
      <c r="W178" s="692"/>
    </row>
    <row r="179" spans="1:23" outlineLevel="1">
      <c r="A179" s="376"/>
      <c r="B179" s="666" t="s">
        <v>1513</v>
      </c>
      <c r="C179" s="666" t="s">
        <v>121</v>
      </c>
      <c r="D179" s="667"/>
      <c r="E179" s="665"/>
      <c r="F179" s="681" t="s">
        <v>262</v>
      </c>
      <c r="G179" s="708">
        <f>SUBTOTAL(9,G180:G194)</f>
        <v>2.768234101299047</v>
      </c>
      <c r="H179" s="709">
        <f>SUBTOTAL(9,H180:H194)</f>
        <v>12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SUBTOTAL(9,V180:V192)</f>
        <v>0</v>
      </c>
      <c r="W179" s="709">
        <f>SUBTOTAL(9,W180:W192)</f>
        <v>0</v>
      </c>
    </row>
    <row r="180" spans="1:23" ht="26.4" outlineLevel="2">
      <c r="A180" s="376"/>
      <c r="B180" s="684" t="s">
        <v>1513</v>
      </c>
      <c r="C180" s="687" t="s">
        <v>121</v>
      </c>
      <c r="D180" s="684" t="s">
        <v>175</v>
      </c>
      <c r="E180" s="684"/>
      <c r="F180" s="685" t="s">
        <v>1624</v>
      </c>
      <c r="G180" s="686">
        <f>SUBTOTAL(9,G181:G183)</f>
        <v>2.184224765452226</v>
      </c>
      <c r="H180" s="691">
        <f>SUBTOTAL(9,H181:H183)</f>
        <v>3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SUBTOTAL(9,V181:V183)</f>
        <v>0</v>
      </c>
      <c r="W180" s="691">
        <f>SUBTOTAL(9,W181:W183)</f>
        <v>0</v>
      </c>
    </row>
    <row r="181" spans="1:23" outlineLevel="3">
      <c r="A181" s="376"/>
      <c r="B181" s="376" t="s">
        <v>1513</v>
      </c>
      <c r="C181" s="387" t="s">
        <v>121</v>
      </c>
      <c r="D181" s="376" t="s">
        <v>175</v>
      </c>
      <c r="E181" s="376" t="s">
        <v>28</v>
      </c>
      <c r="F181" s="608" t="s">
        <v>418</v>
      </c>
      <c r="G181" s="609">
        <v>0.4724994626592407</v>
      </c>
      <c r="H181" s="692">
        <v>1</v>
      </c>
      <c r="I181" s="626"/>
      <c r="J181" s="751"/>
      <c r="K181" s="416"/>
      <c r="L181" s="376" t="s">
        <v>28</v>
      </c>
      <c r="M181" s="376" t="s">
        <v>1504</v>
      </c>
      <c r="N181" s="376" t="s">
        <v>1514</v>
      </c>
      <c r="O181" s="376"/>
      <c r="P181" s="376"/>
      <c r="Q181" s="376"/>
      <c r="R181" s="376"/>
      <c r="S181" s="416"/>
      <c r="T181" s="751"/>
      <c r="U181" s="416"/>
      <c r="V181" s="609">
        <f>IF(W181=1,G181,0)</f>
        <v>0</v>
      </c>
      <c r="W181" s="692"/>
    </row>
    <row r="182" spans="1:23" outlineLevel="3">
      <c r="A182" s="376"/>
      <c r="B182" s="376" t="s">
        <v>1513</v>
      </c>
      <c r="C182" s="387" t="s">
        <v>121</v>
      </c>
      <c r="D182" s="376" t="s">
        <v>175</v>
      </c>
      <c r="E182" s="376" t="s">
        <v>28</v>
      </c>
      <c r="F182" s="608" t="s">
        <v>236</v>
      </c>
      <c r="G182" s="609">
        <v>0.85586265139649265</v>
      </c>
      <c r="H182" s="692">
        <v>1</v>
      </c>
      <c r="I182" s="626"/>
      <c r="J182" s="751"/>
      <c r="K182" s="416"/>
      <c r="L182" s="376" t="s">
        <v>28</v>
      </c>
      <c r="M182" s="376" t="s">
        <v>1504</v>
      </c>
      <c r="N182" s="376" t="s">
        <v>1514</v>
      </c>
      <c r="O182" s="376"/>
      <c r="P182" s="376"/>
      <c r="Q182" s="376"/>
      <c r="R182" s="376"/>
      <c r="S182" s="416"/>
      <c r="T182" s="751"/>
      <c r="U182" s="416"/>
      <c r="V182" s="609">
        <f>IF(W182=1,G182,0)</f>
        <v>0</v>
      </c>
      <c r="W182" s="692"/>
    </row>
    <row r="183" spans="1:23" outlineLevel="3">
      <c r="A183" s="376"/>
      <c r="B183" s="376" t="s">
        <v>1513</v>
      </c>
      <c r="C183" s="387" t="s">
        <v>121</v>
      </c>
      <c r="D183" s="376" t="s">
        <v>175</v>
      </c>
      <c r="E183" s="376" t="s">
        <v>28</v>
      </c>
      <c r="F183" s="608" t="s">
        <v>1625</v>
      </c>
      <c r="G183" s="609">
        <v>0.85586265139649265</v>
      </c>
      <c r="H183" s="692">
        <v>1</v>
      </c>
      <c r="I183" s="626"/>
      <c r="J183" s="751"/>
      <c r="K183" s="416"/>
      <c r="L183" s="376" t="s">
        <v>28</v>
      </c>
      <c r="M183" s="376" t="s">
        <v>1504</v>
      </c>
      <c r="N183" s="376" t="s">
        <v>1514</v>
      </c>
      <c r="O183" s="376"/>
      <c r="P183" s="376"/>
      <c r="Q183" s="376"/>
      <c r="R183" s="376"/>
      <c r="S183" s="416"/>
      <c r="T183" s="751"/>
      <c r="U183" s="416"/>
      <c r="V183" s="609">
        <f>IF(W183=1,G183,0)</f>
        <v>0</v>
      </c>
      <c r="W183" s="692"/>
    </row>
    <row r="184" spans="1:23" outlineLevel="2">
      <c r="A184" s="376"/>
      <c r="B184" s="684" t="s">
        <v>1513</v>
      </c>
      <c r="C184" s="687" t="s">
        <v>121</v>
      </c>
      <c r="D184" s="684" t="s">
        <v>27</v>
      </c>
      <c r="E184" s="684"/>
      <c r="F184" s="685" t="s">
        <v>1532</v>
      </c>
      <c r="G184" s="686">
        <f>SUBTOTAL(9,G185:G188)</f>
        <v>0.33452961956274241</v>
      </c>
      <c r="H184" s="691">
        <f>SUBTOTAL(9,H185:H188)</f>
        <v>4</v>
      </c>
      <c r="I184" s="626"/>
      <c r="J184" s="751"/>
      <c r="K184" s="416"/>
      <c r="L184" s="684"/>
      <c r="M184" s="684"/>
      <c r="N184" s="684"/>
      <c r="O184" s="684"/>
      <c r="P184" s="684"/>
      <c r="Q184" s="684"/>
      <c r="R184" s="684"/>
      <c r="S184" s="416"/>
      <c r="T184" s="751"/>
      <c r="U184" s="416"/>
      <c r="V184" s="686">
        <f>SUBTOTAL(9,V185:V187)</f>
        <v>0</v>
      </c>
      <c r="W184" s="691">
        <f>SUBTOTAL(9,W185:W187)</f>
        <v>0</v>
      </c>
    </row>
    <row r="185" spans="1:23" outlineLevel="3">
      <c r="A185" s="376"/>
      <c r="B185" s="376" t="s">
        <v>1513</v>
      </c>
      <c r="C185" s="387" t="s">
        <v>121</v>
      </c>
      <c r="D185" s="376" t="s">
        <v>27</v>
      </c>
      <c r="E185" s="376" t="s">
        <v>28</v>
      </c>
      <c r="F185" s="608" t="s">
        <v>236</v>
      </c>
      <c r="G185" s="609">
        <v>5.5754936593790397E-2</v>
      </c>
      <c r="H185" s="692">
        <v>1</v>
      </c>
      <c r="I185" s="626"/>
      <c r="J185" s="751"/>
      <c r="K185" s="416"/>
      <c r="L185" s="376" t="s">
        <v>28</v>
      </c>
      <c r="M185" s="376" t="s">
        <v>1208</v>
      </c>
      <c r="N185" s="376" t="s">
        <v>1516</v>
      </c>
      <c r="O185" s="376"/>
      <c r="P185" s="376"/>
      <c r="Q185" s="376"/>
      <c r="R185" s="376"/>
      <c r="S185" s="416"/>
      <c r="T185" s="751"/>
      <c r="U185" s="416"/>
      <c r="V185" s="609">
        <f>IF(W185=1,G185,0)</f>
        <v>0</v>
      </c>
      <c r="W185" s="692"/>
    </row>
    <row r="186" spans="1:23" outlineLevel="3">
      <c r="A186" s="376"/>
      <c r="B186" s="376" t="s">
        <v>1513</v>
      </c>
      <c r="C186" s="387" t="s">
        <v>121</v>
      </c>
      <c r="D186" s="376" t="s">
        <v>27</v>
      </c>
      <c r="E186" s="376" t="s">
        <v>28</v>
      </c>
      <c r="F186" s="608" t="s">
        <v>1427</v>
      </c>
      <c r="G186" s="609">
        <v>0.11150987318758079</v>
      </c>
      <c r="H186" s="692">
        <v>1</v>
      </c>
      <c r="I186" s="626"/>
      <c r="J186" s="751"/>
      <c r="K186" s="416"/>
      <c r="L186" s="376" t="s">
        <v>28</v>
      </c>
      <c r="M186" s="376" t="s">
        <v>1208</v>
      </c>
      <c r="N186" s="376" t="s">
        <v>1516</v>
      </c>
      <c r="O186" s="376"/>
      <c r="P186" s="376"/>
      <c r="Q186" s="376"/>
      <c r="R186" s="376"/>
      <c r="S186" s="416"/>
      <c r="T186" s="751"/>
      <c r="U186" s="416"/>
      <c r="V186" s="609">
        <f>IF(W186=1,G186,0)</f>
        <v>0</v>
      </c>
      <c r="W186" s="692"/>
    </row>
    <row r="187" spans="1:23" outlineLevel="3">
      <c r="A187" s="376"/>
      <c r="B187" s="376" t="s">
        <v>1513</v>
      </c>
      <c r="C187" s="387" t="s">
        <v>121</v>
      </c>
      <c r="D187" s="376" t="s">
        <v>27</v>
      </c>
      <c r="E187" s="376" t="s">
        <v>28</v>
      </c>
      <c r="F187" s="608" t="s">
        <v>1212</v>
      </c>
      <c r="G187" s="609">
        <v>0.11150987318758079</v>
      </c>
      <c r="H187" s="692">
        <v>1</v>
      </c>
      <c r="I187" s="626"/>
      <c r="J187" s="751"/>
      <c r="K187" s="416"/>
      <c r="L187" s="376" t="s">
        <v>28</v>
      </c>
      <c r="M187" s="376" t="s">
        <v>1208</v>
      </c>
      <c r="N187" s="376" t="s">
        <v>1516</v>
      </c>
      <c r="O187" s="376"/>
      <c r="P187" s="376"/>
      <c r="Q187" s="376"/>
      <c r="R187" s="376"/>
      <c r="S187" s="416"/>
      <c r="T187" s="751"/>
      <c r="U187" s="416"/>
      <c r="V187" s="609">
        <f>IF(W187=1,G187,0)</f>
        <v>0</v>
      </c>
      <c r="W187" s="692"/>
    </row>
    <row r="188" spans="1:23" outlineLevel="3">
      <c r="A188" s="376"/>
      <c r="B188" s="376" t="s">
        <v>1513</v>
      </c>
      <c r="C188" s="387" t="s">
        <v>121</v>
      </c>
      <c r="D188" s="376" t="s">
        <v>27</v>
      </c>
      <c r="E188" s="376" t="s">
        <v>28</v>
      </c>
      <c r="F188" s="785" t="s">
        <v>326</v>
      </c>
      <c r="G188" s="609">
        <v>5.5754936593790397E-2</v>
      </c>
      <c r="H188" s="692">
        <v>1</v>
      </c>
      <c r="I188" s="626"/>
      <c r="J188" s="751"/>
      <c r="K188" s="416"/>
      <c r="L188" s="376" t="s">
        <v>28</v>
      </c>
      <c r="M188" s="376" t="s">
        <v>1208</v>
      </c>
      <c r="N188" s="376" t="s">
        <v>1516</v>
      </c>
      <c r="O188" s="376"/>
      <c r="P188" s="376"/>
      <c r="Q188" s="376"/>
      <c r="R188" s="376"/>
      <c r="S188" s="416"/>
      <c r="T188" s="751"/>
      <c r="U188" s="416"/>
      <c r="V188" s="609">
        <f>IF(W188=1,G188,0)</f>
        <v>0</v>
      </c>
      <c r="W188" s="692"/>
    </row>
    <row r="189" spans="1:23" outlineLevel="2">
      <c r="A189" s="376"/>
      <c r="B189" s="684" t="s">
        <v>1513</v>
      </c>
      <c r="C189" s="687" t="s">
        <v>121</v>
      </c>
      <c r="D189" s="684" t="s">
        <v>58</v>
      </c>
      <c r="E189" s="684"/>
      <c r="F189" s="685" t="s">
        <v>1532</v>
      </c>
      <c r="G189" s="686">
        <f>SUBTOTAL(9,G190:G194)</f>
        <v>0.24947971628407911</v>
      </c>
      <c r="H189" s="691">
        <f>SUBTOTAL(9,H190:H194)</f>
        <v>5</v>
      </c>
      <c r="I189" s="626"/>
      <c r="J189" s="751"/>
      <c r="K189" s="416"/>
      <c r="L189" s="684"/>
      <c r="M189" s="684"/>
      <c r="N189" s="684"/>
      <c r="O189" s="684"/>
      <c r="P189" s="684"/>
      <c r="Q189" s="684"/>
      <c r="R189" s="684"/>
      <c r="S189" s="416"/>
      <c r="T189" s="751"/>
      <c r="U189" s="416"/>
      <c r="V189" s="686">
        <f>SUBTOTAL(9,V190:V192)</f>
        <v>0</v>
      </c>
      <c r="W189" s="691">
        <f>SUBTOTAL(9,W190:W192)</f>
        <v>0</v>
      </c>
    </row>
    <row r="190" spans="1:23" outlineLevel="4">
      <c r="A190" s="376"/>
      <c r="B190" s="376" t="s">
        <v>1513</v>
      </c>
      <c r="C190" s="387" t="s">
        <v>121</v>
      </c>
      <c r="D190" s="376" t="s">
        <v>58</v>
      </c>
      <c r="E190" s="376" t="s">
        <v>28</v>
      </c>
      <c r="F190" s="608" t="s">
        <v>236</v>
      </c>
      <c r="G190" s="609">
        <v>6.2369929071019771E-2</v>
      </c>
      <c r="H190" s="692">
        <v>1</v>
      </c>
      <c r="I190" s="626"/>
      <c r="J190" s="751"/>
      <c r="K190" s="416"/>
      <c r="L190" s="376" t="s">
        <v>28</v>
      </c>
      <c r="M190" s="376" t="s">
        <v>1236</v>
      </c>
      <c r="N190" s="376" t="s">
        <v>1431</v>
      </c>
      <c r="O190" s="376"/>
      <c r="P190" s="376"/>
      <c r="Q190" s="376"/>
      <c r="R190" s="376"/>
      <c r="S190" s="416"/>
      <c r="T190" s="751"/>
      <c r="U190" s="416"/>
      <c r="V190" s="609">
        <f>IF(W190=1,G190,0)</f>
        <v>0</v>
      </c>
      <c r="W190" s="692"/>
    </row>
    <row r="191" spans="1:23" outlineLevel="4">
      <c r="A191" s="376"/>
      <c r="B191" s="376" t="s">
        <v>1513</v>
      </c>
      <c r="C191" s="387" t="s">
        <v>121</v>
      </c>
      <c r="D191" s="376" t="s">
        <v>58</v>
      </c>
      <c r="E191" s="376" t="s">
        <v>28</v>
      </c>
      <c r="F191" s="608" t="s">
        <v>1427</v>
      </c>
      <c r="G191" s="609">
        <v>9.3554893606529646E-2</v>
      </c>
      <c r="H191" s="692">
        <v>1</v>
      </c>
      <c r="I191" s="626"/>
      <c r="J191" s="751"/>
      <c r="K191" s="416"/>
      <c r="L191" s="376" t="s">
        <v>28</v>
      </c>
      <c r="M191" s="376" t="s">
        <v>1236</v>
      </c>
      <c r="N191" s="376" t="s">
        <v>1431</v>
      </c>
      <c r="O191" s="376"/>
      <c r="P191" s="376"/>
      <c r="Q191" s="376"/>
      <c r="R191" s="376"/>
      <c r="S191" s="416"/>
      <c r="T191" s="751"/>
      <c r="U191" s="416"/>
      <c r="V191" s="609">
        <f>IF(W191=1,G191,0)</f>
        <v>0</v>
      </c>
      <c r="W191" s="692"/>
    </row>
    <row r="192" spans="1:23" outlineLevel="4">
      <c r="A192" s="376"/>
      <c r="B192" s="376" t="s">
        <v>1513</v>
      </c>
      <c r="C192" s="387" t="s">
        <v>121</v>
      </c>
      <c r="D192" s="376" t="s">
        <v>58</v>
      </c>
      <c r="E192" s="376" t="s">
        <v>28</v>
      </c>
      <c r="F192" s="608" t="s">
        <v>1212</v>
      </c>
      <c r="G192" s="609">
        <v>3.1184964535509885E-2</v>
      </c>
      <c r="H192" s="692">
        <v>1</v>
      </c>
      <c r="I192" s="626"/>
      <c r="J192" s="751"/>
      <c r="K192" s="416"/>
      <c r="L192" s="376" t="s">
        <v>28</v>
      </c>
      <c r="M192" s="376" t="s">
        <v>1236</v>
      </c>
      <c r="N192" s="376" t="s">
        <v>1431</v>
      </c>
      <c r="O192" s="376"/>
      <c r="P192" s="376"/>
      <c r="Q192" s="376"/>
      <c r="R192" s="376"/>
      <c r="S192" s="416"/>
      <c r="T192" s="751"/>
      <c r="U192" s="416"/>
      <c r="V192" s="609">
        <f>IF(W192=1,G192,0)</f>
        <v>0</v>
      </c>
      <c r="W192" s="692"/>
    </row>
    <row r="193" spans="1:23" outlineLevel="3">
      <c r="A193" s="376"/>
      <c r="B193" s="376" t="s">
        <v>1513</v>
      </c>
      <c r="C193" s="387" t="s">
        <v>121</v>
      </c>
      <c r="D193" s="376" t="s">
        <v>58</v>
      </c>
      <c r="E193" s="376" t="s">
        <v>28</v>
      </c>
      <c r="F193" s="785" t="s">
        <v>285</v>
      </c>
      <c r="G193" s="609">
        <v>3.1184964535509885E-2</v>
      </c>
      <c r="H193" s="692">
        <v>1</v>
      </c>
      <c r="I193" s="626"/>
      <c r="J193" s="751"/>
      <c r="K193" s="416"/>
      <c r="L193" s="376" t="s">
        <v>28</v>
      </c>
      <c r="M193" s="376" t="s">
        <v>1236</v>
      </c>
      <c r="N193" s="376" t="s">
        <v>1431</v>
      </c>
      <c r="O193" s="376"/>
      <c r="P193" s="376"/>
      <c r="Q193" s="376"/>
      <c r="R193" s="376">
        <v>0</v>
      </c>
      <c r="S193" s="416"/>
      <c r="T193" s="751"/>
      <c r="U193" s="416"/>
      <c r="V193" s="609">
        <f>IF(W193=1,G193,0)</f>
        <v>0</v>
      </c>
      <c r="W193" s="692"/>
    </row>
    <row r="194" spans="1:23" outlineLevel="3">
      <c r="A194" s="376"/>
      <c r="B194" s="376" t="s">
        <v>1513</v>
      </c>
      <c r="C194" s="387" t="s">
        <v>121</v>
      </c>
      <c r="D194" s="376" t="s">
        <v>58</v>
      </c>
      <c r="E194" s="376" t="s">
        <v>28</v>
      </c>
      <c r="F194" s="785" t="s">
        <v>326</v>
      </c>
      <c r="G194" s="609">
        <v>3.1184964535509885E-2</v>
      </c>
      <c r="H194" s="692">
        <v>1</v>
      </c>
      <c r="I194" s="626"/>
      <c r="J194" s="751"/>
      <c r="K194" s="416"/>
      <c r="L194" s="376" t="s">
        <v>28</v>
      </c>
      <c r="M194" s="376" t="s">
        <v>1236</v>
      </c>
      <c r="N194" s="376" t="s">
        <v>1431</v>
      </c>
      <c r="O194" s="376"/>
      <c r="P194" s="376"/>
      <c r="Q194" s="376"/>
      <c r="R194" s="376">
        <v>0</v>
      </c>
      <c r="S194" s="416"/>
      <c r="T194" s="751"/>
      <c r="U194" s="416"/>
      <c r="V194" s="609">
        <f>IF(W194=1,G194,0)</f>
        <v>0</v>
      </c>
      <c r="W194" s="692"/>
    </row>
    <row r="195" spans="1:23" outlineLevel="1">
      <c r="A195" s="376"/>
      <c r="B195" s="666" t="s">
        <v>1517</v>
      </c>
      <c r="C195" s="666" t="s">
        <v>121</v>
      </c>
      <c r="D195" s="667" t="s">
        <v>12</v>
      </c>
      <c r="E195" s="665"/>
      <c r="F195" s="681" t="s">
        <v>262</v>
      </c>
      <c r="G195" s="708">
        <f>SUBTOTAL(9,G196:G212)</f>
        <v>0.64899608532455322</v>
      </c>
      <c r="H195" s="709">
        <f>SUBTOTAL(9,H196:H212)</f>
        <v>14</v>
      </c>
      <c r="I195" s="626"/>
      <c r="J195" s="751"/>
      <c r="K195" s="416"/>
      <c r="L195" s="665"/>
      <c r="M195" s="665"/>
      <c r="N195" s="665"/>
      <c r="O195" s="665"/>
      <c r="P195" s="665"/>
      <c r="Q195" s="665"/>
      <c r="R195" s="665"/>
      <c r="S195" s="416"/>
      <c r="T195" s="751"/>
      <c r="U195" s="416"/>
      <c r="V195" s="708">
        <f>SUBTOTAL(9,V196:V212)</f>
        <v>0</v>
      </c>
      <c r="W195" s="709">
        <f>SUBTOTAL(9,W196:W212)</f>
        <v>0</v>
      </c>
    </row>
    <row r="196" spans="1:23" ht="26.4" outlineLevel="2">
      <c r="A196" s="376"/>
      <c r="B196" s="684" t="s">
        <v>1517</v>
      </c>
      <c r="C196" s="687" t="s">
        <v>121</v>
      </c>
      <c r="D196" s="684" t="s">
        <v>175</v>
      </c>
      <c r="E196" s="684"/>
      <c r="F196" s="685" t="s">
        <v>1628</v>
      </c>
      <c r="G196" s="686">
        <f>SUBTOTAL(9,G197:G200)</f>
        <v>0.52044099788952725</v>
      </c>
      <c r="H196" s="691">
        <f>SUBTOTAL(9,H197:H200)</f>
        <v>4</v>
      </c>
      <c r="I196" s="626"/>
      <c r="J196" s="751"/>
      <c r="K196" s="416"/>
      <c r="L196" s="684"/>
      <c r="M196" s="684"/>
      <c r="N196" s="684"/>
      <c r="O196" s="684"/>
      <c r="P196" s="684"/>
      <c r="Q196" s="684"/>
      <c r="R196" s="684"/>
      <c r="S196" s="416"/>
      <c r="T196" s="751"/>
      <c r="U196" s="416"/>
      <c r="V196" s="686">
        <f>SUBTOTAL(9,V197:V199)</f>
        <v>0</v>
      </c>
      <c r="W196" s="691">
        <f>SUBTOTAL(9,W197:W199)</f>
        <v>0</v>
      </c>
    </row>
    <row r="197" spans="1:23" outlineLevel="3">
      <c r="A197" s="376"/>
      <c r="B197" s="376" t="s">
        <v>1517</v>
      </c>
      <c r="C197" s="387" t="s">
        <v>121</v>
      </c>
      <c r="D197" s="376" t="s">
        <v>175</v>
      </c>
      <c r="E197" s="376" t="s">
        <v>28</v>
      </c>
      <c r="F197" s="608" t="s">
        <v>1519</v>
      </c>
      <c r="G197" s="609">
        <v>0.13427418761072726</v>
      </c>
      <c r="H197" s="692">
        <v>1</v>
      </c>
      <c r="I197" s="626"/>
      <c r="J197" s="751"/>
      <c r="K197" s="416"/>
      <c r="L197" s="376" t="s">
        <v>28</v>
      </c>
      <c r="M197" s="376" t="s">
        <v>1504</v>
      </c>
      <c r="N197" s="376" t="s">
        <v>1514</v>
      </c>
      <c r="O197" s="376"/>
      <c r="P197" s="376"/>
      <c r="Q197" s="376"/>
      <c r="R197" s="376"/>
      <c r="S197" s="416"/>
      <c r="T197" s="751"/>
      <c r="U197" s="416"/>
      <c r="V197" s="609">
        <f>IF(W197=1,G197,0)</f>
        <v>0</v>
      </c>
      <c r="W197" s="692"/>
    </row>
    <row r="198" spans="1:23" outlineLevel="3">
      <c r="A198" s="376"/>
      <c r="B198" s="376" t="s">
        <v>1517</v>
      </c>
      <c r="C198" s="387" t="s">
        <v>121</v>
      </c>
      <c r="D198" s="376" t="s">
        <v>175</v>
      </c>
      <c r="E198" s="376" t="s">
        <v>28</v>
      </c>
      <c r="F198" s="608" t="s">
        <v>1527</v>
      </c>
      <c r="G198" s="609">
        <v>0.24320523867600002</v>
      </c>
      <c r="H198" s="692">
        <v>1</v>
      </c>
      <c r="I198" s="626"/>
      <c r="J198" s="751"/>
      <c r="K198" s="416"/>
      <c r="L198" s="376" t="s">
        <v>28</v>
      </c>
      <c r="M198" s="376" t="s">
        <v>1504</v>
      </c>
      <c r="N198" s="376" t="s">
        <v>1514</v>
      </c>
      <c r="O198" s="376"/>
      <c r="P198" s="376"/>
      <c r="Q198" s="376"/>
      <c r="R198" s="376"/>
      <c r="S198" s="416"/>
      <c r="T198" s="751"/>
      <c r="U198" s="416"/>
      <c r="V198" s="609">
        <f>IF(W198=1,G198,0)</f>
        <v>0</v>
      </c>
      <c r="W198" s="692"/>
    </row>
    <row r="199" spans="1:23" outlineLevel="3">
      <c r="A199" s="376"/>
      <c r="B199" s="376" t="s">
        <v>1517</v>
      </c>
      <c r="C199" s="387" t="s">
        <v>121</v>
      </c>
      <c r="D199" s="376" t="s">
        <v>175</v>
      </c>
      <c r="E199" s="376" t="s">
        <v>28</v>
      </c>
      <c r="F199" s="608" t="s">
        <v>1525</v>
      </c>
      <c r="G199" s="609">
        <v>7.2961571602800007E-2</v>
      </c>
      <c r="H199" s="692">
        <v>1</v>
      </c>
      <c r="I199" s="626"/>
      <c r="J199" s="751"/>
      <c r="K199" s="416"/>
      <c r="L199" s="376" t="s">
        <v>28</v>
      </c>
      <c r="M199" s="376" t="s">
        <v>1504</v>
      </c>
      <c r="N199" s="376" t="s">
        <v>1514</v>
      </c>
      <c r="O199" s="376"/>
      <c r="P199" s="376"/>
      <c r="Q199" s="376"/>
      <c r="R199" s="376"/>
      <c r="S199" s="416"/>
      <c r="T199" s="751"/>
      <c r="U199" s="416"/>
      <c r="V199" s="609">
        <f>IF(W199=1,G199,0)</f>
        <v>0</v>
      </c>
      <c r="W199" s="692"/>
    </row>
    <row r="200" spans="1:23" outlineLevel="3">
      <c r="A200" s="376"/>
      <c r="B200" s="376" t="s">
        <v>1517</v>
      </c>
      <c r="C200" s="387" t="s">
        <v>121</v>
      </c>
      <c r="D200" s="376" t="s">
        <v>175</v>
      </c>
      <c r="E200" s="376" t="s">
        <v>28</v>
      </c>
      <c r="F200" s="608" t="s">
        <v>1629</v>
      </c>
      <c r="G200" s="609">
        <v>7.0000000000000007E-2</v>
      </c>
      <c r="H200" s="692">
        <v>1</v>
      </c>
      <c r="I200" s="626"/>
      <c r="J200" s="751"/>
      <c r="K200" s="416"/>
      <c r="L200" s="376" t="s">
        <v>28</v>
      </c>
      <c r="M200" s="376" t="s">
        <v>1504</v>
      </c>
      <c r="N200" s="376" t="s">
        <v>1514</v>
      </c>
      <c r="O200" s="376"/>
      <c r="P200" s="376"/>
      <c r="Q200" s="376"/>
      <c r="R200" s="376"/>
      <c r="S200" s="416"/>
      <c r="T200" s="751"/>
      <c r="U200" s="416"/>
      <c r="V200" s="609">
        <f>IF(W200=1,G200,0)</f>
        <v>0</v>
      </c>
      <c r="W200" s="692"/>
    </row>
    <row r="201" spans="1:23" ht="26.4" outlineLevel="2">
      <c r="A201" s="376"/>
      <c r="B201" s="684" t="s">
        <v>1517</v>
      </c>
      <c r="C201" s="687" t="s">
        <v>121</v>
      </c>
      <c r="D201" s="684" t="s">
        <v>27</v>
      </c>
      <c r="E201" s="684"/>
      <c r="F201" s="685" t="s">
        <v>1628</v>
      </c>
      <c r="G201" s="686">
        <f>SUBTOTAL(9,G202:G206)</f>
        <v>8.7589899547485806E-2</v>
      </c>
      <c r="H201" s="691">
        <f>SUBTOTAL(9,H202:H206)</f>
        <v>5</v>
      </c>
      <c r="I201" s="626"/>
      <c r="J201" s="751"/>
      <c r="K201" s="416"/>
      <c r="L201" s="684"/>
      <c r="M201" s="684"/>
      <c r="N201" s="684"/>
      <c r="O201" s="684"/>
      <c r="P201" s="684"/>
      <c r="Q201" s="684"/>
      <c r="R201" s="684"/>
      <c r="S201" s="416"/>
      <c r="T201" s="751"/>
      <c r="U201" s="416"/>
      <c r="V201" s="686">
        <f>SUBTOTAL(9,V202:V205)</f>
        <v>0</v>
      </c>
      <c r="W201" s="691">
        <f>SUBTOTAL(9,W202:W205)</f>
        <v>0</v>
      </c>
    </row>
    <row r="202" spans="1:23" outlineLevel="3">
      <c r="A202" s="376"/>
      <c r="B202" s="376" t="s">
        <v>1517</v>
      </c>
      <c r="C202" s="387" t="s">
        <v>121</v>
      </c>
      <c r="D202" s="376" t="s">
        <v>27</v>
      </c>
      <c r="E202" s="376" t="s">
        <v>28</v>
      </c>
      <c r="F202" s="608" t="s">
        <v>1519</v>
      </c>
      <c r="G202" s="609">
        <v>1.5844354138065817E-2</v>
      </c>
      <c r="H202" s="692">
        <v>1</v>
      </c>
      <c r="I202" s="626"/>
      <c r="J202" s="751"/>
      <c r="K202" s="416"/>
      <c r="L202" s="376" t="s">
        <v>28</v>
      </c>
      <c r="M202" s="376" t="s">
        <v>1208</v>
      </c>
      <c r="N202" s="376" t="s">
        <v>1516</v>
      </c>
      <c r="O202" s="376"/>
      <c r="P202" s="376"/>
      <c r="Q202" s="376"/>
      <c r="R202" s="376"/>
      <c r="S202" s="416"/>
      <c r="T202" s="751"/>
      <c r="U202" s="416"/>
      <c r="V202" s="609">
        <f>IF(W202=1,G202,0)</f>
        <v>0</v>
      </c>
      <c r="W202" s="692"/>
    </row>
    <row r="203" spans="1:23" outlineLevel="3">
      <c r="A203" s="376"/>
      <c r="B203" s="376" t="s">
        <v>1517</v>
      </c>
      <c r="C203" s="387" t="s">
        <v>121</v>
      </c>
      <c r="D203" s="376" t="s">
        <v>27</v>
      </c>
      <c r="E203" s="376" t="s">
        <v>28</v>
      </c>
      <c r="F203" s="608" t="s">
        <v>1527</v>
      </c>
      <c r="G203" s="609">
        <v>1.4349109081883998E-2</v>
      </c>
      <c r="H203" s="692">
        <v>1</v>
      </c>
      <c r="I203" s="626"/>
      <c r="J203" s="751"/>
      <c r="K203" s="416"/>
      <c r="L203" s="376" t="s">
        <v>28</v>
      </c>
      <c r="M203" s="376" t="s">
        <v>1208</v>
      </c>
      <c r="N203" s="376" t="s">
        <v>1516</v>
      </c>
      <c r="O203" s="376"/>
      <c r="P203" s="376"/>
      <c r="Q203" s="376"/>
      <c r="R203" s="376"/>
      <c r="S203" s="416"/>
      <c r="T203" s="751"/>
      <c r="U203" s="416"/>
      <c r="V203" s="609">
        <f>IF(W203=1,G203,0)</f>
        <v>0</v>
      </c>
      <c r="W203" s="692"/>
    </row>
    <row r="204" spans="1:23" outlineLevel="3">
      <c r="A204" s="376"/>
      <c r="B204" s="376" t="s">
        <v>1517</v>
      </c>
      <c r="C204" s="387" t="s">
        <v>121</v>
      </c>
      <c r="D204" s="376" t="s">
        <v>27</v>
      </c>
      <c r="E204" s="376" t="s">
        <v>28</v>
      </c>
      <c r="F204" s="608" t="s">
        <v>1528</v>
      </c>
      <c r="G204" s="609">
        <v>2.8698218163767997E-2</v>
      </c>
      <c r="H204" s="692">
        <v>1</v>
      </c>
      <c r="I204" s="626"/>
      <c r="J204" s="751"/>
      <c r="K204" s="416"/>
      <c r="L204" s="376" t="s">
        <v>28</v>
      </c>
      <c r="M204" s="376" t="s">
        <v>1208</v>
      </c>
      <c r="N204" s="376" t="s">
        <v>1516</v>
      </c>
      <c r="O204" s="376"/>
      <c r="P204" s="376"/>
      <c r="Q204" s="376"/>
      <c r="R204" s="376"/>
      <c r="S204" s="416"/>
      <c r="T204" s="751"/>
      <c r="U204" s="416"/>
      <c r="V204" s="609">
        <f>IF(W204=1,G204,0)</f>
        <v>0</v>
      </c>
      <c r="W204" s="692"/>
    </row>
    <row r="205" spans="1:23" outlineLevel="3">
      <c r="A205" s="376"/>
      <c r="B205" s="376" t="s">
        <v>1517</v>
      </c>
      <c r="C205" s="387" t="s">
        <v>121</v>
      </c>
      <c r="D205" s="376" t="s">
        <v>27</v>
      </c>
      <c r="E205" s="376" t="s">
        <v>28</v>
      </c>
      <c r="F205" s="608" t="s">
        <v>1525</v>
      </c>
      <c r="G205" s="609">
        <v>1.4349109081883998E-2</v>
      </c>
      <c r="H205" s="692">
        <v>1</v>
      </c>
      <c r="I205" s="626"/>
      <c r="J205" s="751"/>
      <c r="K205" s="416"/>
      <c r="L205" s="376" t="s">
        <v>28</v>
      </c>
      <c r="M205" s="376" t="s">
        <v>1208</v>
      </c>
      <c r="N205" s="376" t="s">
        <v>1516</v>
      </c>
      <c r="O205" s="376"/>
      <c r="P205" s="376"/>
      <c r="Q205" s="376"/>
      <c r="R205" s="376"/>
      <c r="S205" s="416"/>
      <c r="T205" s="751"/>
      <c r="U205" s="416"/>
      <c r="V205" s="609">
        <f>IF(W205=1,G205,0)</f>
        <v>0</v>
      </c>
      <c r="W205" s="692"/>
    </row>
    <row r="206" spans="1:23" outlineLevel="3">
      <c r="A206" s="376"/>
      <c r="B206" s="376" t="s">
        <v>1517</v>
      </c>
      <c r="C206" s="387" t="s">
        <v>121</v>
      </c>
      <c r="D206" s="376" t="s">
        <v>27</v>
      </c>
      <c r="E206" s="376" t="s">
        <v>28</v>
      </c>
      <c r="F206" s="608" t="s">
        <v>1629</v>
      </c>
      <c r="G206" s="609">
        <v>1.4349109081883998E-2</v>
      </c>
      <c r="H206" s="692">
        <v>1</v>
      </c>
      <c r="I206" s="626"/>
      <c r="J206" s="751"/>
      <c r="K206" s="416"/>
      <c r="L206" s="376" t="s">
        <v>28</v>
      </c>
      <c r="M206" s="376" t="s">
        <v>1208</v>
      </c>
      <c r="N206" s="376"/>
      <c r="O206" s="376"/>
      <c r="P206" s="376"/>
      <c r="Q206" s="376"/>
      <c r="R206" s="376"/>
      <c r="S206" s="416"/>
      <c r="T206" s="751"/>
      <c r="U206" s="416"/>
      <c r="V206" s="609">
        <f>IF(W206=1,G206,0)</f>
        <v>0</v>
      </c>
      <c r="W206" s="692"/>
    </row>
    <row r="207" spans="1:23" ht="26.4" outlineLevel="2">
      <c r="A207" s="376"/>
      <c r="B207" s="684" t="s">
        <v>1517</v>
      </c>
      <c r="C207" s="687" t="s">
        <v>121</v>
      </c>
      <c r="D207" s="684" t="s">
        <v>58</v>
      </c>
      <c r="E207" s="684"/>
      <c r="F207" s="685" t="s">
        <v>1628</v>
      </c>
      <c r="G207" s="686">
        <f>SUBTOTAL(9,G208:G214)</f>
        <v>5.7016733640155991E-2</v>
      </c>
      <c r="H207" s="691">
        <f>SUBTOTAL(9,H208:H214)</f>
        <v>7</v>
      </c>
      <c r="I207" s="626"/>
      <c r="J207" s="751"/>
      <c r="K207" s="416"/>
      <c r="L207" s="684"/>
      <c r="M207" s="684"/>
      <c r="N207" s="684"/>
      <c r="O207" s="684"/>
      <c r="P207" s="684"/>
      <c r="Q207" s="684"/>
      <c r="R207" s="684"/>
      <c r="S207" s="416"/>
      <c r="T207" s="751"/>
      <c r="U207" s="416"/>
      <c r="V207" s="686">
        <f>SUBTOTAL(9,V208:V212)</f>
        <v>0</v>
      </c>
      <c r="W207" s="691">
        <f>SUBTOTAL(9,W208:W212)</f>
        <v>0</v>
      </c>
    </row>
    <row r="208" spans="1:23" outlineLevel="4">
      <c r="A208" s="376"/>
      <c r="B208" s="376" t="s">
        <v>1517</v>
      </c>
      <c r="C208" s="387" t="s">
        <v>121</v>
      </c>
      <c r="D208" s="376" t="s">
        <v>58</v>
      </c>
      <c r="E208" s="376" t="s">
        <v>28</v>
      </c>
      <c r="F208" s="608" t="s">
        <v>1519</v>
      </c>
      <c r="G208" s="609">
        <v>8.8620963823079994E-3</v>
      </c>
      <c r="H208" s="692">
        <v>1</v>
      </c>
      <c r="I208" s="626"/>
      <c r="J208" s="751"/>
      <c r="K208" s="416"/>
      <c r="L208" s="376" t="s">
        <v>28</v>
      </c>
      <c r="M208" s="376" t="s">
        <v>1236</v>
      </c>
      <c r="N208" s="376" t="s">
        <v>1529</v>
      </c>
      <c r="O208" s="376"/>
      <c r="P208" s="376"/>
      <c r="Q208" s="376"/>
      <c r="R208" s="376"/>
      <c r="S208" s="416"/>
      <c r="T208" s="751"/>
      <c r="U208" s="416"/>
      <c r="V208" s="609">
        <f t="shared" ref="V208:V214" si="2">IF(W208=1,G208,0)</f>
        <v>0</v>
      </c>
      <c r="W208" s="692"/>
    </row>
    <row r="209" spans="1:23" outlineLevel="4">
      <c r="A209" s="376"/>
      <c r="B209" s="376" t="s">
        <v>1517</v>
      </c>
      <c r="C209" s="387" t="s">
        <v>121</v>
      </c>
      <c r="D209" s="376" t="s">
        <v>58</v>
      </c>
      <c r="E209" s="376" t="s">
        <v>28</v>
      </c>
      <c r="F209" s="608" t="s">
        <v>1521</v>
      </c>
      <c r="G209" s="609">
        <v>8.0257728763079988E-3</v>
      </c>
      <c r="H209" s="692">
        <v>1</v>
      </c>
      <c r="I209" s="626"/>
      <c r="J209" s="751"/>
      <c r="K209" s="416"/>
      <c r="L209" s="376" t="s">
        <v>28</v>
      </c>
      <c r="M209" s="376" t="s">
        <v>1236</v>
      </c>
      <c r="N209" s="376" t="s">
        <v>1529</v>
      </c>
      <c r="O209" s="376"/>
      <c r="P209" s="376"/>
      <c r="Q209" s="376"/>
      <c r="R209" s="376"/>
      <c r="S209" s="416"/>
      <c r="T209" s="751"/>
      <c r="U209" s="416"/>
      <c r="V209" s="609">
        <f t="shared" si="2"/>
        <v>0</v>
      </c>
      <c r="W209" s="692"/>
    </row>
    <row r="210" spans="1:23" outlineLevel="4">
      <c r="A210" s="376"/>
      <c r="B210" s="376" t="s">
        <v>1517</v>
      </c>
      <c r="C210" s="387" t="s">
        <v>121</v>
      </c>
      <c r="D210" s="376" t="s">
        <v>58</v>
      </c>
      <c r="E210" s="376" t="s">
        <v>28</v>
      </c>
      <c r="F210" s="608" t="s">
        <v>1527</v>
      </c>
      <c r="G210" s="609">
        <v>8.0257728763080006E-3</v>
      </c>
      <c r="H210" s="692">
        <v>1</v>
      </c>
      <c r="I210" s="626"/>
      <c r="J210" s="751"/>
      <c r="K210" s="416"/>
      <c r="L210" s="376" t="s">
        <v>28</v>
      </c>
      <c r="M210" s="376" t="s">
        <v>1236</v>
      </c>
      <c r="N210" s="376" t="s">
        <v>1529</v>
      </c>
      <c r="O210" s="376"/>
      <c r="P210" s="376"/>
      <c r="Q210" s="376"/>
      <c r="R210" s="376"/>
      <c r="S210" s="416"/>
      <c r="T210" s="751"/>
      <c r="U210" s="416"/>
      <c r="V210" s="609">
        <f t="shared" si="2"/>
        <v>0</v>
      </c>
      <c r="W210" s="692"/>
    </row>
    <row r="211" spans="1:23" outlineLevel="4">
      <c r="A211" s="376"/>
      <c r="B211" s="376" t="s">
        <v>1517</v>
      </c>
      <c r="C211" s="387" t="s">
        <v>121</v>
      </c>
      <c r="D211" s="376" t="s">
        <v>58</v>
      </c>
      <c r="E211" s="376" t="s">
        <v>28</v>
      </c>
      <c r="F211" s="608" t="s">
        <v>1528</v>
      </c>
      <c r="G211" s="609">
        <v>8.0257728763079988E-3</v>
      </c>
      <c r="H211" s="692">
        <v>1</v>
      </c>
      <c r="I211" s="626"/>
      <c r="J211" s="751"/>
      <c r="K211" s="416"/>
      <c r="L211" s="376" t="s">
        <v>28</v>
      </c>
      <c r="M211" s="376" t="s">
        <v>1236</v>
      </c>
      <c r="N211" s="376" t="s">
        <v>1529</v>
      </c>
      <c r="O211" s="376"/>
      <c r="P211" s="376"/>
      <c r="Q211" s="376"/>
      <c r="R211" s="376"/>
      <c r="S211" s="416"/>
      <c r="T211" s="751"/>
      <c r="U211" s="416"/>
      <c r="V211" s="609">
        <f t="shared" si="2"/>
        <v>0</v>
      </c>
      <c r="W211" s="692"/>
    </row>
    <row r="212" spans="1:23" outlineLevel="4">
      <c r="A212" s="376"/>
      <c r="B212" s="376" t="s">
        <v>1517</v>
      </c>
      <c r="C212" s="387" t="s">
        <v>121</v>
      </c>
      <c r="D212" s="376" t="s">
        <v>58</v>
      </c>
      <c r="E212" s="376" t="s">
        <v>28</v>
      </c>
      <c r="F212" s="608" t="s">
        <v>1530</v>
      </c>
      <c r="G212" s="609">
        <v>8.0257728763079988E-3</v>
      </c>
      <c r="H212" s="692">
        <v>1</v>
      </c>
      <c r="I212" s="626"/>
      <c r="J212" s="751"/>
      <c r="K212" s="416"/>
      <c r="L212" s="376" t="s">
        <v>28</v>
      </c>
      <c r="M212" s="376" t="s">
        <v>1236</v>
      </c>
      <c r="N212" s="376" t="s">
        <v>1529</v>
      </c>
      <c r="O212" s="376"/>
      <c r="P212" s="376"/>
      <c r="Q212" s="376"/>
      <c r="R212" s="376"/>
      <c r="S212" s="416"/>
      <c r="T212" s="751"/>
      <c r="U212" s="416"/>
      <c r="V212" s="609">
        <f t="shared" si="2"/>
        <v>0</v>
      </c>
      <c r="W212" s="692"/>
    </row>
    <row r="213" spans="1:23" outlineLevel="3">
      <c r="A213" s="376"/>
      <c r="B213" s="376" t="s">
        <v>1517</v>
      </c>
      <c r="C213" s="387" t="s">
        <v>121</v>
      </c>
      <c r="D213" s="376" t="s">
        <v>58</v>
      </c>
      <c r="E213" s="376" t="s">
        <v>28</v>
      </c>
      <c r="F213" s="608" t="s">
        <v>1629</v>
      </c>
      <c r="G213" s="609">
        <v>8.0257728763080006E-3</v>
      </c>
      <c r="H213" s="692">
        <v>1</v>
      </c>
      <c r="I213" s="626"/>
      <c r="J213" s="751"/>
      <c r="K213" s="416"/>
      <c r="L213" s="376" t="s">
        <v>28</v>
      </c>
      <c r="M213" s="376" t="s">
        <v>1236</v>
      </c>
      <c r="N213" s="376"/>
      <c r="O213" s="376"/>
      <c r="P213" s="376"/>
      <c r="Q213" s="376"/>
      <c r="R213" s="376"/>
      <c r="S213" s="416"/>
      <c r="T213" s="751"/>
      <c r="U213" s="416"/>
      <c r="V213" s="609">
        <f t="shared" si="2"/>
        <v>0</v>
      </c>
      <c r="W213" s="692"/>
    </row>
    <row r="214" spans="1:23" outlineLevel="3">
      <c r="A214" s="376"/>
      <c r="B214" s="376" t="s">
        <v>1517</v>
      </c>
      <c r="C214" s="387" t="s">
        <v>121</v>
      </c>
      <c r="D214" s="376" t="s">
        <v>58</v>
      </c>
      <c r="E214" s="376" t="s">
        <v>28</v>
      </c>
      <c r="F214" s="608" t="s">
        <v>1525</v>
      </c>
      <c r="G214" s="609">
        <v>8.0257728763080006E-3</v>
      </c>
      <c r="H214" s="692">
        <v>1</v>
      </c>
      <c r="I214" s="626"/>
      <c r="J214" s="751"/>
      <c r="K214" s="416"/>
      <c r="L214" s="376" t="s">
        <v>28</v>
      </c>
      <c r="M214" s="376" t="s">
        <v>1236</v>
      </c>
      <c r="N214" s="376" t="s">
        <v>1514</v>
      </c>
      <c r="O214" s="376"/>
      <c r="P214" s="376"/>
      <c r="Q214" s="376"/>
      <c r="R214" s="376"/>
      <c r="S214" s="416"/>
      <c r="T214" s="751"/>
      <c r="U214" s="416"/>
      <c r="V214" s="609">
        <f t="shared" si="2"/>
        <v>0</v>
      </c>
      <c r="W214" s="692"/>
    </row>
    <row r="215" spans="1:23" outlineLevel="1">
      <c r="A215" s="376"/>
      <c r="B215" s="666" t="s">
        <v>1531</v>
      </c>
      <c r="C215" s="666" t="s">
        <v>70</v>
      </c>
      <c r="D215" s="667" t="s">
        <v>12</v>
      </c>
      <c r="E215" s="665"/>
      <c r="F215" s="681" t="s">
        <v>262</v>
      </c>
      <c r="G215" s="708">
        <f>SUBTOTAL(9,G216:G222)</f>
        <v>0.54681723246149994</v>
      </c>
      <c r="H215" s="709">
        <f>SUBTOTAL(9,H216:H222)</f>
        <v>4</v>
      </c>
      <c r="I215" s="626"/>
      <c r="J215" s="751"/>
      <c r="K215" s="416"/>
      <c r="L215" s="665"/>
      <c r="M215" s="665"/>
      <c r="N215" s="665"/>
      <c r="O215" s="665"/>
      <c r="P215" s="665"/>
      <c r="Q215" s="665"/>
      <c r="R215" s="665"/>
      <c r="S215" s="416"/>
      <c r="T215" s="751"/>
      <c r="U215" s="416"/>
      <c r="V215" s="708">
        <f>SUBTOTAL(9,V216:V222)</f>
        <v>0</v>
      </c>
      <c r="W215" s="709">
        <f>SUBTOTAL(9,W216:W222)</f>
        <v>0</v>
      </c>
    </row>
    <row r="216" spans="1:23" outlineLevel="2">
      <c r="A216" s="376"/>
      <c r="B216" s="684" t="s">
        <v>1531</v>
      </c>
      <c r="C216" s="687" t="s">
        <v>70</v>
      </c>
      <c r="D216" s="684" t="s">
        <v>175</v>
      </c>
      <c r="E216" s="684"/>
      <c r="F216" s="685" t="s">
        <v>1532</v>
      </c>
      <c r="G216" s="686">
        <f>SUBTOTAL(9,G217:G218)</f>
        <v>0.50475436842599997</v>
      </c>
      <c r="H216" s="691">
        <f>SUBTOTAL(9,H217:H218)</f>
        <v>2</v>
      </c>
      <c r="I216" s="626"/>
      <c r="J216" s="751"/>
      <c r="K216" s="416"/>
      <c r="L216" s="684"/>
      <c r="M216" s="684"/>
      <c r="N216" s="684"/>
      <c r="O216" s="684"/>
      <c r="P216" s="684"/>
      <c r="Q216" s="684"/>
      <c r="R216" s="684"/>
      <c r="S216" s="416"/>
      <c r="T216" s="751"/>
      <c r="U216" s="416"/>
      <c r="V216" s="686">
        <f>SUBTOTAL(9,V217:V218)</f>
        <v>0</v>
      </c>
      <c r="W216" s="691">
        <f>SUBTOTAL(9,W217:W218)</f>
        <v>0</v>
      </c>
    </row>
    <row r="217" spans="1:23" outlineLevel="3">
      <c r="A217" s="376"/>
      <c r="B217" s="376" t="s">
        <v>1531</v>
      </c>
      <c r="C217" s="387" t="s">
        <v>70</v>
      </c>
      <c r="D217" s="376" t="s">
        <v>175</v>
      </c>
      <c r="E217" s="376" t="s">
        <v>28</v>
      </c>
      <c r="F217" s="608" t="s">
        <v>418</v>
      </c>
      <c r="G217" s="609">
        <v>0.16825145614199999</v>
      </c>
      <c r="H217" s="692">
        <v>1</v>
      </c>
      <c r="I217" s="626"/>
      <c r="J217" s="751"/>
      <c r="K217" s="416"/>
      <c r="L217" s="376" t="s">
        <v>28</v>
      </c>
      <c r="M217" s="376" t="s">
        <v>1504</v>
      </c>
      <c r="N217" s="376" t="s">
        <v>1514</v>
      </c>
      <c r="O217" s="376"/>
      <c r="P217" s="376"/>
      <c r="Q217" s="376"/>
      <c r="R217" s="376"/>
      <c r="S217" s="416"/>
      <c r="T217" s="751"/>
      <c r="U217" s="416"/>
      <c r="V217" s="609">
        <f>IF(W217=1,G217,0)</f>
        <v>0</v>
      </c>
      <c r="W217" s="692"/>
    </row>
    <row r="218" spans="1:23" outlineLevel="3">
      <c r="A218" s="376"/>
      <c r="B218" s="376" t="s">
        <v>1531</v>
      </c>
      <c r="C218" s="387" t="s">
        <v>70</v>
      </c>
      <c r="D218" s="376" t="s">
        <v>175</v>
      </c>
      <c r="E218" s="376" t="s">
        <v>28</v>
      </c>
      <c r="F218" s="608" t="s">
        <v>236</v>
      </c>
      <c r="G218" s="609">
        <v>0.33650291228399998</v>
      </c>
      <c r="H218" s="692">
        <v>1</v>
      </c>
      <c r="I218" s="626"/>
      <c r="J218" s="751"/>
      <c r="K218" s="416"/>
      <c r="L218" s="376" t="s">
        <v>28</v>
      </c>
      <c r="M218" s="376" t="s">
        <v>1504</v>
      </c>
      <c r="N218" s="376" t="s">
        <v>1514</v>
      </c>
      <c r="O218" s="376"/>
      <c r="P218" s="376"/>
      <c r="Q218" s="376"/>
      <c r="R218" s="376"/>
      <c r="S218" s="416"/>
      <c r="T218" s="751"/>
      <c r="U218" s="416"/>
      <c r="V218" s="609">
        <f>IF(W218=1,G218,0)</f>
        <v>0</v>
      </c>
      <c r="W218" s="692"/>
    </row>
    <row r="219" spans="1:23" outlineLevel="2">
      <c r="A219" s="376"/>
      <c r="B219" s="684" t="s">
        <v>1531</v>
      </c>
      <c r="C219" s="687" t="s">
        <v>70</v>
      </c>
      <c r="D219" s="684" t="s">
        <v>27</v>
      </c>
      <c r="E219" s="684"/>
      <c r="F219" s="685" t="s">
        <v>1532</v>
      </c>
      <c r="G219" s="686">
        <f>SUBTOTAL(9,G220)</f>
        <v>1.9853671824755996E-2</v>
      </c>
      <c r="H219" s="691">
        <f>SUBTOTAL(9,H220)</f>
        <v>1</v>
      </c>
      <c r="I219" s="626"/>
      <c r="J219" s="751"/>
      <c r="K219" s="416"/>
      <c r="L219" s="684"/>
      <c r="M219" s="684"/>
      <c r="N219" s="684"/>
      <c r="O219" s="684"/>
      <c r="P219" s="684"/>
      <c r="Q219" s="684"/>
      <c r="R219" s="684"/>
      <c r="S219" s="416"/>
      <c r="T219" s="751"/>
      <c r="U219" s="416"/>
      <c r="V219" s="686">
        <f>SUBTOTAL(9,V220)</f>
        <v>0</v>
      </c>
      <c r="W219" s="691">
        <f>SUBTOTAL(9,W220)</f>
        <v>0</v>
      </c>
    </row>
    <row r="220" spans="1:23" outlineLevel="3">
      <c r="A220" s="376"/>
      <c r="B220" s="376" t="s">
        <v>1531</v>
      </c>
      <c r="C220" s="387" t="s">
        <v>70</v>
      </c>
      <c r="D220" s="376" t="s">
        <v>27</v>
      </c>
      <c r="E220" s="376" t="s">
        <v>28</v>
      </c>
      <c r="F220" s="608" t="s">
        <v>236</v>
      </c>
      <c r="G220" s="609">
        <v>1.9853671824755996E-2</v>
      </c>
      <c r="H220" s="692">
        <v>1</v>
      </c>
      <c r="I220" s="626"/>
      <c r="J220" s="751"/>
      <c r="K220" s="416"/>
      <c r="L220" s="376" t="s">
        <v>28</v>
      </c>
      <c r="M220" s="376"/>
      <c r="N220" s="376"/>
      <c r="O220" s="376"/>
      <c r="P220" s="376"/>
      <c r="Q220" s="376"/>
      <c r="R220" s="376"/>
      <c r="S220" s="416"/>
      <c r="T220" s="751"/>
      <c r="U220" s="416"/>
      <c r="V220" s="609">
        <f>IF(W220=1,G220,0)</f>
        <v>0</v>
      </c>
      <c r="W220" s="692"/>
    </row>
    <row r="221" spans="1:23" outlineLevel="2">
      <c r="A221" s="376"/>
      <c r="B221" s="684" t="s">
        <v>1531</v>
      </c>
      <c r="C221" s="687" t="s">
        <v>70</v>
      </c>
      <c r="D221" s="684" t="s">
        <v>58</v>
      </c>
      <c r="E221" s="684"/>
      <c r="F221" s="685" t="s">
        <v>1532</v>
      </c>
      <c r="G221" s="686">
        <f>SUBTOTAL(9,G222)</f>
        <v>2.2209192210743994E-2</v>
      </c>
      <c r="H221" s="691">
        <f>SUBTOTAL(9,H222)</f>
        <v>1</v>
      </c>
      <c r="I221" s="626"/>
      <c r="J221" s="751"/>
      <c r="K221" s="416"/>
      <c r="L221" s="684"/>
      <c r="M221" s="684"/>
      <c r="N221" s="684"/>
      <c r="O221" s="684"/>
      <c r="P221" s="684"/>
      <c r="Q221" s="684"/>
      <c r="R221" s="684"/>
      <c r="S221" s="416"/>
      <c r="T221" s="751"/>
      <c r="U221" s="416"/>
      <c r="V221" s="686">
        <f>SUBTOTAL(9,V222)</f>
        <v>0</v>
      </c>
      <c r="W221" s="691">
        <f>SUBTOTAL(9,W222)</f>
        <v>0</v>
      </c>
    </row>
    <row r="222" spans="1:23" outlineLevel="4">
      <c r="A222" s="376"/>
      <c r="B222" s="376" t="s">
        <v>1531</v>
      </c>
      <c r="C222" s="387" t="s">
        <v>70</v>
      </c>
      <c r="D222" s="376" t="s">
        <v>58</v>
      </c>
      <c r="E222" s="376" t="s">
        <v>28</v>
      </c>
      <c r="F222" s="608" t="s">
        <v>236</v>
      </c>
      <c r="G222" s="609">
        <v>2.2209192210743994E-2</v>
      </c>
      <c r="H222" s="692">
        <v>1</v>
      </c>
      <c r="I222" s="626"/>
      <c r="J222" s="751"/>
      <c r="K222" s="416"/>
      <c r="L222" s="376" t="s">
        <v>28</v>
      </c>
      <c r="M222" s="376"/>
      <c r="N222" s="376"/>
      <c r="O222" s="376"/>
      <c r="P222" s="376"/>
      <c r="Q222" s="376"/>
      <c r="R222" s="376"/>
      <c r="S222" s="416"/>
      <c r="T222" s="751"/>
      <c r="U222" s="416"/>
      <c r="V222" s="609">
        <f>IF(W222=1,G222,0)</f>
        <v>0</v>
      </c>
      <c r="W222" s="692"/>
    </row>
    <row r="223" spans="1:23" outlineLevel="1">
      <c r="A223" s="376"/>
      <c r="B223" s="665" t="s">
        <v>351</v>
      </c>
      <c r="C223" s="665" t="s">
        <v>351</v>
      </c>
      <c r="D223" s="665"/>
      <c r="E223" s="665"/>
      <c r="F223" s="681" t="s">
        <v>262</v>
      </c>
      <c r="G223" s="708">
        <f>SUBTOTAL(9,G224:G233)</f>
        <v>0</v>
      </c>
      <c r="H223" s="709">
        <f>SUBTOTAL(9,H224:H233)</f>
        <v>7</v>
      </c>
      <c r="I223" s="626"/>
      <c r="J223" s="751"/>
      <c r="K223" s="416"/>
      <c r="L223" s="665"/>
      <c r="M223" s="665"/>
      <c r="N223" s="665"/>
      <c r="O223" s="665"/>
      <c r="P223" s="665"/>
      <c r="Q223" s="665"/>
      <c r="R223" s="665"/>
      <c r="S223" s="416"/>
      <c r="T223" s="751"/>
      <c r="U223" s="416"/>
      <c r="V223" s="708">
        <f>SUBTOTAL(9,V224:V233)</f>
        <v>0</v>
      </c>
      <c r="W223" s="709">
        <f>SUBTOTAL(9,W224:W233)</f>
        <v>0</v>
      </c>
    </row>
    <row r="224" spans="1:23" outlineLevel="2">
      <c r="A224" s="376"/>
      <c r="B224" s="684" t="s">
        <v>351</v>
      </c>
      <c r="C224" s="684" t="s">
        <v>351</v>
      </c>
      <c r="D224" s="684" t="s">
        <v>175</v>
      </c>
      <c r="E224" s="684"/>
      <c r="F224" s="685" t="s">
        <v>352</v>
      </c>
      <c r="G224" s="686">
        <f>SUBTOTAL(9,G225:G227)</f>
        <v>0</v>
      </c>
      <c r="H224" s="691">
        <f>SUBTOTAL(9,H225:H227)</f>
        <v>3</v>
      </c>
      <c r="I224" s="626"/>
      <c r="J224" s="751"/>
      <c r="K224" s="416"/>
      <c r="L224" s="684"/>
      <c r="M224" s="684"/>
      <c r="N224" s="684"/>
      <c r="O224" s="684"/>
      <c r="P224" s="684"/>
      <c r="Q224" s="684"/>
      <c r="R224" s="684"/>
      <c r="S224" s="416"/>
      <c r="T224" s="751"/>
      <c r="U224" s="416"/>
      <c r="V224" s="686">
        <f>SUBTOTAL(9,V225:V227)</f>
        <v>0</v>
      </c>
      <c r="W224" s="691">
        <f>SUBTOTAL(9,W225:W227)</f>
        <v>0</v>
      </c>
    </row>
    <row r="225" spans="1:23" outlineLevel="3">
      <c r="A225" s="376"/>
      <c r="B225" s="376" t="s">
        <v>351</v>
      </c>
      <c r="C225" s="376" t="s">
        <v>351</v>
      </c>
      <c r="D225" s="376" t="s">
        <v>175</v>
      </c>
      <c r="E225" s="376" t="s">
        <v>28</v>
      </c>
      <c r="F225" s="608" t="s">
        <v>418</v>
      </c>
      <c r="G225" s="609"/>
      <c r="H225" s="692">
        <v>1</v>
      </c>
      <c r="I225" s="626"/>
      <c r="J225" s="751"/>
      <c r="K225" s="416"/>
      <c r="L225" s="376" t="s">
        <v>28</v>
      </c>
      <c r="M225" s="376" t="s">
        <v>1504</v>
      </c>
      <c r="N225" s="376" t="s">
        <v>1514</v>
      </c>
      <c r="O225" s="376"/>
      <c r="P225" s="376"/>
      <c r="Q225" s="376"/>
      <c r="R225" s="376"/>
      <c r="S225" s="416"/>
      <c r="T225" s="751"/>
      <c r="U225" s="416"/>
      <c r="V225" s="609"/>
      <c r="W225" s="692"/>
    </row>
    <row r="226" spans="1:23" outlineLevel="3">
      <c r="A226" s="376"/>
      <c r="B226" s="376" t="s">
        <v>351</v>
      </c>
      <c r="C226" s="376" t="s">
        <v>351</v>
      </c>
      <c r="D226" s="376" t="s">
        <v>175</v>
      </c>
      <c r="E226" s="376" t="s">
        <v>28</v>
      </c>
      <c r="F226" s="608" t="s">
        <v>236</v>
      </c>
      <c r="G226" s="609"/>
      <c r="H226" s="692">
        <v>1</v>
      </c>
      <c r="I226" s="626"/>
      <c r="J226" s="751"/>
      <c r="K226" s="416"/>
      <c r="L226" s="376" t="s">
        <v>28</v>
      </c>
      <c r="M226" s="376" t="s">
        <v>1504</v>
      </c>
      <c r="N226" s="376" t="s">
        <v>1514</v>
      </c>
      <c r="O226" s="376"/>
      <c r="P226" s="376"/>
      <c r="Q226" s="376"/>
      <c r="R226" s="376"/>
      <c r="S226" s="416"/>
      <c r="T226" s="751"/>
      <c r="U226" s="416"/>
      <c r="V226" s="609"/>
      <c r="W226" s="692"/>
    </row>
    <row r="227" spans="1:23" outlineLevel="3">
      <c r="A227" s="376"/>
      <c r="B227" s="376" t="s">
        <v>351</v>
      </c>
      <c r="C227" s="376" t="s">
        <v>351</v>
      </c>
      <c r="D227" s="376" t="s">
        <v>175</v>
      </c>
      <c r="E227" s="376" t="s">
        <v>28</v>
      </c>
      <c r="F227" s="608" t="s">
        <v>32</v>
      </c>
      <c r="G227" s="609"/>
      <c r="H227" s="692">
        <v>1</v>
      </c>
      <c r="I227" s="626"/>
      <c r="J227" s="751"/>
      <c r="K227" s="416"/>
      <c r="L227" s="376" t="s">
        <v>28</v>
      </c>
      <c r="M227" s="376" t="s">
        <v>1504</v>
      </c>
      <c r="N227" s="376" t="s">
        <v>1514</v>
      </c>
      <c r="O227" s="376"/>
      <c r="P227" s="376"/>
      <c r="Q227" s="376"/>
      <c r="R227" s="376"/>
      <c r="S227" s="416"/>
      <c r="T227" s="751"/>
      <c r="U227" s="416"/>
      <c r="V227" s="609"/>
      <c r="W227" s="692"/>
    </row>
    <row r="228" spans="1:23" outlineLevel="2">
      <c r="A228" s="376"/>
      <c r="B228" s="684" t="s">
        <v>351</v>
      </c>
      <c r="C228" s="684" t="s">
        <v>351</v>
      </c>
      <c r="D228" s="684" t="s">
        <v>27</v>
      </c>
      <c r="E228" s="684"/>
      <c r="F228" s="685" t="s">
        <v>352</v>
      </c>
      <c r="G228" s="686">
        <f>SUBTOTAL(9,G229:G230)</f>
        <v>0</v>
      </c>
      <c r="H228" s="691">
        <f>SUBTOTAL(9,H229:H230)</f>
        <v>2</v>
      </c>
      <c r="I228" s="626"/>
      <c r="J228" s="751"/>
      <c r="K228" s="416"/>
      <c r="L228" s="684"/>
      <c r="M228" s="684"/>
      <c r="N228" s="684"/>
      <c r="O228" s="684"/>
      <c r="P228" s="684"/>
      <c r="Q228" s="684"/>
      <c r="R228" s="684"/>
      <c r="S228" s="416"/>
      <c r="T228" s="751"/>
      <c r="U228" s="416"/>
      <c r="V228" s="686">
        <f>SUBTOTAL(9,V229:V230)</f>
        <v>0</v>
      </c>
      <c r="W228" s="691">
        <f>SUBTOTAL(9,W229:W230)</f>
        <v>0</v>
      </c>
    </row>
    <row r="229" spans="1:23" outlineLevel="3">
      <c r="A229" s="376"/>
      <c r="B229" s="376" t="s">
        <v>351</v>
      </c>
      <c r="C229" s="376" t="s">
        <v>351</v>
      </c>
      <c r="D229" s="376" t="s">
        <v>27</v>
      </c>
      <c r="E229" s="376" t="s">
        <v>28</v>
      </c>
      <c r="F229" s="608" t="s">
        <v>236</v>
      </c>
      <c r="G229" s="609"/>
      <c r="H229" s="692">
        <v>1</v>
      </c>
      <c r="I229" s="626"/>
      <c r="J229" s="751"/>
      <c r="K229" s="416"/>
      <c r="L229" s="376" t="s">
        <v>28</v>
      </c>
      <c r="M229" s="376" t="s">
        <v>1208</v>
      </c>
      <c r="N229" s="376" t="s">
        <v>1511</v>
      </c>
      <c r="O229" s="376"/>
      <c r="P229" s="376"/>
      <c r="Q229" s="376"/>
      <c r="R229" s="376"/>
      <c r="S229" s="416"/>
      <c r="T229" s="751"/>
      <c r="U229" s="416"/>
      <c r="V229" s="609"/>
      <c r="W229" s="692"/>
    </row>
    <row r="230" spans="1:23" outlineLevel="3">
      <c r="A230" s="376"/>
      <c r="B230" s="376" t="s">
        <v>351</v>
      </c>
      <c r="C230" s="376" t="s">
        <v>351</v>
      </c>
      <c r="D230" s="376" t="s">
        <v>27</v>
      </c>
      <c r="E230" s="376" t="s">
        <v>28</v>
      </c>
      <c r="F230" s="608" t="s">
        <v>32</v>
      </c>
      <c r="G230" s="609"/>
      <c r="H230" s="692">
        <v>1</v>
      </c>
      <c r="I230" s="626"/>
      <c r="J230" s="751"/>
      <c r="K230" s="416"/>
      <c r="L230" s="376" t="s">
        <v>28</v>
      </c>
      <c r="M230" s="376" t="s">
        <v>1208</v>
      </c>
      <c r="N230" s="376" t="s">
        <v>1511</v>
      </c>
      <c r="O230" s="376"/>
      <c r="P230" s="376"/>
      <c r="Q230" s="376"/>
      <c r="R230" s="376"/>
      <c r="S230" s="416"/>
      <c r="T230" s="751"/>
      <c r="U230" s="416"/>
      <c r="V230" s="609"/>
      <c r="W230" s="692"/>
    </row>
    <row r="231" spans="1:23" outlineLevel="2">
      <c r="A231" s="376"/>
      <c r="B231" s="684" t="s">
        <v>351</v>
      </c>
      <c r="C231" s="684" t="s">
        <v>351</v>
      </c>
      <c r="D231" s="684" t="s">
        <v>58</v>
      </c>
      <c r="E231" s="684"/>
      <c r="F231" s="685" t="s">
        <v>352</v>
      </c>
      <c r="G231" s="686">
        <f>SUBTOTAL(9,G232:G233)</f>
        <v>0</v>
      </c>
      <c r="H231" s="691">
        <f>SUBTOTAL(9,H232:H233)</f>
        <v>2</v>
      </c>
      <c r="I231" s="626"/>
      <c r="J231" s="751"/>
      <c r="K231" s="416"/>
      <c r="L231" s="684"/>
      <c r="M231" s="684"/>
      <c r="N231" s="684"/>
      <c r="O231" s="684"/>
      <c r="P231" s="684"/>
      <c r="Q231" s="684"/>
      <c r="R231" s="684"/>
      <c r="S231" s="416"/>
      <c r="T231" s="751"/>
      <c r="U231" s="416"/>
      <c r="V231" s="686">
        <f>SUBTOTAL(9,V232:V233)</f>
        <v>0</v>
      </c>
      <c r="W231" s="691">
        <f>SUBTOTAL(9,W232:W233)</f>
        <v>0</v>
      </c>
    </row>
    <row r="232" spans="1:23" outlineLevel="3">
      <c r="A232" s="376"/>
      <c r="B232" s="376" t="s">
        <v>351</v>
      </c>
      <c r="C232" s="376" t="s">
        <v>351</v>
      </c>
      <c r="D232" s="376" t="s">
        <v>58</v>
      </c>
      <c r="E232" s="376" t="s">
        <v>28</v>
      </c>
      <c r="F232" s="608" t="s">
        <v>236</v>
      </c>
      <c r="G232" s="609"/>
      <c r="H232" s="692">
        <v>1</v>
      </c>
      <c r="I232" s="626"/>
      <c r="J232" s="751"/>
      <c r="K232" s="416"/>
      <c r="L232" s="376" t="s">
        <v>28</v>
      </c>
      <c r="M232" s="376" t="s">
        <v>1236</v>
      </c>
      <c r="N232" s="376" t="s">
        <v>1431</v>
      </c>
      <c r="O232" s="376"/>
      <c r="P232" s="376"/>
      <c r="Q232" s="376"/>
      <c r="R232" s="376"/>
      <c r="S232" s="416"/>
      <c r="T232" s="751"/>
      <c r="U232" s="416"/>
      <c r="V232" s="609"/>
      <c r="W232" s="692"/>
    </row>
    <row r="233" spans="1:23" outlineLevel="3">
      <c r="A233" s="376"/>
      <c r="B233" s="376" t="s">
        <v>351</v>
      </c>
      <c r="C233" s="376" t="s">
        <v>351</v>
      </c>
      <c r="D233" s="376" t="s">
        <v>58</v>
      </c>
      <c r="E233" s="376" t="s">
        <v>28</v>
      </c>
      <c r="F233" s="608" t="s">
        <v>32</v>
      </c>
      <c r="G233" s="609"/>
      <c r="H233" s="692">
        <v>1</v>
      </c>
      <c r="I233" s="626"/>
      <c r="J233" s="751"/>
      <c r="K233" s="416"/>
      <c r="L233" s="376" t="s">
        <v>28</v>
      </c>
      <c r="M233" s="376" t="s">
        <v>1236</v>
      </c>
      <c r="N233" s="376" t="s">
        <v>1431</v>
      </c>
      <c r="O233" s="376"/>
      <c r="P233" s="376"/>
      <c r="Q233" s="376"/>
      <c r="R233" s="376"/>
      <c r="S233" s="416"/>
      <c r="T233" s="751"/>
      <c r="U233" s="416"/>
      <c r="V233" s="609"/>
      <c r="W233" s="692"/>
    </row>
    <row r="234" spans="1:23" outlineLevel="1">
      <c r="A234" s="376"/>
      <c r="B234" s="665" t="s">
        <v>353</v>
      </c>
      <c r="C234" s="665" t="s">
        <v>354</v>
      </c>
      <c r="D234" s="665"/>
      <c r="E234" s="665"/>
      <c r="F234" s="681" t="s">
        <v>262</v>
      </c>
      <c r="G234" s="708">
        <f>SUBTOTAL(9,G235:G239)</f>
        <v>0.15000000000000002</v>
      </c>
      <c r="H234" s="709">
        <f>SUBTOTAL(9,H235:H239)</f>
        <v>3</v>
      </c>
      <c r="I234" s="626"/>
      <c r="J234" s="751"/>
      <c r="K234" s="416"/>
      <c r="L234" s="665"/>
      <c r="M234" s="665"/>
      <c r="N234" s="665"/>
      <c r="O234" s="665"/>
      <c r="P234" s="665"/>
      <c r="Q234" s="665"/>
      <c r="R234" s="665"/>
      <c r="S234" s="416"/>
      <c r="T234" s="751"/>
      <c r="U234" s="416"/>
      <c r="V234" s="708">
        <f>SUBTOTAL(9,V235:V239)</f>
        <v>0</v>
      </c>
      <c r="W234" s="709">
        <f>SUBTOTAL(9,W235:W239)</f>
        <v>0</v>
      </c>
    </row>
    <row r="235" spans="1:23" outlineLevel="2">
      <c r="A235" s="376"/>
      <c r="B235" s="684" t="s">
        <v>353</v>
      </c>
      <c r="C235" s="684" t="s">
        <v>354</v>
      </c>
      <c r="D235" s="684" t="s">
        <v>27</v>
      </c>
      <c r="E235" s="684"/>
      <c r="F235" s="685" t="s">
        <v>1542</v>
      </c>
      <c r="G235" s="686">
        <f>SUBTOTAL(9,G236:G237)</f>
        <v>0.1</v>
      </c>
      <c r="H235" s="691">
        <f>SUBTOTAL(9,H236:H237)</f>
        <v>2</v>
      </c>
      <c r="I235" s="703"/>
      <c r="J235" s="754"/>
      <c r="K235" s="750"/>
      <c r="L235" s="684"/>
      <c r="M235" s="684"/>
      <c r="N235" s="684"/>
      <c r="O235" s="684"/>
      <c r="P235" s="684"/>
      <c r="Q235" s="684"/>
      <c r="R235" s="684"/>
      <c r="S235" s="750"/>
      <c r="T235" s="754"/>
      <c r="U235" s="750"/>
      <c r="V235" s="686">
        <f>SUBTOTAL(9,V236:V237)</f>
        <v>0</v>
      </c>
      <c r="W235" s="691">
        <f>SUBTOTAL(9,W236:W237)</f>
        <v>0</v>
      </c>
    </row>
    <row r="236" spans="1:23" outlineLevel="3">
      <c r="A236" s="376"/>
      <c r="B236" s="376" t="s">
        <v>353</v>
      </c>
      <c r="C236" s="376" t="s">
        <v>354</v>
      </c>
      <c r="D236" s="376" t="s">
        <v>27</v>
      </c>
      <c r="E236" s="376" t="s">
        <v>28</v>
      </c>
      <c r="F236" s="608" t="s">
        <v>236</v>
      </c>
      <c r="G236" s="609">
        <v>0.05</v>
      </c>
      <c r="H236" s="692">
        <v>1</v>
      </c>
      <c r="I236" s="626"/>
      <c r="J236" s="751"/>
      <c r="K236" s="416"/>
      <c r="L236" s="376" t="s">
        <v>28</v>
      </c>
      <c r="M236" s="376" t="s">
        <v>1208</v>
      </c>
      <c r="N236" s="376" t="s">
        <v>1543</v>
      </c>
      <c r="O236" s="376" t="s">
        <v>1544</v>
      </c>
      <c r="P236" s="376"/>
      <c r="Q236" s="376"/>
      <c r="R236" s="376"/>
      <c r="S236" s="416"/>
      <c r="T236" s="751"/>
      <c r="U236" s="416"/>
      <c r="V236" s="609">
        <f>IF(W236=1,G236,0)</f>
        <v>0</v>
      </c>
      <c r="W236" s="692"/>
    </row>
    <row r="237" spans="1:23" outlineLevel="3">
      <c r="A237" s="376"/>
      <c r="B237" s="376" t="s">
        <v>353</v>
      </c>
      <c r="C237" s="376" t="s">
        <v>354</v>
      </c>
      <c r="D237" s="376" t="s">
        <v>27</v>
      </c>
      <c r="E237" s="376" t="s">
        <v>28</v>
      </c>
      <c r="F237" s="608" t="s">
        <v>32</v>
      </c>
      <c r="G237" s="609">
        <v>0.05</v>
      </c>
      <c r="H237" s="692">
        <v>1</v>
      </c>
      <c r="I237" s="626"/>
      <c r="J237" s="751"/>
      <c r="K237" s="416"/>
      <c r="L237" s="376" t="s">
        <v>28</v>
      </c>
      <c r="M237" s="376" t="s">
        <v>1208</v>
      </c>
      <c r="N237" s="376" t="s">
        <v>1543</v>
      </c>
      <c r="O237" s="376" t="s">
        <v>1544</v>
      </c>
      <c r="P237" s="376"/>
      <c r="Q237" s="376"/>
      <c r="R237" s="376"/>
      <c r="S237" s="416"/>
      <c r="T237" s="751"/>
      <c r="U237" s="416"/>
      <c r="V237" s="609">
        <f>IF(W237=1,G237,0)</f>
        <v>0</v>
      </c>
      <c r="W237" s="692"/>
    </row>
    <row r="238" spans="1:23" outlineLevel="2">
      <c r="A238" s="376"/>
      <c r="B238" s="684" t="s">
        <v>353</v>
      </c>
      <c r="C238" s="684" t="s">
        <v>354</v>
      </c>
      <c r="D238" s="684" t="s">
        <v>58</v>
      </c>
      <c r="E238" s="684"/>
      <c r="F238" s="685" t="s">
        <v>1542</v>
      </c>
      <c r="G238" s="686">
        <f>SUBTOTAL(9,G239)</f>
        <v>0.05</v>
      </c>
      <c r="H238" s="691">
        <f>SUBTOTAL(9,H239)</f>
        <v>1</v>
      </c>
      <c r="I238" s="626"/>
      <c r="J238" s="751"/>
      <c r="K238" s="416"/>
      <c r="L238" s="684"/>
      <c r="M238" s="684"/>
      <c r="N238" s="684"/>
      <c r="O238" s="684"/>
      <c r="P238" s="684"/>
      <c r="Q238" s="684"/>
      <c r="R238" s="684"/>
      <c r="S238" s="416"/>
      <c r="T238" s="751"/>
      <c r="U238" s="416"/>
      <c r="V238" s="686">
        <f>SUBTOTAL(9,V239)</f>
        <v>0</v>
      </c>
      <c r="W238" s="691">
        <f>SUBTOTAL(9,W239)</f>
        <v>0</v>
      </c>
    </row>
    <row r="239" spans="1:23" outlineLevel="3">
      <c r="A239" s="376"/>
      <c r="B239" s="376" t="s">
        <v>353</v>
      </c>
      <c r="C239" s="376" t="s">
        <v>354</v>
      </c>
      <c r="D239" s="376" t="s">
        <v>58</v>
      </c>
      <c r="E239" s="376" t="s">
        <v>28</v>
      </c>
      <c r="F239" s="608" t="s">
        <v>32</v>
      </c>
      <c r="G239" s="609">
        <v>0.05</v>
      </c>
      <c r="H239" s="692">
        <v>1</v>
      </c>
      <c r="I239" s="626"/>
      <c r="J239" s="751"/>
      <c r="K239" s="416"/>
      <c r="L239" s="376" t="s">
        <v>28</v>
      </c>
      <c r="M239" s="376" t="s">
        <v>1236</v>
      </c>
      <c r="N239" s="376" t="s">
        <v>1502</v>
      </c>
      <c r="O239" s="376"/>
      <c r="P239" s="376"/>
      <c r="Q239" s="376"/>
      <c r="R239" s="376"/>
      <c r="S239" s="416"/>
      <c r="T239" s="751"/>
      <c r="U239" s="416"/>
      <c r="V239" s="609">
        <f>IF(W239=1,G239,0)</f>
        <v>0</v>
      </c>
      <c r="W239" s="692"/>
    </row>
    <row r="240" spans="1:23" outlineLevel="1">
      <c r="A240" s="376"/>
      <c r="B240" s="682" t="s">
        <v>355</v>
      </c>
      <c r="C240" s="682" t="s">
        <v>356</v>
      </c>
      <c r="D240" s="682"/>
      <c r="E240" s="682"/>
      <c r="F240" s="681" t="s">
        <v>262</v>
      </c>
      <c r="G240" s="708">
        <f>SUBTOTAL(9,G241:G246)</f>
        <v>2.0669932799999999E-2</v>
      </c>
      <c r="H240" s="709">
        <f>SUBTOTAL(9,H241:H246)</f>
        <v>4</v>
      </c>
      <c r="I240" s="626"/>
      <c r="J240" s="751"/>
      <c r="K240" s="416"/>
      <c r="L240" s="682"/>
      <c r="M240" s="682"/>
      <c r="N240" s="682"/>
      <c r="O240" s="682"/>
      <c r="P240" s="682"/>
      <c r="Q240" s="682"/>
      <c r="R240" s="682"/>
      <c r="S240" s="416"/>
      <c r="T240" s="751"/>
      <c r="U240" s="416"/>
      <c r="V240" s="708">
        <f>SUBTOTAL(9,V241:V246)</f>
        <v>0</v>
      </c>
      <c r="W240" s="709">
        <f>SUBTOTAL(9,W241:W246)</f>
        <v>0</v>
      </c>
    </row>
    <row r="241" spans="1:23" outlineLevel="2">
      <c r="A241" s="376"/>
      <c r="B241" s="688" t="s">
        <v>356</v>
      </c>
      <c r="C241" s="688" t="s">
        <v>356</v>
      </c>
      <c r="D241" s="688" t="s">
        <v>27</v>
      </c>
      <c r="E241" s="688"/>
      <c r="F241" s="712" t="s">
        <v>1455</v>
      </c>
      <c r="G241" s="686">
        <f>SUBTOTAL(9,G242:G243)</f>
        <v>1.1274508799999999E-2</v>
      </c>
      <c r="H241" s="691">
        <f>SUBTOTAL(9,H242:H243)</f>
        <v>2</v>
      </c>
      <c r="I241" s="626"/>
      <c r="J241" s="751"/>
      <c r="K241" s="416"/>
      <c r="L241" s="688"/>
      <c r="M241" s="688"/>
      <c r="N241" s="688"/>
      <c r="O241" s="688"/>
      <c r="P241" s="688"/>
      <c r="Q241" s="688"/>
      <c r="R241" s="688"/>
      <c r="S241" s="416"/>
      <c r="T241" s="751"/>
      <c r="U241" s="416"/>
      <c r="V241" s="686">
        <f>SUBTOTAL(9,V242:V243)</f>
        <v>0</v>
      </c>
      <c r="W241" s="691">
        <f>SUBTOTAL(9,W242:W243)</f>
        <v>0</v>
      </c>
    </row>
    <row r="242" spans="1:23" outlineLevel="3">
      <c r="A242" s="376"/>
      <c r="B242" s="456" t="s">
        <v>356</v>
      </c>
      <c r="C242" s="456" t="s">
        <v>356</v>
      </c>
      <c r="D242" s="456" t="s">
        <v>27</v>
      </c>
      <c r="E242" s="456" t="s">
        <v>28</v>
      </c>
      <c r="F242" s="623" t="s">
        <v>236</v>
      </c>
      <c r="G242" s="744">
        <v>5.6372543999999997E-3</v>
      </c>
      <c r="H242" s="745">
        <v>1</v>
      </c>
      <c r="I242" s="626"/>
      <c r="J242" s="751"/>
      <c r="K242" s="416"/>
      <c r="L242" s="456" t="s">
        <v>28</v>
      </c>
      <c r="M242" s="456" t="s">
        <v>1208</v>
      </c>
      <c r="N242" s="456" t="s">
        <v>1209</v>
      </c>
      <c r="O242" s="456" t="s">
        <v>1235</v>
      </c>
      <c r="P242" s="456"/>
      <c r="Q242" s="456"/>
      <c r="R242" s="456"/>
      <c r="S242" s="416"/>
      <c r="T242" s="751"/>
      <c r="U242" s="416"/>
      <c r="V242" s="609">
        <f>IF(W242=1,G242,0)</f>
        <v>0</v>
      </c>
      <c r="W242" s="745"/>
    </row>
    <row r="243" spans="1:23" outlineLevel="3">
      <c r="A243" s="376"/>
      <c r="B243" s="456" t="s">
        <v>356</v>
      </c>
      <c r="C243" s="456" t="s">
        <v>356</v>
      </c>
      <c r="D243" s="456" t="s">
        <v>27</v>
      </c>
      <c r="E243" s="456" t="s">
        <v>28</v>
      </c>
      <c r="F243" s="623" t="s">
        <v>32</v>
      </c>
      <c r="G243" s="744">
        <v>5.6372543999999997E-3</v>
      </c>
      <c r="H243" s="745">
        <v>1</v>
      </c>
      <c r="I243" s="626"/>
      <c r="J243" s="751"/>
      <c r="K243" s="416"/>
      <c r="L243" s="456" t="s">
        <v>28</v>
      </c>
      <c r="M243" s="456" t="s">
        <v>1208</v>
      </c>
      <c r="N243" s="456" t="s">
        <v>1209</v>
      </c>
      <c r="O243" s="456" t="s">
        <v>1235</v>
      </c>
      <c r="P243" s="456"/>
      <c r="Q243" s="456"/>
      <c r="R243" s="456"/>
      <c r="S243" s="416"/>
      <c r="T243" s="751"/>
      <c r="U243" s="416"/>
      <c r="V243" s="609">
        <f>IF(W243=1,G243,0)</f>
        <v>0</v>
      </c>
      <c r="W243" s="745"/>
    </row>
    <row r="244" spans="1:23" outlineLevel="2">
      <c r="A244" s="376"/>
      <c r="B244" s="688" t="s">
        <v>356</v>
      </c>
      <c r="C244" s="688" t="s">
        <v>356</v>
      </c>
      <c r="D244" s="688" t="s">
        <v>58</v>
      </c>
      <c r="E244" s="688"/>
      <c r="F244" s="712" t="s">
        <v>1455</v>
      </c>
      <c r="G244" s="686">
        <f>SUBTOTAL(9,G245:G246)</f>
        <v>9.3954239999999994E-3</v>
      </c>
      <c r="H244" s="691">
        <f>SUBTOTAL(9,H245:H246)</f>
        <v>2</v>
      </c>
      <c r="I244" s="626"/>
      <c r="J244" s="751"/>
      <c r="K244" s="416"/>
      <c r="L244" s="688"/>
      <c r="M244" s="688"/>
      <c r="N244" s="688"/>
      <c r="O244" s="688"/>
      <c r="P244" s="688"/>
      <c r="Q244" s="688"/>
      <c r="R244" s="688"/>
      <c r="S244" s="416"/>
      <c r="T244" s="751"/>
      <c r="U244" s="416"/>
      <c r="V244" s="686">
        <f>SUBTOTAL(9,V245:V246)</f>
        <v>0</v>
      </c>
      <c r="W244" s="691">
        <f>SUBTOTAL(9,W245:W246)</f>
        <v>0</v>
      </c>
    </row>
    <row r="245" spans="1:23" outlineLevel="3">
      <c r="A245" s="376"/>
      <c r="B245" s="456" t="s">
        <v>356</v>
      </c>
      <c r="C245" s="456" t="s">
        <v>356</v>
      </c>
      <c r="D245" s="456" t="s">
        <v>58</v>
      </c>
      <c r="E245" s="456" t="s">
        <v>28</v>
      </c>
      <c r="F245" s="623" t="s">
        <v>236</v>
      </c>
      <c r="G245" s="744">
        <v>4.6977119999999997E-3</v>
      </c>
      <c r="H245" s="745">
        <v>1</v>
      </c>
      <c r="I245" s="626"/>
      <c r="J245" s="751"/>
      <c r="K245" s="416"/>
      <c r="L245" s="456" t="s">
        <v>28</v>
      </c>
      <c r="M245" s="456" t="s">
        <v>1236</v>
      </c>
      <c r="N245" s="456" t="s">
        <v>1431</v>
      </c>
      <c r="O245" s="456"/>
      <c r="P245" s="456"/>
      <c r="Q245" s="456"/>
      <c r="R245" s="456"/>
      <c r="S245" s="416"/>
      <c r="T245" s="751"/>
      <c r="U245" s="416"/>
      <c r="V245" s="609">
        <f>IF(W245=1,G245,0)</f>
        <v>0</v>
      </c>
      <c r="W245" s="745"/>
    </row>
    <row r="246" spans="1:23" outlineLevel="3">
      <c r="A246" s="376"/>
      <c r="B246" s="456" t="s">
        <v>356</v>
      </c>
      <c r="C246" s="456" t="s">
        <v>356</v>
      </c>
      <c r="D246" s="456" t="s">
        <v>58</v>
      </c>
      <c r="E246" s="456" t="s">
        <v>28</v>
      </c>
      <c r="F246" s="623" t="s">
        <v>32</v>
      </c>
      <c r="G246" s="744">
        <v>4.6977119999999997E-3</v>
      </c>
      <c r="H246" s="745">
        <v>1</v>
      </c>
      <c r="I246" s="626"/>
      <c r="J246" s="751"/>
      <c r="K246" s="416"/>
      <c r="L246" s="456" t="s">
        <v>28</v>
      </c>
      <c r="M246" s="456" t="s">
        <v>1236</v>
      </c>
      <c r="N246" s="456" t="s">
        <v>1431</v>
      </c>
      <c r="O246" s="456"/>
      <c r="P246" s="456"/>
      <c r="Q246" s="456"/>
      <c r="R246" s="456"/>
      <c r="S246" s="416"/>
      <c r="T246" s="751"/>
      <c r="U246" s="416"/>
      <c r="V246" s="609">
        <f>IF(W246=1,G246,0)</f>
        <v>0</v>
      </c>
      <c r="W246" s="745"/>
    </row>
    <row r="247" spans="1:23" s="795" customFormat="1" outlineLevel="1">
      <c r="A247" s="456"/>
      <c r="B247" s="682" t="s">
        <v>1546</v>
      </c>
      <c r="C247" s="682" t="s">
        <v>1547</v>
      </c>
      <c r="D247" s="682"/>
      <c r="E247" s="682"/>
      <c r="F247" s="681" t="s">
        <v>262</v>
      </c>
      <c r="G247" s="708">
        <f>SUBTOTAL(9,G248:G255)</f>
        <v>1.7956676</v>
      </c>
      <c r="H247" s="709">
        <f>SUBTOTAL(9,H248:H255)</f>
        <v>6</v>
      </c>
      <c r="I247" s="746"/>
      <c r="J247" s="758"/>
      <c r="K247" s="747"/>
      <c r="L247" s="682"/>
      <c r="M247" s="682"/>
      <c r="N247" s="682"/>
      <c r="O247" s="682"/>
      <c r="P247" s="682"/>
      <c r="Q247" s="682"/>
      <c r="R247" s="682"/>
      <c r="S247" s="747"/>
      <c r="T247" s="758"/>
      <c r="U247" s="747"/>
      <c r="V247" s="708">
        <f>SUBTOTAL(9,V248:V255)</f>
        <v>0</v>
      </c>
      <c r="W247" s="709">
        <f>SUBTOTAL(9,W248:W255)</f>
        <v>0</v>
      </c>
    </row>
    <row r="248" spans="1:23" outlineLevel="2">
      <c r="A248" s="376"/>
      <c r="B248" s="684" t="s">
        <v>1546</v>
      </c>
      <c r="C248" s="684" t="s">
        <v>1547</v>
      </c>
      <c r="D248" s="684" t="s">
        <v>27</v>
      </c>
      <c r="E248" s="684"/>
      <c r="F248" s="685" t="s">
        <v>1212</v>
      </c>
      <c r="G248" s="686">
        <f>SUBTOTAL(9,G249:G251)</f>
        <v>1.0047028</v>
      </c>
      <c r="H248" s="691">
        <f>SUBTOTAL(9,H249:H251)</f>
        <v>3</v>
      </c>
      <c r="I248" s="626"/>
      <c r="J248" s="751"/>
      <c r="K248" s="416"/>
      <c r="L248" s="684"/>
      <c r="M248" s="684"/>
      <c r="N248" s="684"/>
      <c r="O248" s="684"/>
      <c r="P248" s="684"/>
      <c r="Q248" s="684"/>
      <c r="R248" s="684"/>
      <c r="S248" s="416"/>
      <c r="T248" s="751"/>
      <c r="U248" s="416"/>
      <c r="V248" s="686">
        <f>SUBTOTAL(9,V249:V251)</f>
        <v>0</v>
      </c>
      <c r="W248" s="691">
        <f>SUBTOTAL(9,W249:W251)</f>
        <v>0</v>
      </c>
    </row>
    <row r="249" spans="1:23" outlineLevel="3">
      <c r="A249" s="376"/>
      <c r="B249" s="376" t="s">
        <v>1546</v>
      </c>
      <c r="C249" s="376" t="s">
        <v>1547</v>
      </c>
      <c r="D249" s="376" t="s">
        <v>27</v>
      </c>
      <c r="E249" s="376" t="s">
        <v>28</v>
      </c>
      <c r="F249" s="608" t="s">
        <v>236</v>
      </c>
      <c r="G249" s="609">
        <v>0.40313520000000003</v>
      </c>
      <c r="H249" s="692">
        <v>1</v>
      </c>
      <c r="I249" s="626"/>
      <c r="J249" s="751"/>
      <c r="K249" s="416"/>
      <c r="L249" s="376" t="s">
        <v>28</v>
      </c>
      <c r="M249" s="376"/>
      <c r="N249" s="376"/>
      <c r="O249" s="376"/>
      <c r="P249" s="376"/>
      <c r="Q249" s="376"/>
      <c r="R249" s="376"/>
      <c r="S249" s="416"/>
      <c r="T249" s="751"/>
      <c r="U249" s="416"/>
      <c r="V249" s="609">
        <f>IF(W249=1,G249,0)</f>
        <v>0</v>
      </c>
      <c r="W249" s="692"/>
    </row>
    <row r="250" spans="1:23" outlineLevel="3">
      <c r="A250" s="376"/>
      <c r="B250" s="376" t="s">
        <v>1546</v>
      </c>
      <c r="C250" s="376" t="s">
        <v>1547</v>
      </c>
      <c r="D250" s="376" t="s">
        <v>27</v>
      </c>
      <c r="E250" s="376" t="s">
        <v>28</v>
      </c>
      <c r="F250" s="608" t="s">
        <v>32</v>
      </c>
      <c r="G250" s="609">
        <v>0.20156760000000001</v>
      </c>
      <c r="H250" s="692">
        <v>1</v>
      </c>
      <c r="I250" s="626"/>
      <c r="J250" s="751"/>
      <c r="K250" s="416"/>
      <c r="L250" s="376" t="s">
        <v>28</v>
      </c>
      <c r="M250" s="376"/>
      <c r="N250" s="376"/>
      <c r="O250" s="376"/>
      <c r="P250" s="376"/>
      <c r="Q250" s="376"/>
      <c r="R250" s="376"/>
      <c r="S250" s="416"/>
      <c r="T250" s="751"/>
      <c r="U250" s="416"/>
      <c r="V250" s="609">
        <f>IF(W250=1,G250,0)</f>
        <v>0</v>
      </c>
      <c r="W250" s="692"/>
    </row>
    <row r="251" spans="1:23" outlineLevel="3">
      <c r="A251" s="376"/>
      <c r="B251" s="376" t="s">
        <v>1546</v>
      </c>
      <c r="C251" s="376" t="s">
        <v>1547</v>
      </c>
      <c r="D251" s="376" t="s">
        <v>27</v>
      </c>
      <c r="E251" s="376" t="s">
        <v>28</v>
      </c>
      <c r="F251" s="608" t="s">
        <v>1498</v>
      </c>
      <c r="G251" s="609">
        <v>0.4</v>
      </c>
      <c r="H251" s="692">
        <v>1</v>
      </c>
      <c r="I251" s="626"/>
      <c r="J251" s="751"/>
      <c r="K251" s="416"/>
      <c r="L251" s="376" t="s">
        <v>28</v>
      </c>
      <c r="M251" s="376"/>
      <c r="N251" s="376"/>
      <c r="O251" s="376"/>
      <c r="P251" s="376"/>
      <c r="Q251" s="376"/>
      <c r="R251" s="376"/>
      <c r="S251" s="416"/>
      <c r="T251" s="751"/>
      <c r="U251" s="416"/>
      <c r="V251" s="609">
        <f>IF(W251=1,G251,0)</f>
        <v>0</v>
      </c>
      <c r="W251" s="692"/>
    </row>
    <row r="252" spans="1:23" outlineLevel="2">
      <c r="A252" s="376"/>
      <c r="B252" s="684" t="s">
        <v>1546</v>
      </c>
      <c r="C252" s="684" t="s">
        <v>1547</v>
      </c>
      <c r="D252" s="684" t="s">
        <v>58</v>
      </c>
      <c r="E252" s="684"/>
      <c r="F252" s="685" t="s">
        <v>1689</v>
      </c>
      <c r="G252" s="686">
        <f>SUBTOTAL(9,G253:G255)</f>
        <v>0.79096480000000002</v>
      </c>
      <c r="H252" s="691">
        <f>SUBTOTAL(9,H253:H255)</f>
        <v>3</v>
      </c>
      <c r="I252" s="626"/>
      <c r="J252" s="751"/>
      <c r="K252" s="416"/>
      <c r="L252" s="684"/>
      <c r="M252" s="684"/>
      <c r="N252" s="684"/>
      <c r="O252" s="684"/>
      <c r="P252" s="684"/>
      <c r="Q252" s="684"/>
      <c r="R252" s="684"/>
      <c r="S252" s="416"/>
      <c r="T252" s="751"/>
      <c r="U252" s="416"/>
      <c r="V252" s="686">
        <f>SUBTOTAL(9,V253:V255)</f>
        <v>0</v>
      </c>
      <c r="W252" s="691">
        <f>SUBTOTAL(9,W253:W255)</f>
        <v>0</v>
      </c>
    </row>
    <row r="253" spans="1:23" outlineLevel="3">
      <c r="A253" s="376"/>
      <c r="B253" s="376" t="s">
        <v>1546</v>
      </c>
      <c r="C253" s="376" t="s">
        <v>1547</v>
      </c>
      <c r="D253" s="376" t="s">
        <v>58</v>
      </c>
      <c r="E253" s="376" t="s">
        <v>28</v>
      </c>
      <c r="F253" s="608" t="s">
        <v>236</v>
      </c>
      <c r="G253" s="609">
        <v>0.33822359999999996</v>
      </c>
      <c r="H253" s="692">
        <v>1</v>
      </c>
      <c r="I253" s="626"/>
      <c r="J253" s="751"/>
      <c r="K253" s="416"/>
      <c r="L253" s="376" t="s">
        <v>28</v>
      </c>
      <c r="M253" s="376"/>
      <c r="N253" s="376"/>
      <c r="O253" s="376"/>
      <c r="P253" s="376"/>
      <c r="Q253" s="376"/>
      <c r="R253" s="376"/>
      <c r="S253" s="416"/>
      <c r="T253" s="751"/>
      <c r="U253" s="416"/>
      <c r="V253" s="609">
        <f>IF(W253=1,G253,0)</f>
        <v>0</v>
      </c>
      <c r="W253" s="692"/>
    </row>
    <row r="254" spans="1:23" outlineLevel="3">
      <c r="A254" s="376"/>
      <c r="B254" s="376" t="s">
        <v>1546</v>
      </c>
      <c r="C254" s="376" t="s">
        <v>1547</v>
      </c>
      <c r="D254" s="376" t="s">
        <v>58</v>
      </c>
      <c r="E254" s="376" t="s">
        <v>28</v>
      </c>
      <c r="F254" s="608" t="s">
        <v>32</v>
      </c>
      <c r="G254" s="609">
        <v>0.11274119999999999</v>
      </c>
      <c r="H254" s="692">
        <v>1</v>
      </c>
      <c r="I254" s="626"/>
      <c r="J254" s="751"/>
      <c r="K254" s="416"/>
      <c r="L254" s="376" t="s">
        <v>28</v>
      </c>
      <c r="M254" s="376"/>
      <c r="N254" s="376"/>
      <c r="O254" s="376"/>
      <c r="P254" s="376"/>
      <c r="Q254" s="376"/>
      <c r="R254" s="376"/>
      <c r="S254" s="416"/>
      <c r="T254" s="751"/>
      <c r="U254" s="416"/>
      <c r="V254" s="609">
        <f>IF(W254=1,G254,0)</f>
        <v>0</v>
      </c>
      <c r="W254" s="692"/>
    </row>
    <row r="255" spans="1:23" outlineLevel="3">
      <c r="A255" s="376"/>
      <c r="B255" s="376" t="s">
        <v>1546</v>
      </c>
      <c r="C255" s="376" t="s">
        <v>1547</v>
      </c>
      <c r="D255" s="376" t="s">
        <v>58</v>
      </c>
      <c r="E255" s="376" t="s">
        <v>28</v>
      </c>
      <c r="F255" s="608" t="s">
        <v>1498</v>
      </c>
      <c r="G255" s="609">
        <v>0.34</v>
      </c>
      <c r="H255" s="692">
        <v>1</v>
      </c>
      <c r="I255" s="626"/>
      <c r="J255" s="751"/>
      <c r="K255" s="416"/>
      <c r="L255" s="376" t="s">
        <v>28</v>
      </c>
      <c r="M255" s="376"/>
      <c r="N255" s="376"/>
      <c r="O255" s="376"/>
      <c r="P255" s="376"/>
      <c r="Q255" s="376"/>
      <c r="R255" s="376"/>
      <c r="S255" s="416"/>
      <c r="T255" s="751"/>
      <c r="U255" s="416"/>
      <c r="V255" s="609">
        <f>IF(W255=1,G255,0)</f>
        <v>0</v>
      </c>
      <c r="W255" s="692"/>
    </row>
    <row r="256" spans="1:23" outlineLevel="1">
      <c r="A256" s="376"/>
      <c r="B256" s="666" t="s">
        <v>360</v>
      </c>
      <c r="C256" s="666" t="s">
        <v>361</v>
      </c>
      <c r="D256" s="667"/>
      <c r="E256" s="665"/>
      <c r="F256" s="681" t="s">
        <v>262</v>
      </c>
      <c r="G256" s="708">
        <f>SUBTOTAL(9,G257:G262)</f>
        <v>3.9133302637702503</v>
      </c>
      <c r="H256" s="709">
        <f>SUBTOTAL(9,H257:H262)</f>
        <v>4</v>
      </c>
      <c r="I256" s="626"/>
      <c r="J256" s="751"/>
      <c r="K256" s="416"/>
      <c r="L256" s="665"/>
      <c r="M256" s="665"/>
      <c r="N256" s="665"/>
      <c r="O256" s="665"/>
      <c r="P256" s="665"/>
      <c r="Q256" s="665"/>
      <c r="R256" s="665"/>
      <c r="S256" s="416"/>
      <c r="T256" s="751"/>
      <c r="U256" s="416"/>
      <c r="V256" s="708">
        <f>SUBTOTAL(9,V257:V262)</f>
        <v>0</v>
      </c>
      <c r="W256" s="709">
        <f>SUBTOTAL(9,W257:W262)</f>
        <v>0</v>
      </c>
    </row>
    <row r="257" spans="1:23" outlineLevel="2">
      <c r="A257" s="376"/>
      <c r="B257" s="684" t="s">
        <v>360</v>
      </c>
      <c r="C257" s="687" t="s">
        <v>361</v>
      </c>
      <c r="D257" s="684" t="s">
        <v>27</v>
      </c>
      <c r="E257" s="684"/>
      <c r="F257" s="685" t="s">
        <v>236</v>
      </c>
      <c r="G257" s="686">
        <f>SUBTOTAL(9,G258:G259)</f>
        <v>2.2417648438935003</v>
      </c>
      <c r="H257" s="691">
        <f>SUBTOTAL(9,H258:H259)</f>
        <v>2</v>
      </c>
      <c r="I257" s="626"/>
      <c r="J257" s="751"/>
      <c r="K257" s="416"/>
      <c r="L257" s="684"/>
      <c r="M257" s="684"/>
      <c r="N257" s="684"/>
      <c r="O257" s="684"/>
      <c r="P257" s="684"/>
      <c r="Q257" s="684"/>
      <c r="R257" s="684"/>
      <c r="S257" s="416"/>
      <c r="T257" s="751"/>
      <c r="U257" s="416"/>
      <c r="V257" s="686">
        <f>SUBTOTAL(9,V258:V259)</f>
        <v>0</v>
      </c>
      <c r="W257" s="691">
        <f>SUBTOTAL(9,W258:W259)</f>
        <v>0</v>
      </c>
    </row>
    <row r="258" spans="1:23" outlineLevel="3">
      <c r="A258" s="376"/>
      <c r="B258" s="376" t="s">
        <v>360</v>
      </c>
      <c r="C258" s="387" t="s">
        <v>361</v>
      </c>
      <c r="D258" s="376" t="s">
        <v>27</v>
      </c>
      <c r="E258" s="376" t="s">
        <v>28</v>
      </c>
      <c r="F258" s="608" t="s">
        <v>236</v>
      </c>
      <c r="G258" s="609">
        <v>1.4917648438935003</v>
      </c>
      <c r="H258" s="692">
        <v>1</v>
      </c>
      <c r="I258" s="626"/>
      <c r="J258" s="751"/>
      <c r="K258" s="416"/>
      <c r="L258" s="376" t="s">
        <v>28</v>
      </c>
      <c r="M258" s="376"/>
      <c r="N258" s="376"/>
      <c r="O258" s="376"/>
      <c r="P258" s="376"/>
      <c r="Q258" s="376"/>
      <c r="R258" s="376"/>
      <c r="S258" s="416"/>
      <c r="T258" s="751"/>
      <c r="U258" s="416"/>
      <c r="V258" s="609">
        <f>IF(W258=1,G258,0)</f>
        <v>0</v>
      </c>
      <c r="W258" s="692"/>
    </row>
    <row r="259" spans="1:23" outlineLevel="3">
      <c r="A259" s="376"/>
      <c r="B259" s="376" t="s">
        <v>360</v>
      </c>
      <c r="C259" s="387" t="s">
        <v>361</v>
      </c>
      <c r="D259" s="376" t="s">
        <v>27</v>
      </c>
      <c r="E259" s="376" t="s">
        <v>28</v>
      </c>
      <c r="F259" s="608" t="s">
        <v>32</v>
      </c>
      <c r="G259" s="609">
        <v>0.75</v>
      </c>
      <c r="H259" s="692">
        <v>1</v>
      </c>
      <c r="I259" s="626"/>
      <c r="J259" s="751"/>
      <c r="K259" s="416"/>
      <c r="L259" s="376" t="s">
        <v>28</v>
      </c>
      <c r="M259" s="376"/>
      <c r="N259" s="376"/>
      <c r="O259" s="376"/>
      <c r="P259" s="376"/>
      <c r="Q259" s="376"/>
      <c r="R259" s="376"/>
      <c r="S259" s="416"/>
      <c r="T259" s="751"/>
      <c r="U259" s="416"/>
      <c r="V259" s="609">
        <f>IF(W259=1,G259,0)</f>
        <v>0</v>
      </c>
      <c r="W259" s="692"/>
    </row>
    <row r="260" spans="1:23" outlineLevel="2">
      <c r="A260" s="376"/>
      <c r="B260" s="684" t="s">
        <v>360</v>
      </c>
      <c r="C260" s="687" t="s">
        <v>361</v>
      </c>
      <c r="D260" s="684" t="s">
        <v>58</v>
      </c>
      <c r="E260" s="684"/>
      <c r="F260" s="685" t="s">
        <v>236</v>
      </c>
      <c r="G260" s="686">
        <f>SUBTOTAL(9,G261:G262)</f>
        <v>1.6715654198767502</v>
      </c>
      <c r="H260" s="691">
        <f>SUBTOTAL(9,H261:H262)</f>
        <v>2</v>
      </c>
      <c r="I260" s="626"/>
      <c r="J260" s="751"/>
      <c r="K260" s="416"/>
      <c r="L260" s="684"/>
      <c r="M260" s="684"/>
      <c r="N260" s="684"/>
      <c r="O260" s="684"/>
      <c r="P260" s="684"/>
      <c r="Q260" s="684"/>
      <c r="R260" s="684"/>
      <c r="S260" s="416"/>
      <c r="T260" s="751"/>
      <c r="U260" s="416"/>
      <c r="V260" s="686">
        <f>SUBTOTAL(9,V261:V262)</f>
        <v>0</v>
      </c>
      <c r="W260" s="691">
        <f>SUBTOTAL(9,W261:W262)</f>
        <v>0</v>
      </c>
    </row>
    <row r="261" spans="1:23" outlineLevel="3">
      <c r="A261" s="376"/>
      <c r="B261" s="376" t="s">
        <v>360</v>
      </c>
      <c r="C261" s="387" t="s">
        <v>361</v>
      </c>
      <c r="D261" s="376" t="s">
        <v>58</v>
      </c>
      <c r="E261" s="376" t="s">
        <v>28</v>
      </c>
      <c r="F261" s="608" t="s">
        <v>236</v>
      </c>
      <c r="G261" s="609">
        <v>1.2515654198767503</v>
      </c>
      <c r="H261" s="769">
        <v>1</v>
      </c>
      <c r="I261" s="626"/>
      <c r="J261" s="751"/>
      <c r="K261" s="416"/>
      <c r="L261" s="376" t="s">
        <v>28</v>
      </c>
      <c r="M261" s="376"/>
      <c r="N261" s="376"/>
      <c r="O261" s="376"/>
      <c r="P261" s="376"/>
      <c r="Q261" s="376"/>
      <c r="R261" s="376"/>
      <c r="S261" s="416"/>
      <c r="T261" s="751"/>
      <c r="U261" s="416"/>
      <c r="V261" s="609">
        <f>IF(W261=1,G261,0)</f>
        <v>0</v>
      </c>
      <c r="W261" s="609"/>
    </row>
    <row r="262" spans="1:23" outlineLevel="3">
      <c r="A262" s="376"/>
      <c r="B262" s="376" t="s">
        <v>360</v>
      </c>
      <c r="C262" s="387" t="s">
        <v>361</v>
      </c>
      <c r="D262" s="376" t="s">
        <v>58</v>
      </c>
      <c r="E262" s="376" t="s">
        <v>28</v>
      </c>
      <c r="F262" s="608" t="s">
        <v>32</v>
      </c>
      <c r="G262" s="609">
        <v>0.42</v>
      </c>
      <c r="H262" s="769">
        <v>1</v>
      </c>
      <c r="I262" s="626"/>
      <c r="J262" s="751"/>
      <c r="K262" s="416"/>
      <c r="L262" s="376" t="s">
        <v>28</v>
      </c>
      <c r="M262" s="376"/>
      <c r="N262" s="376"/>
      <c r="O262" s="376"/>
      <c r="P262" s="376"/>
      <c r="Q262" s="376"/>
      <c r="R262" s="376"/>
      <c r="S262" s="416"/>
      <c r="T262" s="751"/>
      <c r="U262" s="416"/>
      <c r="V262" s="609">
        <f>IF(W262=1,G262,0)</f>
        <v>0</v>
      </c>
      <c r="W262" s="609"/>
    </row>
    <row r="263" spans="1:23" ht="3" customHeight="1" outlineLevel="1" collapsed="1">
      <c r="A263" s="416"/>
      <c r="B263" s="416"/>
      <c r="C263" s="416"/>
      <c r="D263" s="416"/>
      <c r="E263" s="416"/>
      <c r="F263" s="749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</row>
    <row r="264" spans="1:23">
      <c r="A264" s="416"/>
      <c r="B264" s="416"/>
      <c r="C264" s="416"/>
      <c r="D264" s="416"/>
      <c r="E264" s="416"/>
      <c r="F264" s="749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</row>
  </sheetData>
  <autoFilter ref="B4:W262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D38-8C98-44A1-B9BB-771C24D06AA6}">
  <sheetPr>
    <outlinePr summaryBelow="0" summaryRight="0"/>
    <pageSetUpPr fitToPage="1"/>
  </sheetPr>
  <dimension ref="A2:AA20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4140625" defaultRowHeight="13.2" outlineLevelRow="3" outlineLevelCol="1"/>
  <cols>
    <col min="1" max="1" width="0.5546875" style="787" customWidth="1"/>
    <col min="2" max="2" width="22.6640625" style="787" customWidth="1"/>
    <col min="3" max="3" width="17.6640625" style="787" bestFit="1" customWidth="1"/>
    <col min="4" max="4" width="16.33203125" style="787" customWidth="1"/>
    <col min="5" max="5" width="14.44140625" style="787" customWidth="1"/>
    <col min="6" max="6" width="53.6640625" style="791" customWidth="1"/>
    <col min="7" max="7" width="13.33203125" style="787" bestFit="1" customWidth="1"/>
    <col min="8" max="8" width="9.5546875" style="787" customWidth="1" outlineLevel="1"/>
    <col min="9" max="11" width="0.5546875" style="787" customWidth="1"/>
    <col min="12" max="12" width="14.44140625" style="787" customWidth="1"/>
    <col min="13" max="13" width="14.44140625" style="787" customWidth="1" collapsed="1"/>
    <col min="14" max="18" width="14.44140625" style="787" hidden="1" customWidth="1" outlineLevel="1"/>
    <col min="19" max="21" width="0.5546875" style="787" customWidth="1"/>
    <col min="22" max="22" width="16.33203125" style="787" customWidth="1" collapsed="1"/>
    <col min="23" max="23" width="14.33203125" style="787" hidden="1" customWidth="1" outlineLevel="1"/>
    <col min="24" max="26" width="9.44140625" style="787" bestFit="1"/>
    <col min="27" max="27" width="9.44140625" style="787" bestFit="1" customWidth="1"/>
    <col min="28" max="16384" width="9.44140625" style="787"/>
  </cols>
  <sheetData>
    <row r="2" spans="1:27" ht="17.399999999999999">
      <c r="A2" s="376"/>
      <c r="B2" s="418" t="s">
        <v>1690</v>
      </c>
      <c r="C2" s="418"/>
      <c r="D2" s="418"/>
      <c r="E2" s="418"/>
      <c r="F2" s="423"/>
      <c r="G2" s="801">
        <f>SUBTOTAL(9,G6:G19)</f>
        <v>1.093072</v>
      </c>
      <c r="H2" s="690">
        <f>SUBTOTAL(9,H6:H19)</f>
        <v>107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801">
        <f>SUBTOTAL(9,V6:V19)</f>
        <v>0</v>
      </c>
      <c r="W2" s="801">
        <f>SUBTOTAL(9,W6:W19)</f>
        <v>0</v>
      </c>
      <c r="X2" s="610">
        <f>G2-V2</f>
        <v>1.093072</v>
      </c>
      <c r="Y2" s="610">
        <f>H2-W2</f>
        <v>107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1633</v>
      </c>
      <c r="C6" s="430"/>
      <c r="D6" s="430"/>
      <c r="E6" s="430"/>
      <c r="F6" s="697"/>
      <c r="G6" s="738">
        <f>SUBTOTAL(9,G8:G286)</f>
        <v>1.093072</v>
      </c>
      <c r="H6" s="739">
        <f>SUBTOTAL(9,H8:H286)</f>
        <v>107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SUBTOTAL(9,V8:V286)</f>
        <v>0</v>
      </c>
      <c r="W6" s="739">
        <f>SUBTOTAL(9,W8:W286)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6" t="s">
        <v>897</v>
      </c>
      <c r="C8" s="666" t="s">
        <v>1634</v>
      </c>
      <c r="D8" s="667"/>
      <c r="E8" s="665"/>
      <c r="F8" s="681" t="s">
        <v>262</v>
      </c>
      <c r="G8" s="709">
        <f>SUBTOTAL(9,G14:G19)</f>
        <v>1.093072</v>
      </c>
      <c r="H8" s="709">
        <f>SUBTOTAL(9,H9:H19)</f>
        <v>107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08">
        <f>SUBTOTAL(9,V14:V19)</f>
        <v>0</v>
      </c>
      <c r="W8" s="709">
        <f>SUBTOTAL(9,W14:W17)</f>
        <v>0</v>
      </c>
      <c r="X8" s="610"/>
      <c r="Y8" s="610"/>
      <c r="Z8" s="610"/>
      <c r="AA8" s="416"/>
    </row>
    <row r="9" spans="1:27" outlineLevel="2">
      <c r="A9" s="376"/>
      <c r="B9" s="684" t="s">
        <v>803</v>
      </c>
      <c r="C9" s="687" t="s">
        <v>1635</v>
      </c>
      <c r="D9" s="684" t="s">
        <v>897</v>
      </c>
      <c r="E9" s="684"/>
      <c r="F9" s="685"/>
      <c r="G9" s="686">
        <f>SUBTOTAL(9,G10:G13)</f>
        <v>0</v>
      </c>
      <c r="H9" s="691">
        <f>SUBTOTAL(9,H10:H13)</f>
        <v>8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SUBTOTAL(9,V11:V13)</f>
        <v>0</v>
      </c>
      <c r="W9" s="691">
        <f>SUBTOTAL(9,W11:W13)</f>
        <v>0</v>
      </c>
      <c r="X9" s="610"/>
      <c r="Y9" s="610"/>
      <c r="Z9" s="610"/>
      <c r="AA9" s="416"/>
    </row>
    <row r="10" spans="1:27" outlineLevel="3">
      <c r="A10" s="376"/>
      <c r="B10" s="376" t="s">
        <v>803</v>
      </c>
      <c r="C10" s="803" t="s">
        <v>1635</v>
      </c>
      <c r="D10" s="376" t="s">
        <v>897</v>
      </c>
      <c r="E10" s="376" t="s">
        <v>539</v>
      </c>
      <c r="F10" s="608" t="s">
        <v>1636</v>
      </c>
      <c r="G10" s="706"/>
      <c r="H10" s="692">
        <v>1</v>
      </c>
      <c r="I10" s="626"/>
      <c r="J10" s="751"/>
      <c r="K10" s="416"/>
      <c r="L10" s="376"/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</row>
    <row r="11" spans="1:27" outlineLevel="3">
      <c r="A11" s="376"/>
      <c r="B11" s="376" t="s">
        <v>803</v>
      </c>
      <c r="C11" s="803" t="s">
        <v>1635</v>
      </c>
      <c r="D11" s="376" t="s">
        <v>897</v>
      </c>
      <c r="E11" s="376" t="s">
        <v>539</v>
      </c>
      <c r="F11" s="608" t="s">
        <v>1637</v>
      </c>
      <c r="G11" s="706"/>
      <c r="H11" s="692">
        <v>1</v>
      </c>
      <c r="I11" s="626"/>
      <c r="J11" s="751"/>
      <c r="K11" s="416"/>
      <c r="L11" s="376"/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</row>
    <row r="12" spans="1:27" outlineLevel="3">
      <c r="A12" s="376"/>
      <c r="B12" s="376" t="s">
        <v>803</v>
      </c>
      <c r="C12" s="803" t="s">
        <v>1635</v>
      </c>
      <c r="D12" s="376" t="s">
        <v>897</v>
      </c>
      <c r="E12" s="376" t="s">
        <v>539</v>
      </c>
      <c r="F12" s="608" t="s">
        <v>1638</v>
      </c>
      <c r="G12" s="706"/>
      <c r="H12" s="692">
        <v>3</v>
      </c>
      <c r="I12" s="626"/>
      <c r="J12" s="751"/>
      <c r="K12" s="416"/>
      <c r="L12" s="376"/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</row>
    <row r="13" spans="1:27" outlineLevel="3">
      <c r="A13" s="376"/>
      <c r="B13" s="376" t="s">
        <v>803</v>
      </c>
      <c r="C13" s="803" t="s">
        <v>1635</v>
      </c>
      <c r="D13" s="376" t="s">
        <v>897</v>
      </c>
      <c r="E13" s="376" t="s">
        <v>539</v>
      </c>
      <c r="F13" s="608" t="s">
        <v>1639</v>
      </c>
      <c r="G13" s="706"/>
      <c r="H13" s="692">
        <v>3</v>
      </c>
      <c r="I13" s="626"/>
      <c r="J13" s="751"/>
      <c r="K13" s="416"/>
      <c r="L13" s="376"/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610"/>
      <c r="Y13" s="610"/>
      <c r="Z13" s="610"/>
      <c r="AA13" s="416"/>
    </row>
    <row r="14" spans="1:27" outlineLevel="2">
      <c r="A14" s="376"/>
      <c r="B14" s="684" t="s">
        <v>1640</v>
      </c>
      <c r="C14" s="687" t="s">
        <v>1641</v>
      </c>
      <c r="D14" s="684" t="s">
        <v>897</v>
      </c>
      <c r="E14" s="684"/>
      <c r="F14" s="685"/>
      <c r="G14" s="686">
        <f>SUBTOTAL(9,G15:G15)</f>
        <v>0.53307199999999999</v>
      </c>
      <c r="H14" s="691">
        <f>SUBTOTAL(9,H15:H15)</f>
        <v>7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SUBTOTAL(9,V15:V15)</f>
        <v>0</v>
      </c>
      <c r="W14" s="691">
        <f>SUBTOTAL(9,W15:W15)</f>
        <v>0</v>
      </c>
      <c r="X14" s="610"/>
      <c r="Y14" s="610"/>
      <c r="Z14" s="610"/>
      <c r="AA14" s="416"/>
    </row>
    <row r="15" spans="1:27" outlineLevel="3">
      <c r="A15" s="376"/>
      <c r="B15" s="376" t="s">
        <v>1640</v>
      </c>
      <c r="C15" s="803" t="s">
        <v>1641</v>
      </c>
      <c r="D15" s="376" t="s">
        <v>897</v>
      </c>
      <c r="E15" s="376" t="s">
        <v>539</v>
      </c>
      <c r="F15" s="608" t="s">
        <v>1644</v>
      </c>
      <c r="G15" s="706">
        <v>0.53307199999999999</v>
      </c>
      <c r="H15" s="692">
        <v>7</v>
      </c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>
        <f>IF(W15=1,G15,0)</f>
        <v>0</v>
      </c>
      <c r="W15" s="692"/>
      <c r="X15" s="610"/>
      <c r="Y15" s="610"/>
      <c r="Z15" s="610"/>
      <c r="AA15" s="416"/>
    </row>
    <row r="16" spans="1:27" outlineLevel="2">
      <c r="A16" s="376"/>
      <c r="B16" s="684" t="s">
        <v>1680</v>
      </c>
      <c r="C16" s="687" t="s">
        <v>1641</v>
      </c>
      <c r="D16" s="684" t="s">
        <v>897</v>
      </c>
      <c r="E16" s="684"/>
      <c r="F16" s="685"/>
      <c r="G16" s="686">
        <f>SUBTOTAL(9,G17:G17)</f>
        <v>0.56000000000000005</v>
      </c>
      <c r="H16" s="691">
        <f>SUBTOTAL(9,H17:H17)</f>
        <v>86</v>
      </c>
      <c r="I16" s="626"/>
      <c r="J16" s="751"/>
      <c r="K16" s="416"/>
      <c r="L16" s="684"/>
      <c r="M16" s="684"/>
      <c r="N16" s="684"/>
      <c r="O16" s="684"/>
      <c r="P16" s="684"/>
      <c r="Q16" s="684"/>
      <c r="R16" s="684"/>
      <c r="S16" s="416"/>
      <c r="T16" s="751"/>
      <c r="U16" s="416"/>
      <c r="V16" s="686">
        <f>SUBTOTAL(9,V17)</f>
        <v>0</v>
      </c>
      <c r="W16" s="691" t="e">
        <f>SUBTOTAL(9,#REF!)</f>
        <v>#REF!</v>
      </c>
      <c r="X16" s="610"/>
      <c r="Y16" s="610"/>
      <c r="Z16" s="610"/>
      <c r="AA16" s="416"/>
    </row>
    <row r="17" spans="2:23" outlineLevel="3">
      <c r="B17" s="376" t="s">
        <v>1680</v>
      </c>
      <c r="C17" s="387" t="s">
        <v>1641</v>
      </c>
      <c r="D17" s="376" t="s">
        <v>897</v>
      </c>
      <c r="E17" s="376" t="s">
        <v>539</v>
      </c>
      <c r="F17" s="608" t="s">
        <v>1691</v>
      </c>
      <c r="G17" s="609">
        <v>0.56000000000000005</v>
      </c>
      <c r="H17" s="769">
        <v>86</v>
      </c>
      <c r="I17" s="626"/>
      <c r="J17" s="751"/>
      <c r="K17" s="416"/>
      <c r="L17" s="376"/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09"/>
    </row>
    <row r="18" spans="2:23" outlineLevel="2">
      <c r="B18" s="684" t="s">
        <v>1667</v>
      </c>
      <c r="C18" s="687" t="s">
        <v>1641</v>
      </c>
      <c r="D18" s="684" t="s">
        <v>897</v>
      </c>
      <c r="E18" s="684"/>
      <c r="F18" s="685"/>
      <c r="G18" s="686">
        <f>SUBTOTAL(9,G19:G19)</f>
        <v>0</v>
      </c>
      <c r="H18" s="691">
        <f>SUBTOTAL(9,H19:H19)</f>
        <v>6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SUBTOTAL(9,V19)</f>
        <v>0</v>
      </c>
      <c r="W18" s="691" t="e">
        <f>SUBTOTAL(9,#REF!)</f>
        <v>#REF!</v>
      </c>
    </row>
    <row r="19" spans="2:23" outlineLevel="3">
      <c r="B19" s="376" t="s">
        <v>1667</v>
      </c>
      <c r="C19" s="387" t="s">
        <v>1641</v>
      </c>
      <c r="D19" s="376" t="s">
        <v>897</v>
      </c>
      <c r="E19" s="376" t="s">
        <v>539</v>
      </c>
      <c r="F19" s="608" t="s">
        <v>594</v>
      </c>
      <c r="G19" s="609">
        <v>0</v>
      </c>
      <c r="H19" s="769">
        <v>6</v>
      </c>
      <c r="I19" s="626"/>
      <c r="J19" s="751"/>
      <c r="K19" s="416"/>
      <c r="L19" s="376"/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09"/>
    </row>
    <row r="20" spans="2:23">
      <c r="B20" s="416"/>
      <c r="C20" s="416"/>
      <c r="D20" s="416"/>
      <c r="E20" s="416"/>
      <c r="F20" s="749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657-6A3F-40FB-A07C-EE845AB9999A}">
  <sheetPr>
    <outlinePr summaryBelow="0" summaryRight="0"/>
    <pageSetUpPr fitToPage="1"/>
  </sheetPr>
  <dimension ref="A2:AA24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4140625" defaultRowHeight="13.2" outlineLevelRow="3" outlineLevelCol="1"/>
  <cols>
    <col min="1" max="1" width="0.5546875" style="416" customWidth="1"/>
    <col min="2" max="2" width="22.6640625" style="416" customWidth="1"/>
    <col min="3" max="3" width="17.6640625" style="416" bestFit="1" customWidth="1"/>
    <col min="4" max="4" width="16.33203125" style="416" customWidth="1"/>
    <col min="5" max="5" width="14.44140625" style="416" customWidth="1"/>
    <col min="6" max="6" width="53.6640625" style="749" customWidth="1"/>
    <col min="7" max="7" width="13.33203125" style="416" bestFit="1" customWidth="1"/>
    <col min="8" max="8" width="9.5546875" style="416" customWidth="1" outlineLevel="1"/>
    <col min="9" max="11" width="0.5546875" style="416" customWidth="1"/>
    <col min="12" max="12" width="14.44140625" style="416" customWidth="1"/>
    <col min="13" max="13" width="14.44140625" style="416" customWidth="1" collapsed="1"/>
    <col min="14" max="18" width="14.44140625" style="416" hidden="1" customWidth="1" outlineLevel="1"/>
    <col min="19" max="21" width="0.5546875" style="416" customWidth="1"/>
    <col min="22" max="22" width="16.33203125" style="416" customWidth="1" collapsed="1"/>
    <col min="23" max="23" width="14.33203125" style="416" hidden="1" customWidth="1" outlineLevel="1"/>
    <col min="24" max="26" width="9.44140625" style="416"/>
    <col min="27" max="27" width="9.44140625" style="416" bestFit="1" customWidth="1"/>
    <col min="28" max="16384" width="9.44140625" style="416"/>
  </cols>
  <sheetData>
    <row r="2" spans="1:27" ht="17.399999999999999">
      <c r="A2" s="376"/>
      <c r="B2" s="418" t="s">
        <v>1692</v>
      </c>
      <c r="C2" s="418"/>
      <c r="D2" s="418"/>
      <c r="E2" s="418"/>
      <c r="F2" s="423"/>
      <c r="G2" s="690">
        <f>SUBTOTAL(9,G6:G24)</f>
        <v>0</v>
      </c>
      <c r="H2" s="690">
        <f>SUBTOTAL(9,H6:H24)</f>
        <v>12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90">
        <f>SUBTOTAL(9,V6:V24)</f>
        <v>0</v>
      </c>
      <c r="W2" s="690">
        <f>SUBTOTAL(9,W6:W24)</f>
        <v>0</v>
      </c>
      <c r="X2" s="610">
        <f>G2-V2</f>
        <v>0</v>
      </c>
      <c r="Y2" s="610">
        <f>H2-W2</f>
        <v>12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 t="e">
        <f>V2/G2</f>
        <v>#DIV/0!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1633</v>
      </c>
      <c r="C6" s="430"/>
      <c r="D6" s="430"/>
      <c r="E6" s="430"/>
      <c r="F6" s="697"/>
      <c r="G6" s="738">
        <f>SUBTOTAL(9,G8:G291)</f>
        <v>0</v>
      </c>
      <c r="H6" s="739">
        <f>SUBTOTAL(9,H8:H291)</f>
        <v>12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738">
        <f>SUBTOTAL(9,V8:V291)</f>
        <v>0</v>
      </c>
      <c r="W6" s="739">
        <f>SUBTOTAL(9,W8:W291)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1645</v>
      </c>
      <c r="C8" s="665" t="s">
        <v>1645</v>
      </c>
      <c r="D8" s="665" t="s">
        <v>897</v>
      </c>
      <c r="E8" s="665"/>
      <c r="F8" s="681" t="s">
        <v>262</v>
      </c>
      <c r="G8" s="724">
        <f>SUBTOTAL(9,G13:G26)</f>
        <v>0</v>
      </c>
      <c r="H8" s="725">
        <f>SUBTOTAL(9,H9:H24)</f>
        <v>12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24">
        <f>SUBTOTAL(9,V13:V26)</f>
        <v>0</v>
      </c>
      <c r="W8" s="725">
        <f>SUBTOTAL(9,W13:W26)</f>
        <v>0</v>
      </c>
      <c r="X8" s="610"/>
      <c r="Y8" s="610"/>
      <c r="Z8" s="610"/>
    </row>
    <row r="9" spans="1:27" outlineLevel="2">
      <c r="A9" s="376"/>
      <c r="B9" s="684" t="s">
        <v>907</v>
      </c>
      <c r="C9" s="687" t="s">
        <v>1646</v>
      </c>
      <c r="D9" s="684" t="s">
        <v>897</v>
      </c>
      <c r="E9" s="684"/>
      <c r="F9" s="685"/>
      <c r="G9" s="686">
        <f>SUBTOTAL(9,G10:G11)</f>
        <v>0</v>
      </c>
      <c r="H9" s="691">
        <f>SUBTOTAL(9,H10:H16)</f>
        <v>7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SUBTOTAL(9,V10:V11)</f>
        <v>0</v>
      </c>
      <c r="W9" s="691">
        <f>SUBTOTAL(9,W10:W11)</f>
        <v>0</v>
      </c>
      <c r="X9" s="610"/>
      <c r="Y9" s="610"/>
      <c r="Z9" s="610"/>
    </row>
    <row r="10" spans="1:27" outlineLevel="3">
      <c r="A10" s="376"/>
      <c r="B10" s="376" t="s">
        <v>907</v>
      </c>
      <c r="C10" s="387" t="s">
        <v>1647</v>
      </c>
      <c r="D10" s="376" t="s">
        <v>897</v>
      </c>
      <c r="E10" s="376" t="s">
        <v>1648</v>
      </c>
      <c r="F10" s="608" t="s">
        <v>1649</v>
      </c>
      <c r="G10" s="609"/>
      <c r="H10" s="692">
        <v>1</v>
      </c>
      <c r="I10" s="626"/>
      <c r="J10" s="751"/>
      <c r="L10" s="376"/>
      <c r="M10" s="376"/>
      <c r="N10" s="376"/>
      <c r="O10" s="376"/>
      <c r="P10" s="376"/>
      <c r="Q10" s="376"/>
      <c r="R10" s="376"/>
      <c r="T10" s="751"/>
      <c r="V10" s="609">
        <f t="shared" ref="V10:V11" si="0">IF(W10=1,G10,0)</f>
        <v>0</v>
      </c>
      <c r="W10" s="692"/>
      <c r="X10" s="610"/>
      <c r="Y10" s="610"/>
      <c r="Z10" s="610"/>
    </row>
    <row r="11" spans="1:27" outlineLevel="3">
      <c r="A11" s="376"/>
      <c r="B11" s="376" t="s">
        <v>907</v>
      </c>
      <c r="C11" s="387" t="s">
        <v>1647</v>
      </c>
      <c r="D11" s="376" t="s">
        <v>897</v>
      </c>
      <c r="E11" s="376" t="s">
        <v>1648</v>
      </c>
      <c r="F11" s="608" t="s">
        <v>1650</v>
      </c>
      <c r="G11" s="609"/>
      <c r="H11" s="692">
        <v>1</v>
      </c>
      <c r="I11" s="626"/>
      <c r="J11" s="751"/>
      <c r="L11" s="376"/>
      <c r="M11" s="376"/>
      <c r="N11" s="376"/>
      <c r="O11" s="376"/>
      <c r="P11" s="376"/>
      <c r="Q11" s="376"/>
      <c r="R11" s="376"/>
      <c r="T11" s="751"/>
      <c r="V11" s="609">
        <f t="shared" si="0"/>
        <v>0</v>
      </c>
      <c r="W11" s="692"/>
      <c r="X11" s="610"/>
      <c r="Y11" s="610"/>
      <c r="Z11" s="610"/>
    </row>
    <row r="12" spans="1:27" outlineLevel="3">
      <c r="A12" s="376"/>
      <c r="B12" s="376" t="s">
        <v>907</v>
      </c>
      <c r="C12" s="387" t="s">
        <v>913</v>
      </c>
      <c r="D12" s="376" t="s">
        <v>897</v>
      </c>
      <c r="E12" s="376" t="s">
        <v>1648</v>
      </c>
      <c r="F12" s="608" t="s">
        <v>1651</v>
      </c>
      <c r="G12" s="609"/>
      <c r="H12" s="692">
        <v>1</v>
      </c>
      <c r="I12" s="626"/>
      <c r="J12" s="751"/>
      <c r="L12" s="376"/>
      <c r="M12" s="376"/>
      <c r="N12" s="376"/>
      <c r="O12" s="376"/>
      <c r="P12" s="376"/>
      <c r="Q12" s="376"/>
      <c r="R12" s="376"/>
      <c r="T12" s="751"/>
      <c r="V12" s="609">
        <f>IF(W12=1,G12,0)</f>
        <v>0</v>
      </c>
      <c r="W12" s="692"/>
      <c r="X12" s="610"/>
      <c r="Y12" s="610"/>
      <c r="Z12" s="610"/>
    </row>
    <row r="13" spans="1:27" outlineLevel="3">
      <c r="A13" s="376"/>
      <c r="B13" s="376" t="s">
        <v>907</v>
      </c>
      <c r="C13" s="387" t="s">
        <v>1652</v>
      </c>
      <c r="D13" s="376" t="s">
        <v>897</v>
      </c>
      <c r="E13" s="376" t="s">
        <v>1648</v>
      </c>
      <c r="F13" s="608" t="s">
        <v>1653</v>
      </c>
      <c r="G13" s="609"/>
      <c r="H13" s="692">
        <v>1</v>
      </c>
      <c r="I13" s="626"/>
      <c r="J13" s="751"/>
      <c r="L13" s="376"/>
      <c r="M13" s="376"/>
      <c r="N13" s="376"/>
      <c r="O13" s="376"/>
      <c r="P13" s="376"/>
      <c r="Q13" s="376"/>
      <c r="R13" s="376"/>
      <c r="T13" s="751"/>
      <c r="V13" s="609">
        <f t="shared" ref="V13:V16" si="1">IF(W13=1,G13,0)</f>
        <v>0</v>
      </c>
      <c r="W13" s="692"/>
      <c r="X13" s="610"/>
      <c r="Y13" s="610"/>
      <c r="Z13" s="610"/>
    </row>
    <row r="14" spans="1:27" outlineLevel="3">
      <c r="A14" s="376"/>
      <c r="B14" s="376" t="s">
        <v>907</v>
      </c>
      <c r="C14" s="387" t="s">
        <v>1652</v>
      </c>
      <c r="D14" s="376" t="s">
        <v>897</v>
      </c>
      <c r="E14" s="376" t="s">
        <v>1648</v>
      </c>
      <c r="F14" s="608" t="s">
        <v>1654</v>
      </c>
      <c r="G14" s="609"/>
      <c r="H14" s="692">
        <v>1</v>
      </c>
      <c r="I14" s="626"/>
      <c r="J14" s="751"/>
      <c r="L14" s="376"/>
      <c r="M14" s="376"/>
      <c r="N14" s="376"/>
      <c r="O14" s="376"/>
      <c r="P14" s="376"/>
      <c r="Q14" s="376"/>
      <c r="R14" s="376"/>
      <c r="T14" s="751"/>
      <c r="V14" s="609">
        <f t="shared" si="1"/>
        <v>0</v>
      </c>
      <c r="W14" s="692"/>
      <c r="X14" s="610"/>
      <c r="Y14" s="610"/>
      <c r="Z14" s="610"/>
    </row>
    <row r="15" spans="1:27" outlineLevel="3">
      <c r="A15" s="376"/>
      <c r="B15" s="376" t="s">
        <v>907</v>
      </c>
      <c r="C15" s="387" t="s">
        <v>1652</v>
      </c>
      <c r="D15" s="376" t="s">
        <v>897</v>
      </c>
      <c r="E15" s="376" t="s">
        <v>1648</v>
      </c>
      <c r="F15" s="608" t="s">
        <v>1655</v>
      </c>
      <c r="G15" s="609"/>
      <c r="H15" s="692">
        <v>1</v>
      </c>
      <c r="I15" s="626"/>
      <c r="J15" s="751"/>
      <c r="L15" s="376"/>
      <c r="M15" s="376"/>
      <c r="N15" s="376"/>
      <c r="O15" s="376"/>
      <c r="P15" s="376"/>
      <c r="Q15" s="376"/>
      <c r="R15" s="376"/>
      <c r="T15" s="751"/>
      <c r="V15" s="609">
        <f t="shared" si="1"/>
        <v>0</v>
      </c>
      <c r="W15" s="692"/>
      <c r="X15" s="610"/>
      <c r="Y15" s="610"/>
      <c r="Z15" s="610"/>
    </row>
    <row r="16" spans="1:27" outlineLevel="3">
      <c r="A16" s="376"/>
      <c r="B16" s="376" t="s">
        <v>907</v>
      </c>
      <c r="C16" s="387" t="s">
        <v>1652</v>
      </c>
      <c r="D16" s="376" t="s">
        <v>897</v>
      </c>
      <c r="E16" s="376" t="s">
        <v>1648</v>
      </c>
      <c r="F16" s="608" t="s">
        <v>1656</v>
      </c>
      <c r="G16" s="609"/>
      <c r="H16" s="692">
        <v>1</v>
      </c>
      <c r="I16" s="626"/>
      <c r="J16" s="751"/>
      <c r="L16" s="376"/>
      <c r="M16" s="376"/>
      <c r="N16" s="376"/>
      <c r="O16" s="376"/>
      <c r="P16" s="376"/>
      <c r="Q16" s="376"/>
      <c r="R16" s="376"/>
      <c r="T16" s="751"/>
      <c r="V16" s="609">
        <f t="shared" si="1"/>
        <v>0</v>
      </c>
      <c r="W16" s="692"/>
      <c r="X16" s="610"/>
      <c r="Y16" s="610"/>
      <c r="Z16" s="610"/>
    </row>
    <row r="17" spans="2:23" outlineLevel="2">
      <c r="B17" s="684" t="s">
        <v>1657</v>
      </c>
      <c r="C17" s="687" t="s">
        <v>1658</v>
      </c>
      <c r="D17" s="687" t="s">
        <v>897</v>
      </c>
      <c r="E17" s="684"/>
      <c r="F17" s="685"/>
      <c r="G17" s="686">
        <f>SUBTOTAL(9,G18:G19)</f>
        <v>0</v>
      </c>
      <c r="H17" s="691">
        <f>SUBTOTAL(9,H18:H20)</f>
        <v>3</v>
      </c>
      <c r="I17" s="626"/>
      <c r="J17" s="751"/>
      <c r="L17" s="684"/>
      <c r="M17" s="684"/>
      <c r="N17" s="684"/>
      <c r="O17" s="684"/>
      <c r="P17" s="684"/>
      <c r="Q17" s="684"/>
      <c r="R17" s="684"/>
      <c r="T17" s="751"/>
      <c r="V17" s="686">
        <f>SUBTOTAL(9,V18:V19)</f>
        <v>0</v>
      </c>
      <c r="W17" s="691">
        <f>SUBTOTAL(9,W18:W19)</f>
        <v>0</v>
      </c>
    </row>
    <row r="18" spans="2:23" ht="26.4" outlineLevel="3">
      <c r="B18" s="376" t="s">
        <v>1657</v>
      </c>
      <c r="C18" s="387" t="s">
        <v>1658</v>
      </c>
      <c r="D18" s="376" t="s">
        <v>897</v>
      </c>
      <c r="E18" s="376" t="s">
        <v>1648</v>
      </c>
      <c r="F18" s="608" t="s">
        <v>1659</v>
      </c>
      <c r="G18" s="609"/>
      <c r="H18" s="692">
        <v>1</v>
      </c>
      <c r="I18" s="626"/>
      <c r="J18" s="751"/>
      <c r="L18" s="376"/>
      <c r="M18" s="376"/>
      <c r="N18" s="376"/>
      <c r="O18" s="376"/>
      <c r="P18" s="376"/>
      <c r="Q18" s="376"/>
      <c r="R18" s="376"/>
      <c r="T18" s="751"/>
      <c r="V18" s="609">
        <f t="shared" ref="V18:V20" si="2">IF(W18=1,G18,0)</f>
        <v>0</v>
      </c>
      <c r="W18" s="692"/>
    </row>
    <row r="19" spans="2:23" ht="26.4" outlineLevel="3">
      <c r="B19" s="376" t="s">
        <v>1657</v>
      </c>
      <c r="C19" s="387" t="s">
        <v>1658</v>
      </c>
      <c r="D19" s="376" t="s">
        <v>897</v>
      </c>
      <c r="E19" s="376" t="s">
        <v>1648</v>
      </c>
      <c r="F19" s="608" t="s">
        <v>1660</v>
      </c>
      <c r="G19" s="609"/>
      <c r="H19" s="692">
        <v>1</v>
      </c>
      <c r="I19" s="626"/>
      <c r="J19" s="751"/>
      <c r="L19" s="376"/>
      <c r="M19" s="376"/>
      <c r="N19" s="376"/>
      <c r="O19" s="376"/>
      <c r="P19" s="376"/>
      <c r="Q19" s="376"/>
      <c r="R19" s="376"/>
      <c r="T19" s="751"/>
      <c r="V19" s="609">
        <f t="shared" si="2"/>
        <v>0</v>
      </c>
      <c r="W19" s="692"/>
    </row>
    <row r="20" spans="2:23" outlineLevel="3">
      <c r="B20" s="376" t="s">
        <v>1657</v>
      </c>
      <c r="C20" s="387" t="s">
        <v>1658</v>
      </c>
      <c r="D20" s="376" t="s">
        <v>897</v>
      </c>
      <c r="E20" s="376" t="s">
        <v>1648</v>
      </c>
      <c r="F20" s="608" t="s">
        <v>1661</v>
      </c>
      <c r="G20" s="609"/>
      <c r="H20" s="692">
        <v>1</v>
      </c>
      <c r="I20" s="626"/>
      <c r="J20" s="751"/>
      <c r="L20" s="376"/>
      <c r="M20" s="376"/>
      <c r="N20" s="376"/>
      <c r="O20" s="376"/>
      <c r="P20" s="376"/>
      <c r="Q20" s="376"/>
      <c r="R20" s="376"/>
      <c r="T20" s="751"/>
      <c r="V20" s="609">
        <f t="shared" si="2"/>
        <v>0</v>
      </c>
      <c r="W20" s="692"/>
    </row>
    <row r="21" spans="2:23" outlineLevel="2">
      <c r="B21" s="684" t="s">
        <v>1662</v>
      </c>
      <c r="C21" s="687" t="s">
        <v>1658</v>
      </c>
      <c r="D21" s="687" t="s">
        <v>897</v>
      </c>
      <c r="E21" s="684"/>
      <c r="F21" s="685"/>
      <c r="G21" s="686">
        <f>SUBTOTAL(9,G22:G25)</f>
        <v>0</v>
      </c>
      <c r="H21" s="691">
        <f>SUBTOTAL(9,H22)</f>
        <v>1</v>
      </c>
      <c r="I21" s="626"/>
      <c r="J21" s="751"/>
      <c r="L21" s="684"/>
      <c r="M21" s="684"/>
      <c r="N21" s="684"/>
      <c r="O21" s="684"/>
      <c r="P21" s="684"/>
      <c r="Q21" s="684"/>
      <c r="R21" s="684"/>
      <c r="T21" s="751"/>
      <c r="V21" s="686">
        <f>SUBTOTAL(9,V22:V25)</f>
        <v>0</v>
      </c>
      <c r="W21" s="691">
        <f>SUBTOTAL(9,W22:W25)</f>
        <v>0</v>
      </c>
    </row>
    <row r="22" spans="2:23" outlineLevel="3">
      <c r="B22" s="376" t="s">
        <v>1662</v>
      </c>
      <c r="C22" s="387" t="s">
        <v>1658</v>
      </c>
      <c r="D22" s="376" t="s">
        <v>897</v>
      </c>
      <c r="E22" s="376" t="s">
        <v>1648</v>
      </c>
      <c r="F22" s="608" t="s">
        <v>1663</v>
      </c>
      <c r="G22" s="609"/>
      <c r="H22" s="692">
        <v>1</v>
      </c>
      <c r="I22" s="626"/>
      <c r="J22" s="751"/>
      <c r="L22" s="376"/>
      <c r="M22" s="376"/>
      <c r="N22" s="376"/>
      <c r="O22" s="376"/>
      <c r="P22" s="376"/>
      <c r="Q22" s="376"/>
      <c r="R22" s="376"/>
      <c r="T22" s="751"/>
      <c r="V22" s="609">
        <f t="shared" ref="V22" si="3">IF(W22=1,G22,0)</f>
        <v>0</v>
      </c>
      <c r="W22" s="692"/>
    </row>
    <row r="23" spans="2:23" outlineLevel="2">
      <c r="B23" s="684" t="s">
        <v>1640</v>
      </c>
      <c r="C23" s="687" t="s">
        <v>1641</v>
      </c>
      <c r="D23" s="687" t="s">
        <v>897</v>
      </c>
      <c r="E23" s="684"/>
      <c r="F23" s="685"/>
      <c r="G23" s="686">
        <f>SUBTOTAL(9,G24:G25)</f>
        <v>0</v>
      </c>
      <c r="H23" s="691">
        <f>SUBTOTAL(9,H24)</f>
        <v>1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86">
        <f>SUBTOTAL(9,V24:V25)</f>
        <v>0</v>
      </c>
      <c r="W23" s="691">
        <f>SUBTOTAL(9,W24:W25)</f>
        <v>0</v>
      </c>
    </row>
    <row r="24" spans="2:23" outlineLevel="3">
      <c r="B24" s="376" t="s">
        <v>1640</v>
      </c>
      <c r="C24" s="387" t="s">
        <v>663</v>
      </c>
      <c r="D24" s="376" t="s">
        <v>897</v>
      </c>
      <c r="E24" s="376" t="s">
        <v>1648</v>
      </c>
      <c r="F24" s="608" t="s">
        <v>1664</v>
      </c>
      <c r="G24" s="609"/>
      <c r="H24" s="692">
        <v>1</v>
      </c>
      <c r="I24" s="626"/>
      <c r="J24" s="751"/>
      <c r="L24" s="376"/>
      <c r="M24" s="376"/>
      <c r="N24" s="376"/>
      <c r="O24" s="376"/>
      <c r="P24" s="376"/>
      <c r="Q24" s="376"/>
      <c r="R24" s="376"/>
      <c r="T24" s="751"/>
      <c r="V24" s="609">
        <f t="shared" ref="V24" si="4">IF(W24=1,G24,0)</f>
        <v>0</v>
      </c>
      <c r="W24" s="692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2A2-9C30-4E49-8A2B-72CEABF71C6F}">
  <sheetPr>
    <outlinePr summaryBelow="0" summaryRight="0"/>
    <pageSetUpPr fitToPage="1"/>
  </sheetPr>
  <dimension ref="A2:AE206"/>
  <sheetViews>
    <sheetView zoomScale="90" zoomScaleNormal="90" workbookViewId="0">
      <pane xSplit="2" ySplit="4" topLeftCell="C152" activePane="bottomRight" state="frozen"/>
      <selection pane="topRight" activeCell="F211" sqref="F211"/>
      <selection pane="bottomLeft" activeCell="F211" sqref="F211"/>
      <selection pane="bottomRight" activeCell="F211" sqref="F211"/>
    </sheetView>
  </sheetViews>
  <sheetFormatPr defaultColWidth="9.44140625" defaultRowHeight="13.2" outlineLevelRow="4" outlineLevelCol="1"/>
  <cols>
    <col min="1" max="1" width="0.5546875" style="787" customWidth="1"/>
    <col min="2" max="2" width="22.6640625" style="787" customWidth="1"/>
    <col min="3" max="3" width="17.6640625" style="787" bestFit="1" customWidth="1"/>
    <col min="4" max="4" width="16.33203125" style="787" customWidth="1"/>
    <col min="5" max="5" width="14.44140625" style="787" customWidth="1"/>
    <col min="6" max="6" width="53.6640625" style="791" customWidth="1"/>
    <col min="7" max="7" width="13.33203125" style="787" bestFit="1" customWidth="1"/>
    <col min="8" max="8" width="9.5546875" style="787" customWidth="1" outlineLevel="1"/>
    <col min="9" max="11" width="0.5546875" style="787" customWidth="1"/>
    <col min="12" max="12" width="14.44140625" style="787" customWidth="1"/>
    <col min="13" max="13" width="14.44140625" style="787" customWidth="1" collapsed="1"/>
    <col min="14" max="18" width="14.44140625" style="787" hidden="1" customWidth="1" outlineLevel="1"/>
    <col min="19" max="21" width="0.5546875" style="787" customWidth="1"/>
    <col min="22" max="22" width="16.33203125" style="787" customWidth="1" collapsed="1"/>
    <col min="23" max="23" width="14.33203125" style="787" hidden="1" customWidth="1" outlineLevel="1"/>
    <col min="24" max="26" width="9.44140625" style="787" bestFit="1"/>
    <col min="27" max="27" width="9.44140625" style="787" bestFit="1" customWidth="1"/>
    <col min="28" max="16384" width="9.44140625" style="787"/>
  </cols>
  <sheetData>
    <row r="2" spans="1:31" ht="17.399999999999999">
      <c r="A2" s="376"/>
      <c r="B2" s="418" t="s">
        <v>1693</v>
      </c>
      <c r="C2" s="418"/>
      <c r="D2" s="418"/>
      <c r="E2" s="418"/>
      <c r="F2" s="423"/>
      <c r="G2" s="796">
        <f>SUBTOTAL(9,G6:G205)</f>
        <v>29.565205943261784</v>
      </c>
      <c r="H2" s="690">
        <f>SUBTOTAL(9,H6:H205)</f>
        <v>125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SUBTOTAL(9,V6:V205)</f>
        <v>0</v>
      </c>
      <c r="W2" s="764">
        <f>SUBTOTAL(9,W6:W205)</f>
        <v>0</v>
      </c>
      <c r="X2" s="610">
        <f>G2-V2</f>
        <v>29.565205943261784</v>
      </c>
      <c r="Y2" s="610">
        <f>H2-W2</f>
        <v>125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13</v>
      </c>
      <c r="C6" s="430"/>
      <c r="D6" s="430"/>
      <c r="E6" s="430"/>
      <c r="F6" s="697"/>
      <c r="G6" s="738">
        <f>SUBTOTAL(9,G8:G134)</f>
        <v>8.9083390934770925</v>
      </c>
      <c r="H6" s="739">
        <f>SUBTOTAL(9,H8:H134)</f>
        <v>92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SUBTOTAL(9,V8:V134)</f>
        <v>0</v>
      </c>
      <c r="W6" s="739">
        <f>SUBTOTAL(9,W8:W134)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97">
        <f>SUBTOTAL(9,G9:G12)</f>
        <v>2.1350947217956596E-2</v>
      </c>
      <c r="H8" s="798">
        <f>SUBTOTAL(9,H9:H12)</f>
        <v>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SUBTOTAL(9,V9:V12)</f>
        <v>0</v>
      </c>
      <c r="W8" s="798">
        <f>SUBTOTAL(9,W9:W12)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14</v>
      </c>
      <c r="C9" s="684" t="s">
        <v>15</v>
      </c>
      <c r="D9" s="684" t="s">
        <v>25</v>
      </c>
      <c r="E9" s="684"/>
      <c r="F9" s="685" t="s">
        <v>1194</v>
      </c>
      <c r="G9" s="686">
        <f>SUBTOTAL(9,G10:G12)</f>
        <v>2.1350947217956596E-2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ht="26.4" outlineLevel="3">
      <c r="A10" s="376"/>
      <c r="B10" s="376" t="s">
        <v>14</v>
      </c>
      <c r="C10" s="376" t="s">
        <v>18</v>
      </c>
      <c r="D10" s="376" t="s">
        <v>25</v>
      </c>
      <c r="E10" s="376" t="s">
        <v>26</v>
      </c>
      <c r="F10" s="608" t="s">
        <v>1197</v>
      </c>
      <c r="G10" s="609">
        <v>5.2867302539999998E-3</v>
      </c>
      <c r="H10" s="692">
        <v>1</v>
      </c>
      <c r="I10" s="626"/>
      <c r="J10" s="751"/>
      <c r="K10" s="416"/>
      <c r="L10" s="376" t="s">
        <v>26</v>
      </c>
      <c r="M10" s="376" t="s">
        <v>1201</v>
      </c>
      <c r="N10" s="376" t="s">
        <v>1202</v>
      </c>
      <c r="O10" s="376" t="s">
        <v>1203</v>
      </c>
      <c r="P10" s="376" t="s">
        <v>1204</v>
      </c>
      <c r="Q10" s="41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outlineLevel="3">
      <c r="A11" s="376"/>
      <c r="B11" s="376" t="s">
        <v>14</v>
      </c>
      <c r="C11" s="376" t="s">
        <v>22</v>
      </c>
      <c r="D11" s="376" t="s">
        <v>25</v>
      </c>
      <c r="E11" s="376" t="s">
        <v>26</v>
      </c>
      <c r="F11" s="608" t="s">
        <v>186</v>
      </c>
      <c r="G11" s="609">
        <v>1.0861267500000001E-2</v>
      </c>
      <c r="H11" s="692">
        <v>1</v>
      </c>
      <c r="I11" s="626"/>
      <c r="J11" s="751"/>
      <c r="K11" s="416"/>
      <c r="L11" s="376" t="s">
        <v>26</v>
      </c>
      <c r="M11" s="376" t="s">
        <v>1201</v>
      </c>
      <c r="N11" s="376" t="s">
        <v>1205</v>
      </c>
      <c r="O11" s="376" t="s">
        <v>1206</v>
      </c>
      <c r="P11" s="376" t="s">
        <v>1207</v>
      </c>
      <c r="Q11" s="41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  <c r="AB11" s="416"/>
      <c r="AC11" s="416"/>
      <c r="AD11" s="447"/>
      <c r="AE11" s="683"/>
    </row>
    <row r="12" spans="1:31" ht="13.95" customHeight="1" outlineLevel="3">
      <c r="A12" s="376"/>
      <c r="B12" s="376" t="s">
        <v>14</v>
      </c>
      <c r="C12" s="376" t="s">
        <v>22</v>
      </c>
      <c r="D12" s="376" t="s">
        <v>25</v>
      </c>
      <c r="E12" s="376" t="s">
        <v>26</v>
      </c>
      <c r="F12" s="608" t="s">
        <v>1200</v>
      </c>
      <c r="G12" s="609">
        <v>5.2029494639565963E-3</v>
      </c>
      <c r="H12" s="692">
        <v>1</v>
      </c>
      <c r="I12" s="626"/>
      <c r="J12" s="751"/>
      <c r="K12" s="416"/>
      <c r="L12" s="376" t="s">
        <v>26</v>
      </c>
      <c r="M12" s="376" t="s">
        <v>1201</v>
      </c>
      <c r="N12" s="376" t="s">
        <v>1202</v>
      </c>
      <c r="O12" s="376" t="s">
        <v>1203</v>
      </c>
      <c r="P12" s="376" t="s">
        <v>1207</v>
      </c>
      <c r="Q12" s="41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  <c r="AB12" s="416"/>
      <c r="AC12" s="416"/>
      <c r="AD12" s="447"/>
      <c r="AE12" s="683"/>
    </row>
    <row r="13" spans="1:31" s="793" customFormat="1" outlineLevel="1">
      <c r="A13" s="380"/>
      <c r="B13" s="665" t="s">
        <v>14</v>
      </c>
      <c r="C13" s="665" t="s">
        <v>29</v>
      </c>
      <c r="D13" s="665"/>
      <c r="E13" s="665"/>
      <c r="F13" s="681" t="s">
        <v>262</v>
      </c>
      <c r="G13" s="797">
        <f>SUBTOTAL(9,G14:G30)</f>
        <v>0.33962724008299344</v>
      </c>
      <c r="H13" s="798">
        <f>SUBTOTAL(9,H14:H30)</f>
        <v>16</v>
      </c>
      <c r="I13" s="627"/>
      <c r="J13" s="753"/>
      <c r="K13" s="612"/>
      <c r="L13" s="665"/>
      <c r="M13" s="665"/>
      <c r="N13" s="665"/>
      <c r="O13" s="665"/>
      <c r="P13" s="665"/>
      <c r="Q13" s="665"/>
      <c r="R13" s="665"/>
      <c r="S13" s="612"/>
      <c r="T13" s="753"/>
      <c r="U13" s="612"/>
      <c r="V13" s="797">
        <f>SUBTOTAL(9,V14:V30)</f>
        <v>0</v>
      </c>
      <c r="W13" s="798">
        <f>SUBTOTAL(9,W14:W30)</f>
        <v>0</v>
      </c>
      <c r="X13" s="611"/>
      <c r="Y13" s="611"/>
      <c r="Z13" s="611"/>
      <c r="AA13" s="612"/>
      <c r="AB13" s="612"/>
      <c r="AC13" s="612"/>
      <c r="AD13" s="447"/>
      <c r="AE13" s="683"/>
    </row>
    <row r="14" spans="1:31" outlineLevel="2">
      <c r="A14" s="376"/>
      <c r="B14" s="684" t="s">
        <v>14</v>
      </c>
      <c r="C14" s="684" t="s">
        <v>29</v>
      </c>
      <c r="D14" s="684" t="s">
        <v>25</v>
      </c>
      <c r="E14" s="684"/>
      <c r="F14" s="685" t="s">
        <v>1591</v>
      </c>
      <c r="G14" s="686">
        <f>SUBTOTAL(9,G15:G30)</f>
        <v>0.33962724008299344</v>
      </c>
      <c r="H14" s="691">
        <f>SUBTOTAL(9,H15:H30)</f>
        <v>16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SUBTOTAL(9,V15:V30)</f>
        <v>0</v>
      </c>
      <c r="W14" s="691">
        <f>SUBTOTAL(9,W15:W30)</f>
        <v>0</v>
      </c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14</v>
      </c>
      <c r="C15" s="376" t="s">
        <v>29</v>
      </c>
      <c r="D15" s="376" t="s">
        <v>25</v>
      </c>
      <c r="E15" s="376" t="s">
        <v>26</v>
      </c>
      <c r="F15" s="608" t="s">
        <v>1227</v>
      </c>
      <c r="G15" s="609">
        <v>9.3421603890201377E-2</v>
      </c>
      <c r="H15" s="692">
        <v>1</v>
      </c>
      <c r="I15" s="626"/>
      <c r="J15" s="751"/>
      <c r="K15" s="416"/>
      <c r="L15" s="376" t="s">
        <v>26</v>
      </c>
      <c r="M15" s="376" t="s">
        <v>1201</v>
      </c>
      <c r="N15" s="376" t="s">
        <v>1228</v>
      </c>
      <c r="O15" s="376"/>
      <c r="P15" s="376" t="s">
        <v>1207</v>
      </c>
      <c r="Q15" s="376"/>
      <c r="R15" s="376"/>
      <c r="S15" s="416"/>
      <c r="T15" s="751"/>
      <c r="U15" s="416"/>
      <c r="V15" s="609">
        <f t="shared" ref="V15:V30" si="0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ht="26.4" outlineLevel="3">
      <c r="A16" s="376"/>
      <c r="B16" s="376" t="s">
        <v>14</v>
      </c>
      <c r="C16" s="376" t="s">
        <v>29</v>
      </c>
      <c r="D16" s="376" t="s">
        <v>25</v>
      </c>
      <c r="E16" s="376" t="s">
        <v>26</v>
      </c>
      <c r="F16" s="608" t="s">
        <v>1229</v>
      </c>
      <c r="G16" s="609">
        <v>2.1106865436972901E-2</v>
      </c>
      <c r="H16" s="692">
        <v>1</v>
      </c>
      <c r="I16" s="626"/>
      <c r="J16" s="751"/>
      <c r="K16" s="416"/>
      <c r="L16" s="376" t="s">
        <v>26</v>
      </c>
      <c r="M16" s="376" t="s">
        <v>1201</v>
      </c>
      <c r="N16" s="376" t="s">
        <v>1228</v>
      </c>
      <c r="O16" s="376"/>
      <c r="P16" s="376" t="s">
        <v>1207</v>
      </c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1:23" outlineLevel="3">
      <c r="A17" s="376"/>
      <c r="B17" s="376" t="s">
        <v>14</v>
      </c>
      <c r="C17" s="376" t="s">
        <v>29</v>
      </c>
      <c r="D17" s="376" t="s">
        <v>25</v>
      </c>
      <c r="E17" s="376" t="s">
        <v>26</v>
      </c>
      <c r="F17" s="608" t="s">
        <v>1230</v>
      </c>
      <c r="G17" s="609">
        <v>3.166029815545935E-2</v>
      </c>
      <c r="H17" s="692">
        <v>1</v>
      </c>
      <c r="I17" s="626"/>
      <c r="J17" s="751"/>
      <c r="K17" s="416"/>
      <c r="L17" s="376" t="s">
        <v>26</v>
      </c>
      <c r="M17" s="376" t="s">
        <v>1201</v>
      </c>
      <c r="N17" s="376" t="s">
        <v>1228</v>
      </c>
      <c r="O17" s="376"/>
      <c r="P17" s="376" t="s">
        <v>1207</v>
      </c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1:23" ht="26.4" outlineLevel="3">
      <c r="A18" s="376"/>
      <c r="B18" s="376" t="s">
        <v>14</v>
      </c>
      <c r="C18" s="376" t="s">
        <v>29</v>
      </c>
      <c r="D18" s="376" t="s">
        <v>25</v>
      </c>
      <c r="E18" s="376" t="s">
        <v>26</v>
      </c>
      <c r="F18" s="608" t="s">
        <v>1219</v>
      </c>
      <c r="G18" s="609">
        <v>5.2767163592432253E-3</v>
      </c>
      <c r="H18" s="692">
        <v>1</v>
      </c>
      <c r="I18" s="626"/>
      <c r="J18" s="751"/>
      <c r="K18" s="416"/>
      <c r="L18" s="376" t="s">
        <v>26</v>
      </c>
      <c r="M18" s="376" t="s">
        <v>1201</v>
      </c>
      <c r="N18" s="376" t="s">
        <v>1228</v>
      </c>
      <c r="O18" s="376"/>
      <c r="P18" s="376" t="s">
        <v>1207</v>
      </c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1:23" ht="26.4" outlineLevel="3">
      <c r="A19" s="376"/>
      <c r="B19" s="376" t="s">
        <v>14</v>
      </c>
      <c r="C19" s="376" t="s">
        <v>29</v>
      </c>
      <c r="D19" s="376" t="s">
        <v>25</v>
      </c>
      <c r="E19" s="376" t="s">
        <v>26</v>
      </c>
      <c r="F19" s="608" t="s">
        <v>1231</v>
      </c>
      <c r="G19" s="609">
        <v>2.1106865436972901E-2</v>
      </c>
      <c r="H19" s="692">
        <v>1</v>
      </c>
      <c r="I19" s="626"/>
      <c r="J19" s="751"/>
      <c r="K19" s="416"/>
      <c r="L19" s="376" t="s">
        <v>26</v>
      </c>
      <c r="M19" s="376" t="s">
        <v>1201</v>
      </c>
      <c r="N19" s="376" t="s">
        <v>1228</v>
      </c>
      <c r="O19" s="376"/>
      <c r="P19" s="376" t="s">
        <v>1207</v>
      </c>
      <c r="Q19" s="376"/>
      <c r="R19" s="376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14</v>
      </c>
      <c r="C20" s="376" t="s">
        <v>29</v>
      </c>
      <c r="D20" s="376" t="s">
        <v>25</v>
      </c>
      <c r="E20" s="376" t="s">
        <v>26</v>
      </c>
      <c r="F20" s="608" t="s">
        <v>1232</v>
      </c>
      <c r="G20" s="609">
        <v>3.166029815545935E-2</v>
      </c>
      <c r="H20" s="692">
        <v>1</v>
      </c>
      <c r="I20" s="626"/>
      <c r="J20" s="751"/>
      <c r="K20" s="416"/>
      <c r="L20" s="376" t="s">
        <v>26</v>
      </c>
      <c r="M20" s="376" t="s">
        <v>1201</v>
      </c>
      <c r="N20" s="376" t="s">
        <v>1228</v>
      </c>
      <c r="O20" s="376"/>
      <c r="P20" s="376" t="s">
        <v>1207</v>
      </c>
      <c r="Q20" s="376"/>
      <c r="R20" s="376"/>
      <c r="S20" s="416"/>
      <c r="T20" s="751"/>
      <c r="U20" s="416"/>
      <c r="V20" s="609">
        <f t="shared" si="0"/>
        <v>0</v>
      </c>
      <c r="W20" s="692"/>
    </row>
    <row r="21" spans="1:23" ht="26.4" outlineLevel="3">
      <c r="A21" s="376"/>
      <c r="B21" s="376" t="s">
        <v>14</v>
      </c>
      <c r="C21" s="376" t="s">
        <v>29</v>
      </c>
      <c r="D21" s="376" t="s">
        <v>25</v>
      </c>
      <c r="E21" s="376" t="s">
        <v>26</v>
      </c>
      <c r="F21" s="608" t="s">
        <v>1221</v>
      </c>
      <c r="G21" s="609">
        <v>5.2767163592432253E-3</v>
      </c>
      <c r="H21" s="692">
        <v>1</v>
      </c>
      <c r="I21" s="626"/>
      <c r="J21" s="751"/>
      <c r="K21" s="416"/>
      <c r="L21" s="376" t="s">
        <v>26</v>
      </c>
      <c r="M21" s="376" t="s">
        <v>1201</v>
      </c>
      <c r="N21" s="376" t="s">
        <v>1228</v>
      </c>
      <c r="O21" s="376"/>
      <c r="P21" s="376" t="s">
        <v>1207</v>
      </c>
      <c r="Q21" s="376"/>
      <c r="R21" s="376"/>
      <c r="S21" s="416"/>
      <c r="T21" s="751"/>
      <c r="U21" s="416"/>
      <c r="V21" s="609">
        <f t="shared" si="0"/>
        <v>0</v>
      </c>
      <c r="W21" s="692"/>
    </row>
    <row r="22" spans="1:23" ht="26.4" outlineLevel="3">
      <c r="A22" s="376"/>
      <c r="B22" s="376" t="s">
        <v>14</v>
      </c>
      <c r="C22" s="376" t="s">
        <v>29</v>
      </c>
      <c r="D22" s="376" t="s">
        <v>25</v>
      </c>
      <c r="E22" s="376" t="s">
        <v>26</v>
      </c>
      <c r="F22" s="608" t="s">
        <v>1222</v>
      </c>
      <c r="G22" s="609">
        <v>1E-3</v>
      </c>
      <c r="H22" s="692">
        <v>1</v>
      </c>
      <c r="I22" s="626"/>
      <c r="J22" s="751"/>
      <c r="K22" s="416"/>
      <c r="L22" s="376" t="s">
        <v>26</v>
      </c>
      <c r="M22" s="376" t="s">
        <v>1201</v>
      </c>
      <c r="N22" s="376" t="s">
        <v>1228</v>
      </c>
      <c r="O22" s="376"/>
      <c r="P22" s="376" t="s">
        <v>1207</v>
      </c>
      <c r="Q22" s="376"/>
      <c r="R22" s="376"/>
      <c r="S22" s="416"/>
      <c r="T22" s="751"/>
      <c r="U22" s="416"/>
      <c r="V22" s="609">
        <f t="shared" si="0"/>
        <v>0</v>
      </c>
      <c r="W22" s="692"/>
    </row>
    <row r="23" spans="1:23" ht="26.4" outlineLevel="3">
      <c r="A23" s="376"/>
      <c r="B23" s="376" t="s">
        <v>14</v>
      </c>
      <c r="C23" s="376" t="s">
        <v>29</v>
      </c>
      <c r="D23" s="376" t="s">
        <v>25</v>
      </c>
      <c r="E23" s="376" t="s">
        <v>26</v>
      </c>
      <c r="F23" s="608" t="s">
        <v>1223</v>
      </c>
      <c r="G23" s="609">
        <v>2.3452072707747665E-3</v>
      </c>
      <c r="H23" s="692">
        <v>1</v>
      </c>
      <c r="I23" s="626"/>
      <c r="J23" s="751"/>
      <c r="K23" s="416"/>
      <c r="L23" s="376" t="s">
        <v>26</v>
      </c>
      <c r="M23" s="376" t="s">
        <v>1201</v>
      </c>
      <c r="N23" s="376" t="s">
        <v>1228</v>
      </c>
      <c r="O23" s="376"/>
      <c r="P23" s="376" t="s">
        <v>1207</v>
      </c>
      <c r="Q23" s="376"/>
      <c r="R23" s="376"/>
      <c r="S23" s="416"/>
      <c r="T23" s="751"/>
      <c r="U23" s="416"/>
      <c r="V23" s="609">
        <f t="shared" si="0"/>
        <v>0</v>
      </c>
      <c r="W23" s="692"/>
    </row>
    <row r="24" spans="1:23" ht="26.4" outlineLevel="3">
      <c r="A24" s="376"/>
      <c r="B24" s="376" t="s">
        <v>14</v>
      </c>
      <c r="C24" s="376" t="s">
        <v>29</v>
      </c>
      <c r="D24" s="376" t="s">
        <v>25</v>
      </c>
      <c r="E24" s="376" t="s">
        <v>26</v>
      </c>
      <c r="F24" s="608" t="s">
        <v>1592</v>
      </c>
      <c r="G24" s="609">
        <v>1.4071243624648597E-2</v>
      </c>
      <c r="H24" s="692">
        <v>1</v>
      </c>
      <c r="I24" s="626"/>
      <c r="J24" s="751"/>
      <c r="K24" s="416"/>
      <c r="L24" s="376" t="s">
        <v>26</v>
      </c>
      <c r="M24" s="376" t="s">
        <v>1201</v>
      </c>
      <c r="N24" s="376" t="s">
        <v>1228</v>
      </c>
      <c r="O24" s="376"/>
      <c r="P24" s="376" t="s">
        <v>1207</v>
      </c>
      <c r="Q24" s="376"/>
      <c r="R24" s="376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14</v>
      </c>
      <c r="C25" s="376" t="s">
        <v>29</v>
      </c>
      <c r="D25" s="376" t="s">
        <v>25</v>
      </c>
      <c r="E25" s="376" t="s">
        <v>26</v>
      </c>
      <c r="F25" s="608" t="s">
        <v>1593</v>
      </c>
      <c r="G25" s="609">
        <v>3.166029815545935E-2</v>
      </c>
      <c r="H25" s="692">
        <v>1</v>
      </c>
      <c r="I25" s="626"/>
      <c r="J25" s="751"/>
      <c r="K25" s="416"/>
      <c r="L25" s="376" t="s">
        <v>26</v>
      </c>
      <c r="M25" s="376" t="s">
        <v>1201</v>
      </c>
      <c r="N25" s="376" t="s">
        <v>1228</v>
      </c>
      <c r="O25" s="376"/>
      <c r="P25" s="376" t="s">
        <v>1207</v>
      </c>
      <c r="Q25" s="376"/>
      <c r="R25" s="376"/>
      <c r="S25" s="416"/>
      <c r="T25" s="751"/>
      <c r="U25" s="416"/>
      <c r="V25" s="609">
        <f t="shared" si="0"/>
        <v>0</v>
      </c>
      <c r="W25" s="692"/>
    </row>
    <row r="26" spans="1:23" ht="26.4" outlineLevel="3">
      <c r="A26" s="376"/>
      <c r="B26" s="376" t="s">
        <v>14</v>
      </c>
      <c r="C26" s="376" t="s">
        <v>29</v>
      </c>
      <c r="D26" s="376" t="s">
        <v>25</v>
      </c>
      <c r="E26" s="376" t="s">
        <v>26</v>
      </c>
      <c r="F26" s="608" t="s">
        <v>1590</v>
      </c>
      <c r="G26" s="609">
        <v>2.3452072707747665E-3</v>
      </c>
      <c r="H26" s="692">
        <v>1</v>
      </c>
      <c r="I26" s="626"/>
      <c r="J26" s="751"/>
      <c r="K26" s="416"/>
      <c r="L26" s="376" t="s">
        <v>26</v>
      </c>
      <c r="M26" s="376" t="s">
        <v>1201</v>
      </c>
      <c r="N26" s="376" t="s">
        <v>1228</v>
      </c>
      <c r="O26" s="376"/>
      <c r="P26" s="376" t="s">
        <v>1207</v>
      </c>
      <c r="Q26" s="376"/>
      <c r="R26" s="376"/>
      <c r="S26" s="416"/>
      <c r="T26" s="751"/>
      <c r="U26" s="416"/>
      <c r="V26" s="609">
        <f t="shared" si="0"/>
        <v>0</v>
      </c>
      <c r="W26" s="692"/>
    </row>
    <row r="27" spans="1:23" ht="26.4" outlineLevel="3">
      <c r="A27" s="376"/>
      <c r="B27" s="376" t="s">
        <v>14</v>
      </c>
      <c r="C27" s="376" t="s">
        <v>29</v>
      </c>
      <c r="D27" s="376" t="s">
        <v>25</v>
      </c>
      <c r="E27" s="376" t="s">
        <v>26</v>
      </c>
      <c r="F27" s="608" t="s">
        <v>1233</v>
      </c>
      <c r="G27" s="609">
        <v>1.4071243624648597E-2</v>
      </c>
      <c r="H27" s="692">
        <v>1</v>
      </c>
      <c r="I27" s="626"/>
      <c r="J27" s="751"/>
      <c r="K27" s="416"/>
      <c r="L27" s="376" t="s">
        <v>26</v>
      </c>
      <c r="M27" s="376" t="s">
        <v>1201</v>
      </c>
      <c r="N27" s="376" t="s">
        <v>1228</v>
      </c>
      <c r="O27" s="376"/>
      <c r="P27" s="376" t="s">
        <v>1207</v>
      </c>
      <c r="Q27" s="376"/>
      <c r="R27" s="376"/>
      <c r="S27" s="416"/>
      <c r="T27" s="751"/>
      <c r="U27" s="416"/>
      <c r="V27" s="609">
        <f t="shared" si="0"/>
        <v>0</v>
      </c>
      <c r="W27" s="692"/>
    </row>
    <row r="28" spans="1:23" outlineLevel="3">
      <c r="A28" s="376"/>
      <c r="B28" s="376" t="s">
        <v>14</v>
      </c>
      <c r="C28" s="376" t="s">
        <v>29</v>
      </c>
      <c r="D28" s="376" t="s">
        <v>25</v>
      </c>
      <c r="E28" s="376" t="s">
        <v>26</v>
      </c>
      <c r="F28" s="608" t="s">
        <v>1234</v>
      </c>
      <c r="G28" s="609">
        <v>2.1106865436972894E-2</v>
      </c>
      <c r="H28" s="692">
        <v>1</v>
      </c>
      <c r="I28" s="626"/>
      <c r="J28" s="751"/>
      <c r="K28" s="416"/>
      <c r="L28" s="376" t="s">
        <v>26</v>
      </c>
      <c r="M28" s="376" t="s">
        <v>1201</v>
      </c>
      <c r="N28" s="376" t="s">
        <v>1228</v>
      </c>
      <c r="O28" s="376"/>
      <c r="P28" s="376" t="s">
        <v>1207</v>
      </c>
      <c r="Q28" s="376"/>
      <c r="R28" s="376"/>
      <c r="S28" s="416"/>
      <c r="T28" s="751"/>
      <c r="U28" s="416"/>
      <c r="V28" s="609">
        <f t="shared" si="0"/>
        <v>0</v>
      </c>
      <c r="W28" s="692"/>
    </row>
    <row r="29" spans="1:23" ht="26.4" outlineLevel="3">
      <c r="A29" s="376"/>
      <c r="B29" s="376" t="s">
        <v>14</v>
      </c>
      <c r="C29" s="376" t="s">
        <v>29</v>
      </c>
      <c r="D29" s="376" t="s">
        <v>25</v>
      </c>
      <c r="E29" s="376" t="s">
        <v>26</v>
      </c>
      <c r="F29" s="608" t="s">
        <v>1224</v>
      </c>
      <c r="G29" s="609">
        <v>3.5178109061621493E-3</v>
      </c>
      <c r="H29" s="692">
        <v>1</v>
      </c>
      <c r="I29" s="626"/>
      <c r="J29" s="751"/>
      <c r="K29" s="416"/>
      <c r="L29" s="376" t="s">
        <v>26</v>
      </c>
      <c r="M29" s="376" t="s">
        <v>1201</v>
      </c>
      <c r="N29" s="376" t="s">
        <v>1228</v>
      </c>
      <c r="O29" s="376"/>
      <c r="P29" s="376" t="s">
        <v>1207</v>
      </c>
      <c r="Q29" s="376"/>
      <c r="R29" s="376"/>
      <c r="S29" s="416"/>
      <c r="T29" s="751"/>
      <c r="U29" s="416"/>
      <c r="V29" s="609">
        <f t="shared" si="0"/>
        <v>0</v>
      </c>
      <c r="W29" s="692"/>
    </row>
    <row r="30" spans="1:23" outlineLevel="3">
      <c r="A30" s="376"/>
      <c r="B30" s="376" t="s">
        <v>14</v>
      </c>
      <c r="C30" s="376" t="s">
        <v>29</v>
      </c>
      <c r="D30" s="376" t="s">
        <v>25</v>
      </c>
      <c r="E30" s="376" t="s">
        <v>26</v>
      </c>
      <c r="F30" s="608" t="s">
        <v>1225</v>
      </c>
      <c r="G30" s="609">
        <v>0.04</v>
      </c>
      <c r="H30" s="692">
        <v>1</v>
      </c>
      <c r="I30" s="626"/>
      <c r="J30" s="751"/>
      <c r="K30" s="416"/>
      <c r="L30" s="376" t="s">
        <v>26</v>
      </c>
      <c r="M30" s="376" t="s">
        <v>1201</v>
      </c>
      <c r="N30" s="376" t="s">
        <v>1228</v>
      </c>
      <c r="O30" s="376"/>
      <c r="P30" s="376" t="s">
        <v>1207</v>
      </c>
      <c r="Q30" s="376"/>
      <c r="R30" s="376"/>
      <c r="S30" s="416"/>
      <c r="T30" s="751"/>
      <c r="U30" s="416"/>
      <c r="V30" s="609">
        <f t="shared" si="0"/>
        <v>0</v>
      </c>
      <c r="W30" s="692"/>
    </row>
    <row r="31" spans="1:23" s="794" customFormat="1" outlineLevel="1">
      <c r="A31" s="386"/>
      <c r="B31" s="666" t="s">
        <v>62</v>
      </c>
      <c r="C31" s="666" t="s">
        <v>63</v>
      </c>
      <c r="D31" s="666"/>
      <c r="E31" s="666"/>
      <c r="F31" s="681" t="s">
        <v>262</v>
      </c>
      <c r="G31" s="708">
        <f>SUBTOTAL(9,G32:G37)</f>
        <v>0.8012391689004752</v>
      </c>
      <c r="H31" s="709">
        <f>SUBTOTAL(9,H32:H37)</f>
        <v>5</v>
      </c>
      <c r="I31" s="710"/>
      <c r="J31" s="755"/>
      <c r="K31" s="711"/>
      <c r="L31" s="666"/>
      <c r="M31" s="666"/>
      <c r="N31" s="666"/>
      <c r="O31" s="666"/>
      <c r="P31" s="666"/>
      <c r="Q31" s="666"/>
      <c r="R31" s="666"/>
      <c r="S31" s="711"/>
      <c r="T31" s="755"/>
      <c r="U31" s="711"/>
      <c r="V31" s="708">
        <f>SUBTOTAL(9,V32:V37)</f>
        <v>0</v>
      </c>
      <c r="W31" s="709">
        <f>SUBTOTAL(9,W32:W37)</f>
        <v>0</v>
      </c>
    </row>
    <row r="32" spans="1:23" ht="26.4" outlineLevel="2">
      <c r="A32" s="376"/>
      <c r="B32" s="684" t="s">
        <v>62</v>
      </c>
      <c r="C32" s="684" t="s">
        <v>63</v>
      </c>
      <c r="D32" s="684" t="s">
        <v>25</v>
      </c>
      <c r="E32" s="684"/>
      <c r="F32" s="685" t="s">
        <v>1244</v>
      </c>
      <c r="G32" s="686">
        <f>SUBTOTAL(9,G33:G37)</f>
        <v>0.8012391689004752</v>
      </c>
      <c r="H32" s="691">
        <f>SUBTOTAL(9,H33:H37)</f>
        <v>5</v>
      </c>
      <c r="I32" s="626"/>
      <c r="J32" s="751"/>
      <c r="K32" s="416"/>
      <c r="L32" s="684"/>
      <c r="M32" s="684"/>
      <c r="N32" s="684"/>
      <c r="O32" s="684"/>
      <c r="P32" s="684"/>
      <c r="Q32" s="684"/>
      <c r="R32" s="684"/>
      <c r="S32" s="416"/>
      <c r="T32" s="751"/>
      <c r="U32" s="416"/>
      <c r="V32" s="686">
        <f>SUBTOTAL(9,V33:V37)</f>
        <v>0</v>
      </c>
      <c r="W32" s="691">
        <f>SUBTOTAL(9,W33:W37)</f>
        <v>0</v>
      </c>
    </row>
    <row r="33" spans="1:23" outlineLevel="3">
      <c r="A33" s="376"/>
      <c r="B33" s="376" t="s">
        <v>62</v>
      </c>
      <c r="C33" s="376" t="s">
        <v>63</v>
      </c>
      <c r="D33" s="376" t="s">
        <v>25</v>
      </c>
      <c r="E33" s="376" t="s">
        <v>26</v>
      </c>
      <c r="F33" s="608" t="s">
        <v>1245</v>
      </c>
      <c r="G33" s="609">
        <v>0.25822711064277509</v>
      </c>
      <c r="H33" s="692">
        <v>1</v>
      </c>
      <c r="I33" s="626"/>
      <c r="J33" s="751"/>
      <c r="K33" s="416"/>
      <c r="L33" s="376" t="s">
        <v>26</v>
      </c>
      <c r="M33" s="376" t="s">
        <v>1246</v>
      </c>
      <c r="N33" s="376" t="s">
        <v>1247</v>
      </c>
      <c r="O33" s="376" t="s">
        <v>1248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1:23" outlineLevel="3">
      <c r="A34" s="376"/>
      <c r="B34" s="376" t="s">
        <v>62</v>
      </c>
      <c r="C34" s="376" t="s">
        <v>63</v>
      </c>
      <c r="D34" s="376" t="s">
        <v>25</v>
      </c>
      <c r="E34" s="376" t="s">
        <v>26</v>
      </c>
      <c r="F34" s="608" t="s">
        <v>1594</v>
      </c>
      <c r="G34" s="609">
        <v>0.25822711064277509</v>
      </c>
      <c r="H34" s="692">
        <v>1</v>
      </c>
      <c r="I34" s="626"/>
      <c r="J34" s="751"/>
      <c r="K34" s="416"/>
      <c r="L34" s="376" t="s">
        <v>26</v>
      </c>
      <c r="M34" s="376" t="s">
        <v>1246</v>
      </c>
      <c r="N34" s="376" t="s">
        <v>1247</v>
      </c>
      <c r="O34" s="376" t="s">
        <v>1248</v>
      </c>
      <c r="P34" s="376"/>
      <c r="Q34" s="376"/>
      <c r="R34" s="376"/>
      <c r="S34" s="416"/>
      <c r="T34" s="751"/>
      <c r="U34" s="416"/>
      <c r="V34" s="609">
        <f>IF(W34=1,G34,0)</f>
        <v>0</v>
      </c>
      <c r="W34" s="692"/>
    </row>
    <row r="35" spans="1:23" outlineLevel="3">
      <c r="A35" s="376"/>
      <c r="B35" s="376" t="s">
        <v>62</v>
      </c>
      <c r="C35" s="376" t="s">
        <v>63</v>
      </c>
      <c r="D35" s="376" t="s">
        <v>25</v>
      </c>
      <c r="E35" s="376" t="s">
        <v>26</v>
      </c>
      <c r="F35" s="608" t="s">
        <v>1595</v>
      </c>
      <c r="G35" s="609">
        <v>0.25822711064277509</v>
      </c>
      <c r="H35" s="692">
        <v>1</v>
      </c>
      <c r="I35" s="626"/>
      <c r="J35" s="751"/>
      <c r="K35" s="416"/>
      <c r="L35" s="376" t="s">
        <v>26</v>
      </c>
      <c r="M35" s="376" t="s">
        <v>1246</v>
      </c>
      <c r="N35" s="376" t="s">
        <v>1247</v>
      </c>
      <c r="O35" s="376" t="s">
        <v>1248</v>
      </c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1:23" outlineLevel="3">
      <c r="A36" s="376"/>
      <c r="B36" s="376" t="s">
        <v>62</v>
      </c>
      <c r="C36" s="376" t="s">
        <v>63</v>
      </c>
      <c r="D36" s="376" t="s">
        <v>25</v>
      </c>
      <c r="E36" s="376" t="s">
        <v>26</v>
      </c>
      <c r="F36" s="608" t="s">
        <v>184</v>
      </c>
      <c r="G36" s="609">
        <v>1.4486092893899998E-2</v>
      </c>
      <c r="H36" s="692">
        <v>1</v>
      </c>
      <c r="I36" s="626"/>
      <c r="J36" s="751"/>
      <c r="K36" s="416"/>
      <c r="L36" s="376" t="s">
        <v>26</v>
      </c>
      <c r="M36" s="376" t="s">
        <v>1246</v>
      </c>
      <c r="N36" s="376" t="s">
        <v>1249</v>
      </c>
      <c r="O36" s="376" t="s">
        <v>1250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62</v>
      </c>
      <c r="C37" s="376" t="s">
        <v>63</v>
      </c>
      <c r="D37" s="376" t="s">
        <v>25</v>
      </c>
      <c r="E37" s="376" t="s">
        <v>26</v>
      </c>
      <c r="F37" s="608" t="s">
        <v>186</v>
      </c>
      <c r="G37" s="609">
        <v>1.2071744078249999E-2</v>
      </c>
      <c r="H37" s="692">
        <v>1</v>
      </c>
      <c r="I37" s="626"/>
      <c r="J37" s="751"/>
      <c r="K37" s="416"/>
      <c r="L37" s="376" t="s">
        <v>26</v>
      </c>
      <c r="M37" s="376" t="s">
        <v>1246</v>
      </c>
      <c r="N37" s="376" t="s">
        <v>1251</v>
      </c>
      <c r="O37" s="376" t="s">
        <v>1252</v>
      </c>
      <c r="P37" s="376"/>
      <c r="Q37" s="376"/>
      <c r="R37" s="376"/>
      <c r="S37" s="416"/>
      <c r="T37" s="751"/>
      <c r="U37" s="416"/>
      <c r="V37" s="609">
        <f>IF(W37=1,G37,0)</f>
        <v>0</v>
      </c>
      <c r="W37" s="692"/>
    </row>
    <row r="38" spans="1:23" s="794" customFormat="1" outlineLevel="1">
      <c r="A38" s="386"/>
      <c r="B38" s="666" t="s">
        <v>74</v>
      </c>
      <c r="C38" s="666" t="s">
        <v>75</v>
      </c>
      <c r="D38" s="666"/>
      <c r="E38" s="666"/>
      <c r="F38" s="681" t="s">
        <v>262</v>
      </c>
      <c r="G38" s="708">
        <f>SUBTOTAL(9,G39:G42)</f>
        <v>0.36</v>
      </c>
      <c r="H38" s="709">
        <f>SUBTOTAL(9,H39:H42)</f>
        <v>3</v>
      </c>
      <c r="I38" s="710"/>
      <c r="J38" s="755"/>
      <c r="K38" s="711"/>
      <c r="L38" s="666"/>
      <c r="M38" s="666"/>
      <c r="N38" s="666"/>
      <c r="O38" s="666"/>
      <c r="P38" s="666"/>
      <c r="Q38" s="666"/>
      <c r="R38" s="666"/>
      <c r="S38" s="711"/>
      <c r="T38" s="755"/>
      <c r="U38" s="711"/>
      <c r="V38" s="708">
        <f>SUBTOTAL(9,V39:V42)</f>
        <v>0</v>
      </c>
      <c r="W38" s="709">
        <f>SUBTOTAL(9,W39:W42)</f>
        <v>0</v>
      </c>
    </row>
    <row r="39" spans="1:23" outlineLevel="2">
      <c r="A39" s="376"/>
      <c r="B39" s="684" t="s">
        <v>74</v>
      </c>
      <c r="C39" s="684" t="s">
        <v>75</v>
      </c>
      <c r="D39" s="684" t="s">
        <v>25</v>
      </c>
      <c r="E39" s="684"/>
      <c r="F39" s="712" t="s">
        <v>77</v>
      </c>
      <c r="G39" s="686">
        <f>SUBTOTAL(9,G40:G42)</f>
        <v>0.36</v>
      </c>
      <c r="H39" s="691">
        <f>SUBTOTAL(9,H40:H42)</f>
        <v>3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SUBTOTAL(9,V40:V42)</f>
        <v>0</v>
      </c>
      <c r="W39" s="691">
        <f>SUBTOTAL(9,W40:W42)</f>
        <v>0</v>
      </c>
    </row>
    <row r="40" spans="1:23" outlineLevel="3">
      <c r="A40" s="376"/>
      <c r="B40" s="376" t="s">
        <v>74</v>
      </c>
      <c r="C40" s="376" t="s">
        <v>75</v>
      </c>
      <c r="D40" s="376" t="s">
        <v>25</v>
      </c>
      <c r="E40" s="376" t="s">
        <v>26</v>
      </c>
      <c r="F40" s="623" t="s">
        <v>1271</v>
      </c>
      <c r="G40" s="723">
        <v>0.19</v>
      </c>
      <c r="H40" s="692">
        <v>1</v>
      </c>
      <c r="I40" s="626"/>
      <c r="J40" s="751"/>
      <c r="K40" s="416"/>
      <c r="L40" s="376" t="s">
        <v>26</v>
      </c>
      <c r="M40" s="376" t="s">
        <v>1272</v>
      </c>
      <c r="N40" s="376" t="s">
        <v>1273</v>
      </c>
      <c r="O40" s="376"/>
      <c r="P40" s="376" t="s">
        <v>1274</v>
      </c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74</v>
      </c>
      <c r="C41" s="376" t="s">
        <v>75</v>
      </c>
      <c r="D41" s="376" t="s">
        <v>25</v>
      </c>
      <c r="E41" s="376" t="s">
        <v>26</v>
      </c>
      <c r="F41" s="623" t="s">
        <v>1275</v>
      </c>
      <c r="G41" s="723">
        <v>0.16</v>
      </c>
      <c r="H41" s="692">
        <v>1</v>
      </c>
      <c r="I41" s="626"/>
      <c r="J41" s="751"/>
      <c r="K41" s="416"/>
      <c r="L41" s="376" t="s">
        <v>26</v>
      </c>
      <c r="M41" s="376" t="s">
        <v>1272</v>
      </c>
      <c r="N41" s="376" t="s">
        <v>1273</v>
      </c>
      <c r="O41" s="376"/>
      <c r="P41" s="376" t="s">
        <v>1274</v>
      </c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outlineLevel="3">
      <c r="A42" s="376"/>
      <c r="B42" s="376" t="s">
        <v>74</v>
      </c>
      <c r="C42" s="376" t="s">
        <v>75</v>
      </c>
      <c r="D42" s="376" t="s">
        <v>25</v>
      </c>
      <c r="E42" s="376" t="s">
        <v>26</v>
      </c>
      <c r="F42" s="623" t="s">
        <v>1276</v>
      </c>
      <c r="G42" s="723">
        <v>0.01</v>
      </c>
      <c r="H42" s="692">
        <v>1</v>
      </c>
      <c r="I42" s="626"/>
      <c r="J42" s="751"/>
      <c r="K42" s="416"/>
      <c r="L42" s="376" t="s">
        <v>26</v>
      </c>
      <c r="M42" s="376" t="s">
        <v>1272</v>
      </c>
      <c r="N42" s="376" t="s">
        <v>1273</v>
      </c>
      <c r="O42" s="376" t="s">
        <v>1277</v>
      </c>
      <c r="P42" s="376" t="s">
        <v>1274</v>
      </c>
      <c r="Q42" s="376"/>
      <c r="R42" s="376"/>
      <c r="S42" s="416"/>
      <c r="T42" s="751"/>
      <c r="U42" s="416"/>
      <c r="V42" s="609">
        <f>IF(W42=1,G42,0)</f>
        <v>0</v>
      </c>
      <c r="W42" s="692"/>
    </row>
    <row r="43" spans="1:23" s="793" customFormat="1" outlineLevel="1">
      <c r="A43" s="380"/>
      <c r="B43" s="666" t="s">
        <v>91</v>
      </c>
      <c r="C43" s="666" t="s">
        <v>92</v>
      </c>
      <c r="D43" s="666"/>
      <c r="E43" s="666"/>
      <c r="F43" s="681" t="s">
        <v>262</v>
      </c>
      <c r="G43" s="708">
        <f>SUBTOTAL(9,G44:G51)</f>
        <v>1.7000000000000002</v>
      </c>
      <c r="H43" s="709">
        <f>SUBTOTAL(9,H44:H51)</f>
        <v>7</v>
      </c>
      <c r="I43" s="627"/>
      <c r="J43" s="753"/>
      <c r="K43" s="612"/>
      <c r="L43" s="666"/>
      <c r="M43" s="666"/>
      <c r="N43" s="666"/>
      <c r="O43" s="666"/>
      <c r="P43" s="666"/>
      <c r="Q43" s="666"/>
      <c r="R43" s="666"/>
      <c r="S43" s="612"/>
      <c r="T43" s="753"/>
      <c r="U43" s="612"/>
      <c r="V43" s="708">
        <f>SUBTOTAL(9,V44:V51)</f>
        <v>0</v>
      </c>
      <c r="W43" s="709">
        <f>SUBTOTAL(9,W44:W51)</f>
        <v>0</v>
      </c>
    </row>
    <row r="44" spans="1:23" outlineLevel="2">
      <c r="A44" s="376"/>
      <c r="B44" s="684" t="s">
        <v>91</v>
      </c>
      <c r="C44" s="684" t="s">
        <v>92</v>
      </c>
      <c r="D44" s="684" t="s">
        <v>25</v>
      </c>
      <c r="E44" s="684"/>
      <c r="F44" s="712" t="s">
        <v>77</v>
      </c>
      <c r="G44" s="686">
        <f>SUBTOTAL(9,G45:G51)</f>
        <v>1.7000000000000002</v>
      </c>
      <c r="H44" s="691">
        <f>SUBTOTAL(9,H45:H51)</f>
        <v>7</v>
      </c>
      <c r="I44" s="626"/>
      <c r="J44" s="751"/>
      <c r="K44" s="416"/>
      <c r="L44" s="684"/>
      <c r="M44" s="684"/>
      <c r="N44" s="684"/>
      <c r="O44" s="684"/>
      <c r="P44" s="684"/>
      <c r="Q44" s="684"/>
      <c r="R44" s="684"/>
      <c r="S44" s="416"/>
      <c r="T44" s="751"/>
      <c r="U44" s="416"/>
      <c r="V44" s="686">
        <f>SUBTOTAL(9,V45:V51)</f>
        <v>0</v>
      </c>
      <c r="W44" s="691">
        <f>SUBTOTAL(9,W45:W51)</f>
        <v>0</v>
      </c>
    </row>
    <row r="45" spans="1:23" outlineLevel="3">
      <c r="A45" s="376"/>
      <c r="B45" s="376" t="s">
        <v>91</v>
      </c>
      <c r="C45" s="376" t="s">
        <v>92</v>
      </c>
      <c r="D45" s="376" t="s">
        <v>25</v>
      </c>
      <c r="E45" s="376" t="s">
        <v>26</v>
      </c>
      <c r="F45" s="623" t="s">
        <v>1298</v>
      </c>
      <c r="G45" s="723">
        <v>0.2</v>
      </c>
      <c r="H45" s="692">
        <v>1</v>
      </c>
      <c r="I45" s="626"/>
      <c r="J45" s="751"/>
      <c r="K45" s="416"/>
      <c r="L45" s="376" t="s">
        <v>26</v>
      </c>
      <c r="M45" s="376" t="s">
        <v>1272</v>
      </c>
      <c r="N45" s="376" t="s">
        <v>1307</v>
      </c>
      <c r="O45" s="376" t="s">
        <v>1273</v>
      </c>
      <c r="P45" s="376" t="s">
        <v>1274</v>
      </c>
      <c r="Q45" s="376"/>
      <c r="R45" s="376"/>
      <c r="S45" s="416"/>
      <c r="T45" s="751"/>
      <c r="U45" s="416"/>
      <c r="V45" s="609">
        <f t="shared" ref="V45:V51" si="1">IF(W45=1,G45,0)</f>
        <v>0</v>
      </c>
      <c r="W45" s="692"/>
    </row>
    <row r="46" spans="1:23" outlineLevel="3">
      <c r="A46" s="376"/>
      <c r="B46" s="376" t="s">
        <v>91</v>
      </c>
      <c r="C46" s="376" t="s">
        <v>92</v>
      </c>
      <c r="D46" s="376" t="s">
        <v>25</v>
      </c>
      <c r="E46" s="376" t="s">
        <v>26</v>
      </c>
      <c r="F46" s="623" t="s">
        <v>1299</v>
      </c>
      <c r="G46" s="723">
        <v>0.4</v>
      </c>
      <c r="H46" s="692">
        <v>1</v>
      </c>
      <c r="I46" s="626"/>
      <c r="J46" s="751"/>
      <c r="K46" s="416"/>
      <c r="L46" s="376" t="s">
        <v>26</v>
      </c>
      <c r="M46" s="376" t="s">
        <v>1272</v>
      </c>
      <c r="N46" s="376" t="s">
        <v>1307</v>
      </c>
      <c r="O46" s="376" t="s">
        <v>1273</v>
      </c>
      <c r="P46" s="376" t="s">
        <v>1274</v>
      </c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1:23" outlineLevel="3">
      <c r="A47" s="376"/>
      <c r="B47" s="376" t="s">
        <v>91</v>
      </c>
      <c r="C47" s="376" t="s">
        <v>92</v>
      </c>
      <c r="D47" s="376" t="s">
        <v>25</v>
      </c>
      <c r="E47" s="376" t="s">
        <v>26</v>
      </c>
      <c r="F47" s="623" t="s">
        <v>1308</v>
      </c>
      <c r="G47" s="723">
        <v>0.32</v>
      </c>
      <c r="H47" s="692">
        <v>1</v>
      </c>
      <c r="I47" s="626"/>
      <c r="J47" s="751"/>
      <c r="K47" s="416"/>
      <c r="L47" s="376" t="s">
        <v>26</v>
      </c>
      <c r="M47" s="376" t="s">
        <v>1272</v>
      </c>
      <c r="N47" s="376" t="s">
        <v>1309</v>
      </c>
      <c r="O47" s="376" t="s">
        <v>72</v>
      </c>
      <c r="P47" s="376" t="s">
        <v>1274</v>
      </c>
      <c r="Q47" s="376"/>
      <c r="R47" s="376"/>
      <c r="S47" s="416"/>
      <c r="T47" s="751"/>
      <c r="U47" s="416"/>
      <c r="V47" s="609">
        <f t="shared" si="1"/>
        <v>0</v>
      </c>
      <c r="W47" s="692"/>
    </row>
    <row r="48" spans="1:23" outlineLevel="3">
      <c r="A48" s="376"/>
      <c r="B48" s="376" t="s">
        <v>91</v>
      </c>
      <c r="C48" s="376" t="s">
        <v>92</v>
      </c>
      <c r="D48" s="376" t="s">
        <v>25</v>
      </c>
      <c r="E48" s="376" t="s">
        <v>26</v>
      </c>
      <c r="F48" s="623" t="s">
        <v>1310</v>
      </c>
      <c r="G48" s="723">
        <v>0.32</v>
      </c>
      <c r="H48" s="692">
        <v>1</v>
      </c>
      <c r="I48" s="626"/>
      <c r="J48" s="751"/>
      <c r="K48" s="416"/>
      <c r="L48" s="376" t="s">
        <v>26</v>
      </c>
      <c r="M48" s="376" t="s">
        <v>1272</v>
      </c>
      <c r="N48" s="376" t="s">
        <v>1309</v>
      </c>
      <c r="O48" s="376" t="s">
        <v>72</v>
      </c>
      <c r="P48" s="376" t="s">
        <v>1274</v>
      </c>
      <c r="Q48" s="376"/>
      <c r="R48" s="376"/>
      <c r="S48" s="416"/>
      <c r="T48" s="751"/>
      <c r="U48" s="416"/>
      <c r="V48" s="609">
        <f t="shared" si="1"/>
        <v>0</v>
      </c>
      <c r="W48" s="692"/>
    </row>
    <row r="49" spans="1:23" outlineLevel="3">
      <c r="A49" s="376"/>
      <c r="B49" s="376" t="s">
        <v>91</v>
      </c>
      <c r="C49" s="376" t="s">
        <v>92</v>
      </c>
      <c r="D49" s="376" t="s">
        <v>25</v>
      </c>
      <c r="E49" s="376" t="s">
        <v>26</v>
      </c>
      <c r="F49" s="623" t="s">
        <v>1311</v>
      </c>
      <c r="G49" s="723">
        <v>0.43</v>
      </c>
      <c r="H49" s="692">
        <v>1</v>
      </c>
      <c r="I49" s="626"/>
      <c r="J49" s="751"/>
      <c r="K49" s="416"/>
      <c r="L49" s="376" t="s">
        <v>26</v>
      </c>
      <c r="M49" s="376" t="s">
        <v>1272</v>
      </c>
      <c r="N49" s="376" t="s">
        <v>1309</v>
      </c>
      <c r="O49" s="376" t="s">
        <v>1273</v>
      </c>
      <c r="P49" s="376" t="s">
        <v>1312</v>
      </c>
      <c r="Q49" s="376"/>
      <c r="R49" s="376"/>
      <c r="S49" s="416"/>
      <c r="T49" s="751"/>
      <c r="U49" s="416"/>
      <c r="V49" s="609">
        <f t="shared" si="1"/>
        <v>0</v>
      </c>
      <c r="W49" s="692"/>
    </row>
    <row r="50" spans="1:23" outlineLevel="3">
      <c r="A50" s="376"/>
      <c r="B50" s="376" t="s">
        <v>91</v>
      </c>
      <c r="C50" s="376" t="s">
        <v>92</v>
      </c>
      <c r="D50" s="376" t="s">
        <v>25</v>
      </c>
      <c r="E50" s="376" t="s">
        <v>26</v>
      </c>
      <c r="F50" s="623" t="s">
        <v>1271</v>
      </c>
      <c r="G50" s="723">
        <v>0.02</v>
      </c>
      <c r="H50" s="692">
        <v>1</v>
      </c>
      <c r="I50" s="626"/>
      <c r="J50" s="751"/>
      <c r="K50" s="416"/>
      <c r="L50" s="376" t="s">
        <v>26</v>
      </c>
      <c r="M50" s="376" t="s">
        <v>1272</v>
      </c>
      <c r="N50" s="376" t="s">
        <v>1273</v>
      </c>
      <c r="O50" s="376" t="s">
        <v>72</v>
      </c>
      <c r="P50" s="376" t="s">
        <v>1312</v>
      </c>
      <c r="Q50" s="376"/>
      <c r="R50" s="376"/>
      <c r="S50" s="416"/>
      <c r="T50" s="751"/>
      <c r="U50" s="416"/>
      <c r="V50" s="609">
        <f t="shared" si="1"/>
        <v>0</v>
      </c>
      <c r="W50" s="692"/>
    </row>
    <row r="51" spans="1:23" outlineLevel="3">
      <c r="A51" s="376"/>
      <c r="B51" s="376" t="s">
        <v>91</v>
      </c>
      <c r="C51" s="376" t="s">
        <v>92</v>
      </c>
      <c r="D51" s="376" t="s">
        <v>25</v>
      </c>
      <c r="E51" s="376" t="s">
        <v>26</v>
      </c>
      <c r="F51" s="623" t="s">
        <v>1275</v>
      </c>
      <c r="G51" s="723">
        <v>0.01</v>
      </c>
      <c r="H51" s="692">
        <v>1</v>
      </c>
      <c r="I51" s="626"/>
      <c r="J51" s="751"/>
      <c r="K51" s="416"/>
      <c r="L51" s="376" t="s">
        <v>26</v>
      </c>
      <c r="M51" s="376" t="s">
        <v>1272</v>
      </c>
      <c r="N51" s="376" t="s">
        <v>1273</v>
      </c>
      <c r="O51" s="376" t="s">
        <v>72</v>
      </c>
      <c r="P51" s="376" t="s">
        <v>1312</v>
      </c>
      <c r="Q51" s="376"/>
      <c r="R51" s="376"/>
      <c r="S51" s="416"/>
      <c r="T51" s="751"/>
      <c r="U51" s="416"/>
      <c r="V51" s="609">
        <f t="shared" si="1"/>
        <v>0</v>
      </c>
      <c r="W51" s="692"/>
    </row>
    <row r="52" spans="1:23" s="793" customFormat="1" outlineLevel="1">
      <c r="A52" s="380"/>
      <c r="B52" s="665" t="s">
        <v>120</v>
      </c>
      <c r="C52" s="665" t="s">
        <v>121</v>
      </c>
      <c r="D52" s="665"/>
      <c r="E52" s="665"/>
      <c r="F52" s="681" t="s">
        <v>262</v>
      </c>
      <c r="G52" s="797">
        <f>SUBTOTAL(9,G53:G55)</f>
        <v>2.3823562255988601E-2</v>
      </c>
      <c r="H52" s="798">
        <f>SUBTOTAL(9,H53:H55)</f>
        <v>2</v>
      </c>
      <c r="I52" s="627"/>
      <c r="J52" s="753"/>
      <c r="K52" s="612"/>
      <c r="L52" s="665"/>
      <c r="M52" s="665"/>
      <c r="N52" s="665" t="s">
        <v>1321</v>
      </c>
      <c r="O52" s="665" t="s">
        <v>1322</v>
      </c>
      <c r="P52" s="665" t="s">
        <v>1323</v>
      </c>
      <c r="Q52" s="665"/>
      <c r="R52" s="665"/>
      <c r="S52" s="612"/>
      <c r="T52" s="753"/>
      <c r="U52" s="612"/>
      <c r="V52" s="797">
        <f>SUBTOTAL(9,V53:V55)</f>
        <v>0</v>
      </c>
      <c r="W52" s="798">
        <f>SUBTOTAL(9,W53:W55)</f>
        <v>0</v>
      </c>
    </row>
    <row r="53" spans="1:23" outlineLevel="2">
      <c r="A53" s="376"/>
      <c r="B53" s="684" t="s">
        <v>120</v>
      </c>
      <c r="C53" s="684" t="s">
        <v>121</v>
      </c>
      <c r="D53" s="684" t="s">
        <v>25</v>
      </c>
      <c r="E53" s="684"/>
      <c r="F53" s="685" t="s">
        <v>77</v>
      </c>
      <c r="G53" s="686">
        <f>SUBTOTAL(9,G54:G55)</f>
        <v>2.3823562255988601E-2</v>
      </c>
      <c r="H53" s="691">
        <f>SUBTOTAL(9,H54:H55)</f>
        <v>2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SUBTOTAL(9,V54:V55)</f>
        <v>0</v>
      </c>
      <c r="W53" s="691">
        <f>SUBTOTAL(9,W54:W55)</f>
        <v>0</v>
      </c>
    </row>
    <row r="54" spans="1:23" ht="26.4" outlineLevel="3">
      <c r="A54" s="376"/>
      <c r="B54" s="376" t="s">
        <v>120</v>
      </c>
      <c r="C54" s="376" t="s">
        <v>121</v>
      </c>
      <c r="D54" s="376" t="s">
        <v>25</v>
      </c>
      <c r="E54" s="376" t="s">
        <v>26</v>
      </c>
      <c r="F54" s="608" t="s">
        <v>1327</v>
      </c>
      <c r="G54" s="609">
        <v>1.1911781127994301E-2</v>
      </c>
      <c r="H54" s="692">
        <v>1</v>
      </c>
      <c r="I54" s="626"/>
      <c r="J54" s="751"/>
      <c r="K54" s="416"/>
      <c r="L54" s="376" t="s">
        <v>26</v>
      </c>
      <c r="M54" s="376" t="s">
        <v>1201</v>
      </c>
      <c r="N54" s="376" t="s">
        <v>1325</v>
      </c>
      <c r="O54" s="376"/>
      <c r="P54" s="376" t="s">
        <v>1326</v>
      </c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1:23" outlineLevel="3">
      <c r="A55" s="376"/>
      <c r="B55" s="376" t="s">
        <v>120</v>
      </c>
      <c r="C55" s="376" t="s">
        <v>121</v>
      </c>
      <c r="D55" s="376" t="s">
        <v>25</v>
      </c>
      <c r="E55" s="376" t="s">
        <v>26</v>
      </c>
      <c r="F55" s="608" t="s">
        <v>1328</v>
      </c>
      <c r="G55" s="609">
        <v>1.1911781127994301E-2</v>
      </c>
      <c r="H55" s="692">
        <v>1</v>
      </c>
      <c r="I55" s="626"/>
      <c r="J55" s="751"/>
      <c r="K55" s="416"/>
      <c r="L55" s="376" t="s">
        <v>26</v>
      </c>
      <c r="M55" s="376" t="s">
        <v>1201</v>
      </c>
      <c r="N55" s="376" t="s">
        <v>1325</v>
      </c>
      <c r="O55" s="376"/>
      <c r="P55" s="376" t="s">
        <v>1326</v>
      </c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1:23" s="793" customFormat="1" outlineLevel="1">
      <c r="A56" s="380"/>
      <c r="B56" s="665" t="s">
        <v>130</v>
      </c>
      <c r="C56" s="665" t="s">
        <v>131</v>
      </c>
      <c r="D56" s="665"/>
      <c r="E56" s="665"/>
      <c r="F56" s="681" t="s">
        <v>262</v>
      </c>
      <c r="G56" s="797">
        <f>SUBTOTAL(9,G57:G65)</f>
        <v>0.71000000000000008</v>
      </c>
      <c r="H56" s="798">
        <f>SUBTOTAL(9,H57:H65)</f>
        <v>8</v>
      </c>
      <c r="I56" s="627"/>
      <c r="J56" s="753"/>
      <c r="K56" s="612"/>
      <c r="L56" s="665"/>
      <c r="M56" s="665"/>
      <c r="N56" s="665"/>
      <c r="O56" s="665"/>
      <c r="P56" s="665"/>
      <c r="Q56" s="665"/>
      <c r="R56" s="665"/>
      <c r="S56" s="612"/>
      <c r="T56" s="753"/>
      <c r="U56" s="612"/>
      <c r="V56" s="797">
        <f>SUBTOTAL(9,V57:V65)</f>
        <v>0</v>
      </c>
      <c r="W56" s="798">
        <f>SUBTOTAL(9,W57:W65)</f>
        <v>0</v>
      </c>
    </row>
    <row r="57" spans="1:23" outlineLevel="2">
      <c r="A57" s="376"/>
      <c r="B57" s="684" t="s">
        <v>130</v>
      </c>
      <c r="C57" s="684" t="s">
        <v>131</v>
      </c>
      <c r="D57" s="684" t="s">
        <v>25</v>
      </c>
      <c r="E57" s="684"/>
      <c r="F57" s="685" t="s">
        <v>77</v>
      </c>
      <c r="G57" s="686">
        <f>SUBTOTAL(9,G58:G65)</f>
        <v>0.71000000000000008</v>
      </c>
      <c r="H57" s="691">
        <f>SUBTOTAL(9,H58:H65)</f>
        <v>8</v>
      </c>
      <c r="I57" s="626"/>
      <c r="J57" s="751"/>
      <c r="K57" s="416"/>
      <c r="L57" s="684"/>
      <c r="M57" s="684"/>
      <c r="N57" s="684"/>
      <c r="O57" s="684"/>
      <c r="P57" s="684"/>
      <c r="Q57" s="684"/>
      <c r="R57" s="684"/>
      <c r="S57" s="416"/>
      <c r="T57" s="751"/>
      <c r="U57" s="416"/>
      <c r="V57" s="686">
        <f>SUBTOTAL(9,V58:V65)</f>
        <v>0</v>
      </c>
      <c r="W57" s="691">
        <f>SUBTOTAL(9,W58:W65)</f>
        <v>0</v>
      </c>
    </row>
    <row r="58" spans="1:23" outlineLevel="3">
      <c r="A58" s="376"/>
      <c r="B58" s="376" t="s">
        <v>130</v>
      </c>
      <c r="C58" s="376" t="s">
        <v>131</v>
      </c>
      <c r="D58" s="376" t="s">
        <v>25</v>
      </c>
      <c r="E58" s="376" t="s">
        <v>26</v>
      </c>
      <c r="F58" s="608" t="s">
        <v>1359</v>
      </c>
      <c r="G58" s="609">
        <v>0.09</v>
      </c>
      <c r="H58" s="692">
        <v>1</v>
      </c>
      <c r="I58" s="626"/>
      <c r="J58" s="751"/>
      <c r="K58" s="416"/>
      <c r="L58" s="376" t="s">
        <v>26</v>
      </c>
      <c r="M58" s="376" t="s">
        <v>1201</v>
      </c>
      <c r="N58" s="376" t="s">
        <v>1351</v>
      </c>
      <c r="O58" s="376"/>
      <c r="P58" s="376" t="s">
        <v>1333</v>
      </c>
      <c r="Q58" s="376"/>
      <c r="R58" s="376">
        <v>0</v>
      </c>
      <c r="S58" s="416"/>
      <c r="T58" s="751"/>
      <c r="U58" s="416"/>
      <c r="V58" s="609">
        <f t="shared" ref="V58:V65" si="2">IF(W58=1,G58,0)</f>
        <v>0</v>
      </c>
      <c r="W58" s="692"/>
    </row>
    <row r="59" spans="1:23" outlineLevel="3">
      <c r="A59" s="376"/>
      <c r="B59" s="376" t="s">
        <v>130</v>
      </c>
      <c r="C59" s="376" t="s">
        <v>131</v>
      </c>
      <c r="D59" s="376" t="s">
        <v>25</v>
      </c>
      <c r="E59" s="376" t="s">
        <v>26</v>
      </c>
      <c r="F59" s="608" t="s">
        <v>1360</v>
      </c>
      <c r="G59" s="609">
        <v>0.09</v>
      </c>
      <c r="H59" s="692">
        <v>1</v>
      </c>
      <c r="I59" s="626"/>
      <c r="J59" s="751"/>
      <c r="K59" s="416"/>
      <c r="L59" s="376" t="s">
        <v>26</v>
      </c>
      <c r="M59" s="376" t="s">
        <v>1201</v>
      </c>
      <c r="N59" s="376" t="s">
        <v>1351</v>
      </c>
      <c r="O59" s="376"/>
      <c r="P59" s="376" t="s">
        <v>1333</v>
      </c>
      <c r="Q59" s="376"/>
      <c r="R59" s="376">
        <v>0</v>
      </c>
      <c r="S59" s="416"/>
      <c r="T59" s="751"/>
      <c r="U59" s="416"/>
      <c r="V59" s="609">
        <f t="shared" si="2"/>
        <v>0</v>
      </c>
      <c r="W59" s="692"/>
    </row>
    <row r="60" spans="1:23" outlineLevel="3">
      <c r="A60" s="376"/>
      <c r="B60" s="376" t="s">
        <v>130</v>
      </c>
      <c r="C60" s="376" t="s">
        <v>131</v>
      </c>
      <c r="D60" s="376" t="s">
        <v>25</v>
      </c>
      <c r="E60" s="376" t="s">
        <v>26</v>
      </c>
      <c r="F60" s="608" t="s">
        <v>1361</v>
      </c>
      <c r="G60" s="609">
        <v>0.09</v>
      </c>
      <c r="H60" s="692">
        <v>1</v>
      </c>
      <c r="I60" s="626"/>
      <c r="J60" s="751"/>
      <c r="K60" s="416"/>
      <c r="L60" s="376" t="s">
        <v>26</v>
      </c>
      <c r="M60" s="376" t="s">
        <v>1201</v>
      </c>
      <c r="N60" s="376" t="s">
        <v>1351</v>
      </c>
      <c r="O60" s="376"/>
      <c r="P60" s="376" t="s">
        <v>1333</v>
      </c>
      <c r="Q60" s="376"/>
      <c r="R60" s="376">
        <v>0</v>
      </c>
      <c r="S60" s="416"/>
      <c r="T60" s="751"/>
      <c r="U60" s="416"/>
      <c r="V60" s="609">
        <f t="shared" si="2"/>
        <v>0</v>
      </c>
      <c r="W60" s="692"/>
    </row>
    <row r="61" spans="1:23" outlineLevel="3">
      <c r="A61" s="376"/>
      <c r="B61" s="376" t="s">
        <v>130</v>
      </c>
      <c r="C61" s="376" t="s">
        <v>131</v>
      </c>
      <c r="D61" s="376" t="s">
        <v>25</v>
      </c>
      <c r="E61" s="376" t="s">
        <v>26</v>
      </c>
      <c r="F61" s="608" t="s">
        <v>1601</v>
      </c>
      <c r="G61" s="609">
        <v>0.18</v>
      </c>
      <c r="H61" s="692">
        <v>1</v>
      </c>
      <c r="I61" s="626"/>
      <c r="J61" s="751"/>
      <c r="K61" s="416"/>
      <c r="L61" s="376" t="s">
        <v>26</v>
      </c>
      <c r="M61" s="376" t="s">
        <v>1201</v>
      </c>
      <c r="N61" s="376" t="s">
        <v>1363</v>
      </c>
      <c r="O61" s="376"/>
      <c r="P61" s="376" t="s">
        <v>1333</v>
      </c>
      <c r="Q61" s="376"/>
      <c r="R61" s="376">
        <v>0</v>
      </c>
      <c r="S61" s="416"/>
      <c r="T61" s="751"/>
      <c r="U61" s="416"/>
      <c r="V61" s="609">
        <f t="shared" si="2"/>
        <v>0</v>
      </c>
      <c r="W61" s="692"/>
    </row>
    <row r="62" spans="1:23" outlineLevel="3">
      <c r="A62" s="376"/>
      <c r="B62" s="376" t="s">
        <v>130</v>
      </c>
      <c r="C62" s="376" t="s">
        <v>131</v>
      </c>
      <c r="D62" s="376" t="s">
        <v>25</v>
      </c>
      <c r="E62" s="376" t="s">
        <v>26</v>
      </c>
      <c r="F62" s="608" t="s">
        <v>1602</v>
      </c>
      <c r="G62" s="609">
        <v>0.13</v>
      </c>
      <c r="H62" s="692">
        <v>1</v>
      </c>
      <c r="I62" s="626"/>
      <c r="J62" s="751"/>
      <c r="K62" s="416"/>
      <c r="L62" s="376" t="s">
        <v>26</v>
      </c>
      <c r="M62" s="376" t="s">
        <v>1201</v>
      </c>
      <c r="N62" s="376" t="s">
        <v>1363</v>
      </c>
      <c r="O62" s="376"/>
      <c r="P62" s="376" t="s">
        <v>1333</v>
      </c>
      <c r="Q62" s="376"/>
      <c r="R62" s="376">
        <v>0</v>
      </c>
      <c r="S62" s="416"/>
      <c r="T62" s="751"/>
      <c r="U62" s="416"/>
      <c r="V62" s="609">
        <f t="shared" si="2"/>
        <v>0</v>
      </c>
      <c r="W62" s="692"/>
    </row>
    <row r="63" spans="1:23" outlineLevel="3">
      <c r="A63" s="376"/>
      <c r="B63" s="376" t="s">
        <v>130</v>
      </c>
      <c r="C63" s="376" t="s">
        <v>131</v>
      </c>
      <c r="D63" s="376" t="s">
        <v>25</v>
      </c>
      <c r="E63" s="376" t="s">
        <v>26</v>
      </c>
      <c r="F63" s="608" t="s">
        <v>1346</v>
      </c>
      <c r="G63" s="609">
        <v>0.13</v>
      </c>
      <c r="H63" s="692">
        <v>1</v>
      </c>
      <c r="I63" s="626"/>
      <c r="J63" s="751"/>
      <c r="K63" s="416"/>
      <c r="L63" s="376" t="s">
        <v>26</v>
      </c>
      <c r="M63" s="376" t="s">
        <v>1201</v>
      </c>
      <c r="N63" s="376" t="s">
        <v>1363</v>
      </c>
      <c r="O63" s="376"/>
      <c r="P63" s="376" t="s">
        <v>1333</v>
      </c>
      <c r="Q63" s="376"/>
      <c r="R63" s="376">
        <v>0</v>
      </c>
      <c r="S63" s="416"/>
      <c r="T63" s="751"/>
      <c r="U63" s="416"/>
      <c r="V63" s="609">
        <f t="shared" si="2"/>
        <v>0</v>
      </c>
      <c r="W63" s="692"/>
    </row>
    <row r="64" spans="1:23" outlineLevel="3">
      <c r="A64" s="376"/>
      <c r="B64" s="376" t="s">
        <v>130</v>
      </c>
      <c r="C64" s="376" t="s">
        <v>131</v>
      </c>
      <c r="D64" s="376" t="s">
        <v>25</v>
      </c>
      <c r="E64" s="376" t="s">
        <v>26</v>
      </c>
      <c r="F64" s="608" t="s">
        <v>1324</v>
      </c>
      <c r="G64" s="609">
        <v>0</v>
      </c>
      <c r="H64" s="692">
        <v>1</v>
      </c>
      <c r="I64" s="626"/>
      <c r="J64" s="751"/>
      <c r="K64" s="416"/>
      <c r="L64" s="376" t="s">
        <v>26</v>
      </c>
      <c r="M64" s="376" t="s">
        <v>1201</v>
      </c>
      <c r="N64" s="376" t="s">
        <v>1363</v>
      </c>
      <c r="O64" s="376"/>
      <c r="P64" s="376" t="s">
        <v>1333</v>
      </c>
      <c r="Q64" s="376"/>
      <c r="R64" s="376">
        <v>0</v>
      </c>
      <c r="S64" s="416"/>
      <c r="T64" s="751"/>
      <c r="U64" s="416"/>
      <c r="V64" s="609">
        <f t="shared" si="2"/>
        <v>0</v>
      </c>
      <c r="W64" s="692"/>
    </row>
    <row r="65" spans="1:23" outlineLevel="3">
      <c r="A65" s="376"/>
      <c r="B65" s="376" t="s">
        <v>130</v>
      </c>
      <c r="C65" s="376" t="s">
        <v>131</v>
      </c>
      <c r="D65" s="376" t="s">
        <v>25</v>
      </c>
      <c r="E65" s="376" t="s">
        <v>26</v>
      </c>
      <c r="F65" s="608" t="s">
        <v>1334</v>
      </c>
      <c r="G65" s="609">
        <v>0</v>
      </c>
      <c r="H65" s="692">
        <v>1</v>
      </c>
      <c r="I65" s="626"/>
      <c r="J65" s="751"/>
      <c r="K65" s="416"/>
      <c r="L65" s="376" t="s">
        <v>26</v>
      </c>
      <c r="M65" s="376" t="s">
        <v>1201</v>
      </c>
      <c r="N65" s="376" t="s">
        <v>1363</v>
      </c>
      <c r="O65" s="376"/>
      <c r="P65" s="376" t="s">
        <v>1333</v>
      </c>
      <c r="Q65" s="376"/>
      <c r="R65" s="376">
        <v>0</v>
      </c>
      <c r="S65" s="416"/>
      <c r="T65" s="751"/>
      <c r="U65" s="416"/>
      <c r="V65" s="609">
        <f t="shared" si="2"/>
        <v>0</v>
      </c>
      <c r="W65" s="692"/>
    </row>
    <row r="66" spans="1:23" s="793" customFormat="1" outlineLevel="1">
      <c r="A66" s="380"/>
      <c r="B66" s="666" t="s">
        <v>160</v>
      </c>
      <c r="C66" s="666" t="s">
        <v>22</v>
      </c>
      <c r="D66" s="666"/>
      <c r="E66" s="666"/>
      <c r="F66" s="681" t="s">
        <v>262</v>
      </c>
      <c r="G66" s="797">
        <f>SUBTOTAL(9,G67:G71)</f>
        <v>0.28480034280014982</v>
      </c>
      <c r="H66" s="798">
        <f>SUBTOTAL(9,H67:H71)</f>
        <v>4</v>
      </c>
      <c r="I66" s="627"/>
      <c r="J66" s="753"/>
      <c r="K66" s="612"/>
      <c r="L66" s="666"/>
      <c r="M66" s="666"/>
      <c r="N66" s="666"/>
      <c r="O66" s="666"/>
      <c r="P66" s="666"/>
      <c r="Q66" s="666"/>
      <c r="R66" s="666"/>
      <c r="S66" s="612"/>
      <c r="T66" s="753"/>
      <c r="U66" s="612"/>
      <c r="V66" s="797">
        <f>SUBTOTAL(9,V67:V71)</f>
        <v>0</v>
      </c>
      <c r="W66" s="798">
        <f>SUBTOTAL(9,W67:W71)</f>
        <v>0</v>
      </c>
    </row>
    <row r="67" spans="1:23" ht="26.4" outlineLevel="2">
      <c r="A67" s="376"/>
      <c r="B67" s="684" t="s">
        <v>160</v>
      </c>
      <c r="C67" s="684" t="s">
        <v>22</v>
      </c>
      <c r="D67" s="684" t="s">
        <v>25</v>
      </c>
      <c r="E67" s="684"/>
      <c r="F67" s="685" t="s">
        <v>1364</v>
      </c>
      <c r="G67" s="686">
        <f>SUBTOTAL(9,G68:G71)</f>
        <v>0.28480034280014982</v>
      </c>
      <c r="H67" s="691">
        <f>SUBTOTAL(9,H68:H71)</f>
        <v>4</v>
      </c>
      <c r="I67" s="626"/>
      <c r="J67" s="751"/>
      <c r="K67" s="416"/>
      <c r="L67" s="684"/>
      <c r="M67" s="684"/>
      <c r="N67" s="684"/>
      <c r="O67" s="684"/>
      <c r="P67" s="684"/>
      <c r="Q67" s="684"/>
      <c r="R67" s="684"/>
      <c r="S67" s="416"/>
      <c r="T67" s="751"/>
      <c r="U67" s="416"/>
      <c r="V67" s="686">
        <f>SUBTOTAL(9,V68:V71)</f>
        <v>0</v>
      </c>
      <c r="W67" s="691">
        <f>SUBTOTAL(9,W68:W71)</f>
        <v>0</v>
      </c>
    </row>
    <row r="68" spans="1:23" outlineLevel="3">
      <c r="A68" s="376"/>
      <c r="B68" s="376" t="s">
        <v>160</v>
      </c>
      <c r="C68" s="376" t="s">
        <v>22</v>
      </c>
      <c r="D68" s="376" t="s">
        <v>25</v>
      </c>
      <c r="E68" s="376" t="s">
        <v>26</v>
      </c>
      <c r="F68" s="608" t="s">
        <v>1365</v>
      </c>
      <c r="G68" s="609">
        <v>0.11799571852507491</v>
      </c>
      <c r="H68" s="692">
        <v>1</v>
      </c>
      <c r="I68" s="626"/>
      <c r="J68" s="751"/>
      <c r="K68" s="416"/>
      <c r="L68" s="376" t="s">
        <v>26</v>
      </c>
      <c r="M68" s="376" t="s">
        <v>1201</v>
      </c>
      <c r="N68" s="376" t="s">
        <v>1325</v>
      </c>
      <c r="O68" s="376"/>
      <c r="P68" s="376" t="s">
        <v>1369</v>
      </c>
      <c r="Q68" s="376"/>
      <c r="R68" s="376">
        <v>0</v>
      </c>
      <c r="S68" s="416"/>
      <c r="T68" s="751"/>
      <c r="U68" s="416"/>
      <c r="V68" s="609">
        <f>IF(W68=1,G68,0)</f>
        <v>0</v>
      </c>
      <c r="W68" s="692"/>
    </row>
    <row r="69" spans="1:23" outlineLevel="3">
      <c r="A69" s="376"/>
      <c r="B69" s="376" t="s">
        <v>160</v>
      </c>
      <c r="C69" s="376" t="s">
        <v>22</v>
      </c>
      <c r="D69" s="376" t="s">
        <v>25</v>
      </c>
      <c r="E69" s="376" t="s">
        <v>26</v>
      </c>
      <c r="F69" s="608" t="s">
        <v>1367</v>
      </c>
      <c r="G69" s="609">
        <v>0.11799571852507491</v>
      </c>
      <c r="H69" s="692">
        <v>1</v>
      </c>
      <c r="I69" s="626"/>
      <c r="J69" s="751"/>
      <c r="K69" s="416"/>
      <c r="L69" s="376" t="s">
        <v>26</v>
      </c>
      <c r="M69" s="376" t="s">
        <v>1201</v>
      </c>
      <c r="N69" s="376" t="s">
        <v>1325</v>
      </c>
      <c r="O69" s="376"/>
      <c r="P69" s="376" t="s">
        <v>1369</v>
      </c>
      <c r="Q69" s="376"/>
      <c r="R69" s="376">
        <v>0</v>
      </c>
      <c r="S69" s="416"/>
      <c r="T69" s="751"/>
      <c r="U69" s="416"/>
      <c r="V69" s="609">
        <f>IF(W69=1,G69,0)</f>
        <v>0</v>
      </c>
      <c r="W69" s="692"/>
    </row>
    <row r="70" spans="1:23" outlineLevel="3">
      <c r="A70" s="376"/>
      <c r="B70" s="376" t="s">
        <v>160</v>
      </c>
      <c r="C70" s="376" t="s">
        <v>22</v>
      </c>
      <c r="D70" s="376" t="s">
        <v>25</v>
      </c>
      <c r="E70" s="376" t="s">
        <v>26</v>
      </c>
      <c r="F70" s="608" t="s">
        <v>1370</v>
      </c>
      <c r="G70" s="609">
        <v>9.7617811500000009E-3</v>
      </c>
      <c r="H70" s="692">
        <v>1</v>
      </c>
      <c r="I70" s="626"/>
      <c r="J70" s="751"/>
      <c r="K70" s="416"/>
      <c r="L70" s="376" t="s">
        <v>26</v>
      </c>
      <c r="M70" s="376"/>
      <c r="N70" s="376" t="s">
        <v>1371</v>
      </c>
      <c r="O70" s="376"/>
      <c r="P70" s="376"/>
      <c r="Q70" s="376"/>
      <c r="R70" s="376">
        <v>0</v>
      </c>
      <c r="S70" s="416"/>
      <c r="T70" s="751"/>
      <c r="U70" s="416"/>
      <c r="V70" s="609">
        <f>IF(W70=1,G70,0)</f>
        <v>0</v>
      </c>
      <c r="W70" s="692"/>
    </row>
    <row r="71" spans="1:23" outlineLevel="3">
      <c r="A71" s="376"/>
      <c r="B71" s="376" t="s">
        <v>160</v>
      </c>
      <c r="C71" s="376" t="s">
        <v>22</v>
      </c>
      <c r="D71" s="376" t="s">
        <v>25</v>
      </c>
      <c r="E71" s="376" t="s">
        <v>26</v>
      </c>
      <c r="F71" s="608" t="s">
        <v>1368</v>
      </c>
      <c r="G71" s="609">
        <v>3.9047124600000004E-2</v>
      </c>
      <c r="H71" s="692">
        <v>1</v>
      </c>
      <c r="I71" s="626"/>
      <c r="J71" s="751"/>
      <c r="K71" s="416"/>
      <c r="L71" s="376" t="s">
        <v>26</v>
      </c>
      <c r="M71" s="376"/>
      <c r="N71" s="376" t="s">
        <v>1371</v>
      </c>
      <c r="O71" s="376"/>
      <c r="P71" s="376"/>
      <c r="Q71" s="376"/>
      <c r="R71" s="376">
        <v>0</v>
      </c>
      <c r="S71" s="416"/>
      <c r="T71" s="751"/>
      <c r="U71" s="416"/>
      <c r="V71" s="609">
        <f>IF(W71=1,G71,0)</f>
        <v>0</v>
      </c>
      <c r="W71" s="692"/>
    </row>
    <row r="72" spans="1:23" outlineLevel="1">
      <c r="A72" s="376"/>
      <c r="B72" s="665" t="s">
        <v>167</v>
      </c>
      <c r="C72" s="665" t="s">
        <v>121</v>
      </c>
      <c r="D72" s="665"/>
      <c r="E72" s="665"/>
      <c r="F72" s="681" t="s">
        <v>262</v>
      </c>
      <c r="G72" s="797">
        <f>SUBTOTAL(9,G73:G77)</f>
        <v>0.30000000000000004</v>
      </c>
      <c r="H72" s="798">
        <f>SUBTOTAL(9,H73:H77)</f>
        <v>4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SUBTOTAL(9,V73:V77)</f>
        <v>0</v>
      </c>
      <c r="W72" s="798">
        <f>SUBTOTAL(9,W73:W77)</f>
        <v>0</v>
      </c>
    </row>
    <row r="73" spans="1:23" outlineLevel="2">
      <c r="A73" s="376"/>
      <c r="B73" s="684" t="s">
        <v>167</v>
      </c>
      <c r="C73" s="684" t="s">
        <v>121</v>
      </c>
      <c r="D73" s="684" t="s">
        <v>25</v>
      </c>
      <c r="E73" s="684"/>
      <c r="F73" s="685" t="s">
        <v>77</v>
      </c>
      <c r="G73" s="686">
        <f>SUBTOTAL(9,G74:G77)</f>
        <v>0.30000000000000004</v>
      </c>
      <c r="H73" s="691">
        <f>SUBTOTAL(9,H74:H77)</f>
        <v>4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SUBTOTAL(9,V74:V77)</f>
        <v>0</v>
      </c>
      <c r="W73" s="691">
        <f>SUBTOTAL(9,W74:W77)</f>
        <v>0</v>
      </c>
    </row>
    <row r="74" spans="1:23" outlineLevel="3">
      <c r="A74" s="376"/>
      <c r="B74" s="376" t="s">
        <v>167</v>
      </c>
      <c r="C74" s="376" t="s">
        <v>121</v>
      </c>
      <c r="D74" s="376" t="s">
        <v>25</v>
      </c>
      <c r="E74" s="376" t="s">
        <v>26</v>
      </c>
      <c r="F74" s="608" t="s">
        <v>1382</v>
      </c>
      <c r="G74" s="609">
        <v>0.17</v>
      </c>
      <c r="H74" s="692">
        <v>1</v>
      </c>
      <c r="I74" s="626"/>
      <c r="J74" s="751"/>
      <c r="K74" s="416"/>
      <c r="L74" s="376" t="s">
        <v>26</v>
      </c>
      <c r="M74" s="376" t="s">
        <v>1201</v>
      </c>
      <c r="N74" s="376" t="s">
        <v>1380</v>
      </c>
      <c r="O74" s="376"/>
      <c r="P74" s="376" t="s">
        <v>1381</v>
      </c>
      <c r="Q74" s="376"/>
      <c r="R74" s="376">
        <v>0</v>
      </c>
      <c r="S74" s="416"/>
      <c r="T74" s="751"/>
      <c r="U74" s="416"/>
      <c r="V74" s="609">
        <f>IF(W74=1,G74,0)</f>
        <v>0</v>
      </c>
      <c r="W74" s="692"/>
    </row>
    <row r="75" spans="1:23" outlineLevel="3">
      <c r="A75" s="376"/>
      <c r="B75" s="376" t="s">
        <v>167</v>
      </c>
      <c r="C75" s="376" t="s">
        <v>121</v>
      </c>
      <c r="D75" s="376" t="s">
        <v>25</v>
      </c>
      <c r="E75" s="376" t="s">
        <v>26</v>
      </c>
      <c r="F75" s="608" t="s">
        <v>1324</v>
      </c>
      <c r="G75" s="609">
        <v>0.03</v>
      </c>
      <c r="H75" s="692">
        <v>1</v>
      </c>
      <c r="I75" s="626"/>
      <c r="J75" s="751"/>
      <c r="K75" s="416"/>
      <c r="L75" s="376" t="s">
        <v>26</v>
      </c>
      <c r="M75" s="376" t="s">
        <v>1201</v>
      </c>
      <c r="N75" s="376" t="s">
        <v>1380</v>
      </c>
      <c r="O75" s="376"/>
      <c r="P75" s="376" t="s">
        <v>1381</v>
      </c>
      <c r="Q75" s="376"/>
      <c r="R75" s="376">
        <v>0</v>
      </c>
      <c r="S75" s="416"/>
      <c r="T75" s="751"/>
      <c r="U75" s="416"/>
      <c r="V75" s="609">
        <f>IF(W75=1,G75,0)</f>
        <v>0</v>
      </c>
      <c r="W75" s="692"/>
    </row>
    <row r="76" spans="1:23" outlineLevel="3">
      <c r="A76" s="376"/>
      <c r="B76" s="376" t="s">
        <v>167</v>
      </c>
      <c r="C76" s="376" t="s">
        <v>121</v>
      </c>
      <c r="D76" s="376" t="s">
        <v>25</v>
      </c>
      <c r="E76" s="376" t="s">
        <v>26</v>
      </c>
      <c r="F76" s="608" t="s">
        <v>1334</v>
      </c>
      <c r="G76" s="609">
        <v>0.03</v>
      </c>
      <c r="H76" s="692">
        <v>1</v>
      </c>
      <c r="I76" s="626"/>
      <c r="J76" s="751"/>
      <c r="K76" s="416"/>
      <c r="L76" s="376" t="s">
        <v>26</v>
      </c>
      <c r="M76" s="376" t="s">
        <v>1201</v>
      </c>
      <c r="N76" s="376" t="s">
        <v>1380</v>
      </c>
      <c r="O76" s="376"/>
      <c r="P76" s="376" t="s">
        <v>1381</v>
      </c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1:23" ht="26.4" outlineLevel="3">
      <c r="A77" s="376"/>
      <c r="B77" s="376" t="s">
        <v>167</v>
      </c>
      <c r="C77" s="376" t="s">
        <v>121</v>
      </c>
      <c r="D77" s="376" t="s">
        <v>25</v>
      </c>
      <c r="E77" s="376" t="s">
        <v>26</v>
      </c>
      <c r="F77" s="608" t="s">
        <v>1383</v>
      </c>
      <c r="G77" s="609">
        <v>7.0000000000000007E-2</v>
      </c>
      <c r="H77" s="692">
        <v>1</v>
      </c>
      <c r="I77" s="626"/>
      <c r="J77" s="751"/>
      <c r="K77" s="416"/>
      <c r="L77" s="376" t="s">
        <v>26</v>
      </c>
      <c r="M77" s="376" t="s">
        <v>1201</v>
      </c>
      <c r="N77" s="376" t="s">
        <v>1380</v>
      </c>
      <c r="O77" s="376"/>
      <c r="P77" s="376" t="s">
        <v>1381</v>
      </c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1:23" outlineLevel="1">
      <c r="A78" s="376"/>
      <c r="B78" s="665" t="s">
        <v>173</v>
      </c>
      <c r="C78" s="665" t="s">
        <v>173</v>
      </c>
      <c r="D78" s="665"/>
      <c r="E78" s="665"/>
      <c r="F78" s="681" t="s">
        <v>262</v>
      </c>
      <c r="G78" s="797">
        <f>SUBTOTAL(9,G79:G83)</f>
        <v>1.005255014743917</v>
      </c>
      <c r="H78" s="798">
        <f>SUBTOTAL(9,H79:H83)</f>
        <v>4</v>
      </c>
      <c r="I78" s="626"/>
      <c r="J78" s="751"/>
      <c r="K78" s="416"/>
      <c r="L78" s="665"/>
      <c r="M78" s="665"/>
      <c r="N78" s="665"/>
      <c r="O78" s="665"/>
      <c r="P78" s="665"/>
      <c r="Q78" s="665"/>
      <c r="R78" s="665"/>
      <c r="S78" s="416"/>
      <c r="T78" s="751"/>
      <c r="U78" s="416"/>
      <c r="V78" s="797">
        <f>SUBTOTAL(9,V79:V83)</f>
        <v>0</v>
      </c>
      <c r="W78" s="798">
        <f>SUBTOTAL(9,W79:W83)</f>
        <v>0</v>
      </c>
    </row>
    <row r="79" spans="1:23" ht="26.4" outlineLevel="2">
      <c r="A79" s="376"/>
      <c r="B79" s="684" t="s">
        <v>173</v>
      </c>
      <c r="C79" s="684" t="s">
        <v>173</v>
      </c>
      <c r="D79" s="684" t="s">
        <v>25</v>
      </c>
      <c r="E79" s="684"/>
      <c r="F79" s="685" t="s">
        <v>1388</v>
      </c>
      <c r="G79" s="686">
        <f>SUBTOTAL(9,G80:G83)</f>
        <v>1.005255014743917</v>
      </c>
      <c r="H79" s="691">
        <f>SUBTOTAL(9,H80:H83)</f>
        <v>4</v>
      </c>
      <c r="I79" s="626"/>
      <c r="J79" s="751"/>
      <c r="K79" s="416"/>
      <c r="L79" s="684"/>
      <c r="M79" s="684"/>
      <c r="N79" s="684"/>
      <c r="O79" s="684"/>
      <c r="P79" s="684"/>
      <c r="Q79" s="684"/>
      <c r="R79" s="684"/>
      <c r="S79" s="416"/>
      <c r="T79" s="751"/>
      <c r="U79" s="416"/>
      <c r="V79" s="686">
        <f>SUBTOTAL(9,V80:V83)</f>
        <v>0</v>
      </c>
      <c r="W79" s="691">
        <f>SUBTOTAL(9,W80:W83)</f>
        <v>0</v>
      </c>
    </row>
    <row r="80" spans="1:23" outlineLevel="3">
      <c r="A80" s="376"/>
      <c r="B80" s="376" t="s">
        <v>173</v>
      </c>
      <c r="C80" s="376" t="s">
        <v>173</v>
      </c>
      <c r="D80" s="376" t="s">
        <v>25</v>
      </c>
      <c r="E80" s="376" t="s">
        <v>26</v>
      </c>
      <c r="F80" s="608" t="s">
        <v>181</v>
      </c>
      <c r="G80" s="609">
        <v>0.40295193575893268</v>
      </c>
      <c r="H80" s="692">
        <v>1</v>
      </c>
      <c r="I80" s="626"/>
      <c r="J80" s="751"/>
      <c r="K80" s="416"/>
      <c r="L80" s="376" t="s">
        <v>26</v>
      </c>
      <c r="M80" s="376" t="s">
        <v>1201</v>
      </c>
      <c r="N80" s="376" t="s">
        <v>1202</v>
      </c>
      <c r="O80" s="376"/>
      <c r="P80" s="376" t="s">
        <v>1389</v>
      </c>
      <c r="Q80" s="376"/>
      <c r="R80" s="376">
        <v>0</v>
      </c>
      <c r="S80" s="416"/>
      <c r="T80" s="751"/>
      <c r="U80" s="416"/>
      <c r="V80" s="609">
        <f>IF(W80=1,G80,0)</f>
        <v>0</v>
      </c>
      <c r="W80" s="692"/>
    </row>
    <row r="81" spans="1:23" outlineLevel="3">
      <c r="A81" s="376"/>
      <c r="B81" s="376" t="s">
        <v>173</v>
      </c>
      <c r="C81" s="376" t="s">
        <v>173</v>
      </c>
      <c r="D81" s="376" t="s">
        <v>25</v>
      </c>
      <c r="E81" s="376" t="s">
        <v>26</v>
      </c>
      <c r="F81" s="608" t="s">
        <v>219</v>
      </c>
      <c r="G81" s="609">
        <v>0.33579327979911056</v>
      </c>
      <c r="H81" s="692">
        <v>1</v>
      </c>
      <c r="I81" s="626"/>
      <c r="J81" s="751"/>
      <c r="K81" s="416"/>
      <c r="L81" s="376" t="s">
        <v>26</v>
      </c>
      <c r="M81" s="376" t="s">
        <v>1201</v>
      </c>
      <c r="N81" s="376" t="s">
        <v>1202</v>
      </c>
      <c r="O81" s="376"/>
      <c r="P81" s="376" t="s">
        <v>1389</v>
      </c>
      <c r="Q81" s="376"/>
      <c r="R81" s="376">
        <v>0</v>
      </c>
      <c r="S81" s="416"/>
      <c r="T81" s="751"/>
      <c r="U81" s="416"/>
      <c r="V81" s="609">
        <f>IF(W81=1,G81,0)</f>
        <v>0</v>
      </c>
      <c r="W81" s="692"/>
    </row>
    <row r="82" spans="1:23" outlineLevel="3">
      <c r="A82" s="376"/>
      <c r="B82" s="376" t="s">
        <v>173</v>
      </c>
      <c r="C82" s="376" t="s">
        <v>173</v>
      </c>
      <c r="D82" s="376" t="s">
        <v>25</v>
      </c>
      <c r="E82" s="376" t="s">
        <v>26</v>
      </c>
      <c r="F82" s="608" t="s">
        <v>195</v>
      </c>
      <c r="G82" s="609">
        <v>0.21693581286679067</v>
      </c>
      <c r="H82" s="692">
        <v>1</v>
      </c>
      <c r="I82" s="626"/>
      <c r="J82" s="751"/>
      <c r="K82" s="416"/>
      <c r="L82" s="376" t="s">
        <v>26</v>
      </c>
      <c r="M82" s="376" t="s">
        <v>1201</v>
      </c>
      <c r="N82" s="376" t="s">
        <v>1390</v>
      </c>
      <c r="O82" s="376"/>
      <c r="P82" s="376" t="s">
        <v>1389</v>
      </c>
      <c r="Q82" s="376"/>
      <c r="R82" s="376">
        <v>0</v>
      </c>
      <c r="S82" s="416"/>
      <c r="T82" s="751"/>
      <c r="U82" s="416"/>
      <c r="V82" s="609">
        <f>IF(W82=1,G82,0)</f>
        <v>0</v>
      </c>
      <c r="W82" s="692"/>
    </row>
    <row r="83" spans="1:23" outlineLevel="3">
      <c r="A83" s="376"/>
      <c r="B83" s="376" t="s">
        <v>173</v>
      </c>
      <c r="C83" s="376" t="s">
        <v>173</v>
      </c>
      <c r="D83" s="376" t="s">
        <v>25</v>
      </c>
      <c r="E83" s="376" t="s">
        <v>26</v>
      </c>
      <c r="F83" s="608" t="s">
        <v>196</v>
      </c>
      <c r="G83" s="609">
        <v>4.9573986319083066E-2</v>
      </c>
      <c r="H83" s="692">
        <v>1</v>
      </c>
      <c r="I83" s="626"/>
      <c r="J83" s="751"/>
      <c r="K83" s="416"/>
      <c r="L83" s="376" t="s">
        <v>26</v>
      </c>
      <c r="M83" s="376" t="s">
        <v>1201</v>
      </c>
      <c r="N83" s="376" t="s">
        <v>1390</v>
      </c>
      <c r="O83" s="376"/>
      <c r="P83" s="376" t="s">
        <v>1389</v>
      </c>
      <c r="Q83" s="376"/>
      <c r="R83" s="376">
        <v>0</v>
      </c>
      <c r="S83" s="416"/>
      <c r="T83" s="751"/>
      <c r="U83" s="416"/>
      <c r="V83" s="609">
        <f>IF(W83=1,G83,0)</f>
        <v>0</v>
      </c>
      <c r="W83" s="692"/>
    </row>
    <row r="84" spans="1:23" outlineLevel="1">
      <c r="A84" s="376"/>
      <c r="B84" s="666" t="s">
        <v>182</v>
      </c>
      <c r="C84" s="666" t="s">
        <v>182</v>
      </c>
      <c r="D84" s="666"/>
      <c r="E84" s="666"/>
      <c r="F84" s="681" t="s">
        <v>262</v>
      </c>
      <c r="G84" s="797">
        <f>SUBTOTAL(9,G85:G104)</f>
        <v>2.1217771248000008</v>
      </c>
      <c r="H84" s="798">
        <f>SUBTOTAL(9,H85:H104)</f>
        <v>19</v>
      </c>
      <c r="I84" s="626"/>
      <c r="J84" s="751"/>
      <c r="K84" s="416"/>
      <c r="L84" s="666"/>
      <c r="M84" s="666"/>
      <c r="N84" s="666"/>
      <c r="O84" s="666"/>
      <c r="P84" s="666"/>
      <c r="Q84" s="666"/>
      <c r="R84" s="666"/>
      <c r="S84" s="416"/>
      <c r="T84" s="751"/>
      <c r="U84" s="416"/>
      <c r="V84" s="797">
        <f>SUBTOTAL(9,V85:V104)</f>
        <v>0</v>
      </c>
      <c r="W84" s="798">
        <f>SUBTOTAL(9,W85:W104)</f>
        <v>0</v>
      </c>
    </row>
    <row r="85" spans="1:23" outlineLevel="2">
      <c r="A85" s="376"/>
      <c r="B85" s="684" t="s">
        <v>182</v>
      </c>
      <c r="C85" s="684" t="s">
        <v>182</v>
      </c>
      <c r="D85" s="684" t="s">
        <v>25</v>
      </c>
      <c r="E85" s="684"/>
      <c r="F85" s="685" t="s">
        <v>183</v>
      </c>
      <c r="G85" s="686">
        <f>SUBTOTAL(9,G86:G104)</f>
        <v>2.1217771248000008</v>
      </c>
      <c r="H85" s="691">
        <f>SUBTOTAL(9,H86:H104)</f>
        <v>19</v>
      </c>
      <c r="I85" s="626"/>
      <c r="J85" s="751"/>
      <c r="K85" s="416"/>
      <c r="L85" s="684"/>
      <c r="M85" s="684"/>
      <c r="N85" s="684"/>
      <c r="O85" s="684"/>
      <c r="P85" s="684"/>
      <c r="Q85" s="684"/>
      <c r="R85" s="684"/>
      <c r="S85" s="416"/>
      <c r="T85" s="751"/>
      <c r="U85" s="416"/>
      <c r="V85" s="686">
        <f>SUBTOTAL(9,V86:V104)</f>
        <v>0</v>
      </c>
      <c r="W85" s="691">
        <f>SUBTOTAL(9,W86:W104)</f>
        <v>0</v>
      </c>
    </row>
    <row r="86" spans="1:23" outlineLevel="3">
      <c r="A86" s="376"/>
      <c r="B86" s="376" t="s">
        <v>182</v>
      </c>
      <c r="C86" s="376" t="s">
        <v>182</v>
      </c>
      <c r="D86" s="376" t="s">
        <v>25</v>
      </c>
      <c r="E86" s="376" t="s">
        <v>26</v>
      </c>
      <c r="F86" s="608" t="s">
        <v>191</v>
      </c>
      <c r="G86" s="609">
        <v>0.5295810499200001</v>
      </c>
      <c r="H86" s="692">
        <v>1</v>
      </c>
      <c r="I86" s="626"/>
      <c r="J86" s="751"/>
      <c r="K86" s="416"/>
      <c r="L86" s="376" t="s">
        <v>26</v>
      </c>
      <c r="M86" s="376" t="s">
        <v>1201</v>
      </c>
      <c r="N86" s="376" t="s">
        <v>1202</v>
      </c>
      <c r="O86" s="376" t="s">
        <v>1399</v>
      </c>
      <c r="P86" s="376" t="s">
        <v>1207</v>
      </c>
      <c r="Q86" s="376"/>
      <c r="R86" s="376">
        <v>0</v>
      </c>
      <c r="S86" s="416"/>
      <c r="T86" s="751"/>
      <c r="U86" s="416"/>
      <c r="V86" s="609">
        <f t="shared" ref="V86:V104" si="3">IF(W86=1,G86,0)</f>
        <v>0</v>
      </c>
      <c r="W86" s="692"/>
    </row>
    <row r="87" spans="1:23" outlineLevel="3">
      <c r="A87" s="376"/>
      <c r="B87" s="376" t="s">
        <v>182</v>
      </c>
      <c r="C87" s="376" t="s">
        <v>182</v>
      </c>
      <c r="D87" s="376" t="s">
        <v>25</v>
      </c>
      <c r="E87" s="376" t="s">
        <v>26</v>
      </c>
      <c r="F87" s="608" t="s">
        <v>1603</v>
      </c>
      <c r="G87" s="609">
        <v>0.39718578744000005</v>
      </c>
      <c r="H87" s="692">
        <v>1</v>
      </c>
      <c r="I87" s="626"/>
      <c r="J87" s="751"/>
      <c r="K87" s="416"/>
      <c r="L87" s="376" t="s">
        <v>26</v>
      </c>
      <c r="M87" s="376" t="s">
        <v>1201</v>
      </c>
      <c r="N87" s="376"/>
      <c r="O87" s="376"/>
      <c r="P87" s="376"/>
      <c r="Q87" s="376"/>
      <c r="R87" s="376"/>
      <c r="S87" s="416"/>
      <c r="T87" s="751"/>
      <c r="U87" s="416"/>
      <c r="V87" s="609">
        <f t="shared" si="3"/>
        <v>0</v>
      </c>
      <c r="W87" s="692"/>
    </row>
    <row r="88" spans="1:23" outlineLevel="3">
      <c r="A88" s="376"/>
      <c r="B88" s="376" t="s">
        <v>182</v>
      </c>
      <c r="C88" s="376" t="s">
        <v>182</v>
      </c>
      <c r="D88" s="376" t="s">
        <v>25</v>
      </c>
      <c r="E88" s="376" t="s">
        <v>26</v>
      </c>
      <c r="F88" s="608" t="s">
        <v>192</v>
      </c>
      <c r="G88" s="609">
        <v>0.39718578744000005</v>
      </c>
      <c r="H88" s="692">
        <v>1</v>
      </c>
      <c r="I88" s="626"/>
      <c r="J88" s="751"/>
      <c r="K88" s="416"/>
      <c r="L88" s="376" t="s">
        <v>26</v>
      </c>
      <c r="M88" s="376" t="s">
        <v>1201</v>
      </c>
      <c r="N88" s="376"/>
      <c r="O88" s="376"/>
      <c r="P88" s="376"/>
      <c r="Q88" s="376"/>
      <c r="R88" s="376"/>
      <c r="S88" s="416"/>
      <c r="T88" s="751"/>
      <c r="U88" s="416"/>
      <c r="V88" s="609">
        <f t="shared" si="3"/>
        <v>0</v>
      </c>
      <c r="W88" s="692"/>
    </row>
    <row r="89" spans="1:23" outlineLevel="3">
      <c r="A89" s="376"/>
      <c r="B89" s="376" t="s">
        <v>182</v>
      </c>
      <c r="C89" s="376" t="s">
        <v>182</v>
      </c>
      <c r="D89" s="376" t="s">
        <v>25</v>
      </c>
      <c r="E89" s="376" t="s">
        <v>26</v>
      </c>
      <c r="F89" s="608" t="s">
        <v>198</v>
      </c>
      <c r="G89" s="609">
        <v>2.5612785000000002E-2</v>
      </c>
      <c r="H89" s="692">
        <v>1</v>
      </c>
      <c r="I89" s="626"/>
      <c r="J89" s="751"/>
      <c r="K89" s="416"/>
      <c r="L89" s="376" t="s">
        <v>26</v>
      </c>
      <c r="M89" s="376" t="s">
        <v>1201</v>
      </c>
      <c r="N89" s="376" t="s">
        <v>1202</v>
      </c>
      <c r="O89" s="376" t="s">
        <v>1399</v>
      </c>
      <c r="P89" s="376" t="s">
        <v>1207</v>
      </c>
      <c r="Q89" s="376"/>
      <c r="R89" s="376">
        <v>0</v>
      </c>
      <c r="S89" s="416"/>
      <c r="T89" s="751"/>
      <c r="U89" s="416"/>
      <c r="V89" s="609">
        <f t="shared" si="3"/>
        <v>0</v>
      </c>
      <c r="W89" s="692"/>
    </row>
    <row r="90" spans="1:23" outlineLevel="3">
      <c r="A90" s="376"/>
      <c r="B90" s="376" t="s">
        <v>182</v>
      </c>
      <c r="C90" s="376" t="s">
        <v>182</v>
      </c>
      <c r="D90" s="376" t="s">
        <v>25</v>
      </c>
      <c r="E90" s="376" t="s">
        <v>26</v>
      </c>
      <c r="F90" s="608" t="s">
        <v>199</v>
      </c>
      <c r="G90" s="609">
        <v>2.5612785000000002E-2</v>
      </c>
      <c r="H90" s="692">
        <v>1</v>
      </c>
      <c r="I90" s="626"/>
      <c r="J90" s="751"/>
      <c r="K90" s="416"/>
      <c r="L90" s="376" t="s">
        <v>26</v>
      </c>
      <c r="M90" s="376" t="s">
        <v>1201</v>
      </c>
      <c r="N90" s="376" t="s">
        <v>1202</v>
      </c>
      <c r="O90" s="376" t="s">
        <v>1399</v>
      </c>
      <c r="P90" s="376" t="s">
        <v>1207</v>
      </c>
      <c r="Q90" s="376"/>
      <c r="R90" s="376">
        <v>0</v>
      </c>
      <c r="S90" s="416"/>
      <c r="T90" s="751"/>
      <c r="U90" s="416"/>
      <c r="V90" s="609">
        <f t="shared" si="3"/>
        <v>0</v>
      </c>
      <c r="W90" s="692"/>
    </row>
    <row r="91" spans="1:23" outlineLevel="3">
      <c r="A91" s="376"/>
      <c r="B91" s="376" t="s">
        <v>182</v>
      </c>
      <c r="C91" s="376" t="s">
        <v>182</v>
      </c>
      <c r="D91" s="376" t="s">
        <v>25</v>
      </c>
      <c r="E91" s="376" t="s">
        <v>26</v>
      </c>
      <c r="F91" s="608" t="s">
        <v>201</v>
      </c>
      <c r="G91" s="609">
        <v>5.4169665000000013E-2</v>
      </c>
      <c r="H91" s="692">
        <v>1</v>
      </c>
      <c r="I91" s="626"/>
      <c r="J91" s="751"/>
      <c r="K91" s="416"/>
      <c r="L91" s="376" t="s">
        <v>26</v>
      </c>
      <c r="M91" s="376" t="s">
        <v>1201</v>
      </c>
      <c r="N91" s="376" t="s">
        <v>1202</v>
      </c>
      <c r="O91" s="376" t="s">
        <v>1399</v>
      </c>
      <c r="P91" s="376" t="s">
        <v>1207</v>
      </c>
      <c r="Q91" s="376"/>
      <c r="R91" s="376">
        <v>0</v>
      </c>
      <c r="S91" s="416"/>
      <c r="T91" s="751"/>
      <c r="U91" s="416"/>
      <c r="V91" s="609">
        <f t="shared" si="3"/>
        <v>0</v>
      </c>
      <c r="W91" s="692"/>
    </row>
    <row r="92" spans="1:23" outlineLevel="3">
      <c r="A92" s="376"/>
      <c r="B92" s="376" t="s">
        <v>182</v>
      </c>
      <c r="C92" s="376" t="s">
        <v>182</v>
      </c>
      <c r="D92" s="376" t="s">
        <v>25</v>
      </c>
      <c r="E92" s="376" t="s">
        <v>26</v>
      </c>
      <c r="F92" s="608" t="s">
        <v>202</v>
      </c>
      <c r="G92" s="609">
        <v>5.4169665000000013E-2</v>
      </c>
      <c r="H92" s="692">
        <v>1</v>
      </c>
      <c r="I92" s="626"/>
      <c r="J92" s="751"/>
      <c r="K92" s="416"/>
      <c r="L92" s="376" t="s">
        <v>26</v>
      </c>
      <c r="M92" s="376" t="s">
        <v>1201</v>
      </c>
      <c r="N92" s="376" t="s">
        <v>1202</v>
      </c>
      <c r="O92" s="376" t="s">
        <v>1399</v>
      </c>
      <c r="P92" s="376" t="s">
        <v>1207</v>
      </c>
      <c r="Q92" s="376"/>
      <c r="R92" s="376">
        <v>0</v>
      </c>
      <c r="S92" s="416"/>
      <c r="T92" s="751"/>
      <c r="U92" s="416"/>
      <c r="V92" s="609">
        <f t="shared" si="3"/>
        <v>0</v>
      </c>
      <c r="W92" s="692"/>
    </row>
    <row r="93" spans="1:23" outlineLevel="3">
      <c r="A93" s="376"/>
      <c r="B93" s="376" t="s">
        <v>182</v>
      </c>
      <c r="C93" s="376" t="s">
        <v>182</v>
      </c>
      <c r="D93" s="376" t="s">
        <v>25</v>
      </c>
      <c r="E93" s="376" t="s">
        <v>26</v>
      </c>
      <c r="F93" s="608" t="s">
        <v>205</v>
      </c>
      <c r="G93" s="609">
        <v>5.4169665000000013E-2</v>
      </c>
      <c r="H93" s="692">
        <v>1</v>
      </c>
      <c r="I93" s="626"/>
      <c r="J93" s="751"/>
      <c r="K93" s="416"/>
      <c r="L93" s="376" t="s">
        <v>26</v>
      </c>
      <c r="M93" s="376" t="s">
        <v>1201</v>
      </c>
      <c r="N93" s="376" t="s">
        <v>1202</v>
      </c>
      <c r="O93" s="376" t="s">
        <v>1399</v>
      </c>
      <c r="P93" s="376" t="s">
        <v>1207</v>
      </c>
      <c r="Q93" s="376"/>
      <c r="R93" s="376">
        <v>0</v>
      </c>
      <c r="S93" s="416"/>
      <c r="T93" s="751"/>
      <c r="U93" s="416"/>
      <c r="V93" s="609">
        <f t="shared" si="3"/>
        <v>0</v>
      </c>
      <c r="W93" s="692"/>
    </row>
    <row r="94" spans="1:23" outlineLevel="3">
      <c r="A94" s="376"/>
      <c r="B94" s="376" t="s">
        <v>182</v>
      </c>
      <c r="C94" s="376" t="s">
        <v>182</v>
      </c>
      <c r="D94" s="376" t="s">
        <v>25</v>
      </c>
      <c r="E94" s="376" t="s">
        <v>26</v>
      </c>
      <c r="F94" s="608" t="s">
        <v>206</v>
      </c>
      <c r="G94" s="609">
        <v>5.4169665000000013E-2</v>
      </c>
      <c r="H94" s="692">
        <v>1</v>
      </c>
      <c r="I94" s="626"/>
      <c r="J94" s="751"/>
      <c r="K94" s="416"/>
      <c r="L94" s="376" t="s">
        <v>26</v>
      </c>
      <c r="M94" s="376" t="s">
        <v>1201</v>
      </c>
      <c r="N94" s="376" t="s">
        <v>1202</v>
      </c>
      <c r="O94" s="376" t="s">
        <v>1399</v>
      </c>
      <c r="P94" s="376" t="s">
        <v>1207</v>
      </c>
      <c r="Q94" s="376"/>
      <c r="R94" s="376">
        <v>0</v>
      </c>
      <c r="S94" s="416"/>
      <c r="T94" s="751"/>
      <c r="U94" s="416"/>
      <c r="V94" s="609">
        <f t="shared" si="3"/>
        <v>0</v>
      </c>
      <c r="W94" s="692"/>
    </row>
    <row r="95" spans="1:23" outlineLevel="3">
      <c r="A95" s="376"/>
      <c r="B95" s="376" t="s">
        <v>182</v>
      </c>
      <c r="C95" s="376" t="s">
        <v>182</v>
      </c>
      <c r="D95" s="376" t="s">
        <v>25</v>
      </c>
      <c r="E95" s="376" t="s">
        <v>26</v>
      </c>
      <c r="F95" s="608" t="s">
        <v>208</v>
      </c>
      <c r="G95" s="609">
        <v>5.4169665000000013E-2</v>
      </c>
      <c r="H95" s="692">
        <v>1</v>
      </c>
      <c r="I95" s="626"/>
      <c r="J95" s="751"/>
      <c r="K95" s="416"/>
      <c r="L95" s="376" t="s">
        <v>26</v>
      </c>
      <c r="M95" s="376" t="s">
        <v>1201</v>
      </c>
      <c r="N95" s="376" t="s">
        <v>1202</v>
      </c>
      <c r="O95" s="376" t="s">
        <v>1399</v>
      </c>
      <c r="P95" s="376" t="s">
        <v>1389</v>
      </c>
      <c r="Q95" s="376"/>
      <c r="R95" s="376">
        <v>0</v>
      </c>
      <c r="S95" s="416"/>
      <c r="T95" s="751"/>
      <c r="U95" s="416"/>
      <c r="V95" s="609">
        <f t="shared" si="3"/>
        <v>0</v>
      </c>
      <c r="W95" s="692"/>
    </row>
    <row r="96" spans="1:23" outlineLevel="3">
      <c r="A96" s="376"/>
      <c r="B96" s="376" t="s">
        <v>182</v>
      </c>
      <c r="C96" s="376" t="s">
        <v>182</v>
      </c>
      <c r="D96" s="376" t="s">
        <v>25</v>
      </c>
      <c r="E96" s="376" t="s">
        <v>26</v>
      </c>
      <c r="F96" s="608" t="s">
        <v>209</v>
      </c>
      <c r="G96" s="609">
        <v>5.4169665000000013E-2</v>
      </c>
      <c r="H96" s="692">
        <v>1</v>
      </c>
      <c r="I96" s="626"/>
      <c r="J96" s="751"/>
      <c r="K96" s="416"/>
      <c r="L96" s="376" t="s">
        <v>26</v>
      </c>
      <c r="M96" s="376" t="s">
        <v>1201</v>
      </c>
      <c r="N96" s="376" t="s">
        <v>1202</v>
      </c>
      <c r="O96" s="376" t="s">
        <v>1399</v>
      </c>
      <c r="P96" s="376" t="s">
        <v>1389</v>
      </c>
      <c r="Q96" s="376"/>
      <c r="R96" s="376">
        <v>0</v>
      </c>
      <c r="S96" s="416"/>
      <c r="T96" s="751"/>
      <c r="U96" s="416"/>
      <c r="V96" s="609">
        <f t="shared" si="3"/>
        <v>0</v>
      </c>
      <c r="W96" s="692"/>
    </row>
    <row r="97" spans="1:23" outlineLevel="3">
      <c r="A97" s="376"/>
      <c r="B97" s="376" t="s">
        <v>182</v>
      </c>
      <c r="C97" s="376" t="s">
        <v>182</v>
      </c>
      <c r="D97" s="376" t="s">
        <v>25</v>
      </c>
      <c r="E97" s="376" t="s">
        <v>26</v>
      </c>
      <c r="F97" s="608" t="s">
        <v>210</v>
      </c>
      <c r="G97" s="609">
        <v>0.10833933000000003</v>
      </c>
      <c r="H97" s="692">
        <v>1</v>
      </c>
      <c r="I97" s="626"/>
      <c r="J97" s="751"/>
      <c r="K97" s="416"/>
      <c r="L97" s="376" t="s">
        <v>26</v>
      </c>
      <c r="M97" s="376" t="s">
        <v>1201</v>
      </c>
      <c r="N97" s="376" t="s">
        <v>1202</v>
      </c>
      <c r="O97" s="376" t="s">
        <v>1399</v>
      </c>
      <c r="P97" s="376" t="s">
        <v>1389</v>
      </c>
      <c r="Q97" s="376"/>
      <c r="R97" s="376">
        <v>0</v>
      </c>
      <c r="S97" s="416"/>
      <c r="T97" s="751"/>
      <c r="U97" s="416"/>
      <c r="V97" s="609">
        <f t="shared" si="3"/>
        <v>0</v>
      </c>
      <c r="W97" s="692"/>
    </row>
    <row r="98" spans="1:23" outlineLevel="3">
      <c r="A98" s="376"/>
      <c r="B98" s="376" t="s">
        <v>182</v>
      </c>
      <c r="C98" s="376" t="s">
        <v>182</v>
      </c>
      <c r="D98" s="376" t="s">
        <v>25</v>
      </c>
      <c r="E98" s="376" t="s">
        <v>26</v>
      </c>
      <c r="F98" s="608" t="s">
        <v>212</v>
      </c>
      <c r="G98" s="609">
        <v>5.4169665000000013E-2</v>
      </c>
      <c r="H98" s="692">
        <v>1</v>
      </c>
      <c r="I98" s="626"/>
      <c r="J98" s="751"/>
      <c r="K98" s="416"/>
      <c r="L98" s="376" t="s">
        <v>26</v>
      </c>
      <c r="M98" s="376" t="s">
        <v>1201</v>
      </c>
      <c r="N98" s="376" t="s">
        <v>1202</v>
      </c>
      <c r="O98" s="376" t="s">
        <v>1399</v>
      </c>
      <c r="P98" s="376" t="s">
        <v>1389</v>
      </c>
      <c r="Q98" s="376"/>
      <c r="R98" s="376">
        <v>0</v>
      </c>
      <c r="S98" s="416"/>
      <c r="T98" s="751"/>
      <c r="U98" s="416"/>
      <c r="V98" s="609">
        <f t="shared" si="3"/>
        <v>0</v>
      </c>
      <c r="W98" s="692"/>
    </row>
    <row r="99" spans="1:23" outlineLevel="3">
      <c r="A99" s="376"/>
      <c r="B99" s="376" t="s">
        <v>182</v>
      </c>
      <c r="C99" s="376" t="s">
        <v>182</v>
      </c>
      <c r="D99" s="376" t="s">
        <v>25</v>
      </c>
      <c r="E99" s="376" t="s">
        <v>26</v>
      </c>
      <c r="F99" s="608" t="s">
        <v>213</v>
      </c>
      <c r="G99" s="609">
        <v>5.4169665000000013E-2</v>
      </c>
      <c r="H99" s="692">
        <v>1</v>
      </c>
      <c r="I99" s="626"/>
      <c r="J99" s="751"/>
      <c r="K99" s="416"/>
      <c r="L99" s="376" t="s">
        <v>26</v>
      </c>
      <c r="M99" s="376" t="s">
        <v>1201</v>
      </c>
      <c r="N99" s="376" t="s">
        <v>1202</v>
      </c>
      <c r="O99" s="376" t="s">
        <v>1399</v>
      </c>
      <c r="P99" s="376" t="s">
        <v>1389</v>
      </c>
      <c r="Q99" s="376"/>
      <c r="R99" s="376">
        <v>0</v>
      </c>
      <c r="S99" s="416"/>
      <c r="T99" s="751"/>
      <c r="U99" s="416"/>
      <c r="V99" s="609">
        <f t="shared" si="3"/>
        <v>0</v>
      </c>
      <c r="W99" s="692"/>
    </row>
    <row r="100" spans="1:23" outlineLevel="3">
      <c r="A100" s="376"/>
      <c r="B100" s="376" t="s">
        <v>182</v>
      </c>
      <c r="C100" s="376" t="s">
        <v>182</v>
      </c>
      <c r="D100" s="376" t="s">
        <v>25</v>
      </c>
      <c r="E100" s="376" t="s">
        <v>26</v>
      </c>
      <c r="F100" s="608" t="s">
        <v>214</v>
      </c>
      <c r="G100" s="609">
        <v>5.1225570000000005E-2</v>
      </c>
      <c r="H100" s="692">
        <v>1</v>
      </c>
      <c r="I100" s="626"/>
      <c r="J100" s="751"/>
      <c r="K100" s="416"/>
      <c r="L100" s="376" t="s">
        <v>26</v>
      </c>
      <c r="M100" s="376" t="s">
        <v>1201</v>
      </c>
      <c r="N100" s="376" t="s">
        <v>1202</v>
      </c>
      <c r="O100" s="376" t="s">
        <v>1399</v>
      </c>
      <c r="P100" s="376" t="s">
        <v>1389</v>
      </c>
      <c r="Q100" s="376"/>
      <c r="R100" s="376">
        <v>0</v>
      </c>
      <c r="S100" s="416"/>
      <c r="T100" s="751"/>
      <c r="U100" s="416"/>
      <c r="V100" s="609">
        <f t="shared" si="3"/>
        <v>0</v>
      </c>
      <c r="W100" s="692"/>
    </row>
    <row r="101" spans="1:23" outlineLevel="3">
      <c r="A101" s="376"/>
      <c r="B101" s="376" t="s">
        <v>182</v>
      </c>
      <c r="C101" s="376" t="s">
        <v>182</v>
      </c>
      <c r="D101" s="376" t="s">
        <v>25</v>
      </c>
      <c r="E101" s="376" t="s">
        <v>26</v>
      </c>
      <c r="F101" s="608" t="s">
        <v>215</v>
      </c>
      <c r="G101" s="609">
        <v>5.1225570000000005E-2</v>
      </c>
      <c r="H101" s="692">
        <v>1</v>
      </c>
      <c r="I101" s="626"/>
      <c r="J101" s="751"/>
      <c r="K101" s="416"/>
      <c r="L101" s="376" t="s">
        <v>26</v>
      </c>
      <c r="M101" s="376" t="s">
        <v>1201</v>
      </c>
      <c r="N101" s="376" t="s">
        <v>1202</v>
      </c>
      <c r="O101" s="376" t="s">
        <v>1399</v>
      </c>
      <c r="P101" s="376" t="s">
        <v>1389</v>
      </c>
      <c r="Q101" s="376"/>
      <c r="R101" s="376">
        <v>0</v>
      </c>
      <c r="S101" s="416"/>
      <c r="T101" s="751"/>
      <c r="U101" s="416"/>
      <c r="V101" s="609">
        <f t="shared" si="3"/>
        <v>0</v>
      </c>
      <c r="W101" s="692"/>
    </row>
    <row r="102" spans="1:23" outlineLevel="3">
      <c r="A102" s="376"/>
      <c r="B102" s="376" t="s">
        <v>182</v>
      </c>
      <c r="C102" s="376" t="s">
        <v>182</v>
      </c>
      <c r="D102" s="376" t="s">
        <v>25</v>
      </c>
      <c r="E102" s="376" t="s">
        <v>26</v>
      </c>
      <c r="F102" s="608" t="s">
        <v>216</v>
      </c>
      <c r="G102" s="609">
        <v>5.1225570000000005E-2</v>
      </c>
      <c r="H102" s="692">
        <v>1</v>
      </c>
      <c r="I102" s="626"/>
      <c r="J102" s="751"/>
      <c r="K102" s="416"/>
      <c r="L102" s="376" t="s">
        <v>26</v>
      </c>
      <c r="M102" s="376" t="s">
        <v>1201</v>
      </c>
      <c r="N102" s="376" t="s">
        <v>1202</v>
      </c>
      <c r="O102" s="376" t="s">
        <v>1399</v>
      </c>
      <c r="P102" s="376" t="s">
        <v>1389</v>
      </c>
      <c r="Q102" s="376"/>
      <c r="R102" s="376">
        <v>0</v>
      </c>
      <c r="S102" s="416"/>
      <c r="T102" s="751"/>
      <c r="U102" s="416"/>
      <c r="V102" s="609">
        <f t="shared" si="3"/>
        <v>0</v>
      </c>
      <c r="W102" s="692"/>
    </row>
    <row r="103" spans="1:23" outlineLevel="3">
      <c r="A103" s="376"/>
      <c r="B103" s="376" t="s">
        <v>182</v>
      </c>
      <c r="C103" s="376" t="s">
        <v>182</v>
      </c>
      <c r="D103" s="376" t="s">
        <v>25</v>
      </c>
      <c r="E103" s="376" t="s">
        <v>26</v>
      </c>
      <c r="F103" s="608" t="s">
        <v>217</v>
      </c>
      <c r="G103" s="609">
        <v>2.5612785000000002E-2</v>
      </c>
      <c r="H103" s="692">
        <v>1</v>
      </c>
      <c r="I103" s="626"/>
      <c r="J103" s="751"/>
      <c r="K103" s="416"/>
      <c r="L103" s="376" t="s">
        <v>26</v>
      </c>
      <c r="M103" s="376" t="s">
        <v>1201</v>
      </c>
      <c r="N103" s="376" t="s">
        <v>1202</v>
      </c>
      <c r="O103" s="376" t="s">
        <v>1399</v>
      </c>
      <c r="P103" s="376" t="s">
        <v>1389</v>
      </c>
      <c r="Q103" s="376"/>
      <c r="R103" s="376">
        <v>0</v>
      </c>
      <c r="S103" s="416"/>
      <c r="T103" s="751"/>
      <c r="U103" s="416"/>
      <c r="V103" s="609">
        <f t="shared" si="3"/>
        <v>0</v>
      </c>
      <c r="W103" s="692"/>
    </row>
    <row r="104" spans="1:23" outlineLevel="3">
      <c r="A104" s="376"/>
      <c r="B104" s="376" t="s">
        <v>182</v>
      </c>
      <c r="C104" s="376" t="s">
        <v>182</v>
      </c>
      <c r="D104" s="376" t="s">
        <v>25</v>
      </c>
      <c r="E104" s="376" t="s">
        <v>26</v>
      </c>
      <c r="F104" s="608" t="s">
        <v>218</v>
      </c>
      <c r="G104" s="609">
        <v>2.5612785000000002E-2</v>
      </c>
      <c r="H104" s="692">
        <v>1</v>
      </c>
      <c r="I104" s="626"/>
      <c r="J104" s="751"/>
      <c r="K104" s="416"/>
      <c r="L104" s="376" t="s">
        <v>26</v>
      </c>
      <c r="M104" s="376" t="s">
        <v>1201</v>
      </c>
      <c r="N104" s="376" t="s">
        <v>1202</v>
      </c>
      <c r="O104" s="376" t="s">
        <v>1399</v>
      </c>
      <c r="P104" s="376" t="s">
        <v>1389</v>
      </c>
      <c r="Q104" s="376"/>
      <c r="R104" s="376">
        <v>0</v>
      </c>
      <c r="S104" s="416"/>
      <c r="T104" s="751"/>
      <c r="U104" s="416"/>
      <c r="V104" s="609">
        <f t="shared" si="3"/>
        <v>0</v>
      </c>
      <c r="W104" s="692"/>
    </row>
    <row r="105" spans="1:23" outlineLevel="1">
      <c r="A105" s="376"/>
      <c r="B105" s="665" t="s">
        <v>222</v>
      </c>
      <c r="C105" s="665" t="s">
        <v>222</v>
      </c>
      <c r="D105" s="665"/>
      <c r="E105" s="665"/>
      <c r="F105" s="681" t="s">
        <v>262</v>
      </c>
      <c r="G105" s="797">
        <f>SUBTOTAL(9,G106:G112)</f>
        <v>0.34545700083561953</v>
      </c>
      <c r="H105" s="798">
        <f>SUBTOTAL(9,H106:H112)</f>
        <v>6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97">
        <f>SUBTOTAL(9,V106:V112)</f>
        <v>0</v>
      </c>
      <c r="W105" s="798">
        <f>SUBTOTAL(9,W106:W112)</f>
        <v>0</v>
      </c>
    </row>
    <row r="106" spans="1:23" outlineLevel="2">
      <c r="A106" s="376"/>
      <c r="B106" s="684" t="s">
        <v>222</v>
      </c>
      <c r="C106" s="684" t="s">
        <v>222</v>
      </c>
      <c r="D106" s="684" t="s">
        <v>25</v>
      </c>
      <c r="E106" s="684"/>
      <c r="F106" s="685" t="s">
        <v>1413</v>
      </c>
      <c r="G106" s="686">
        <f>SUBTOTAL(9,G107:G112)</f>
        <v>0.34545700083561953</v>
      </c>
      <c r="H106" s="691">
        <f>SUBTOTAL(9,H107:H112)</f>
        <v>6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SUBTOTAL(9,V107:V112)</f>
        <v>0</v>
      </c>
      <c r="W106" s="691">
        <f>SUBTOTAL(9,W107:W112)</f>
        <v>0</v>
      </c>
    </row>
    <row r="107" spans="1:23" outlineLevel="3">
      <c r="A107" s="376"/>
      <c r="B107" s="376" t="s">
        <v>222</v>
      </c>
      <c r="C107" s="376" t="s">
        <v>222</v>
      </c>
      <c r="D107" s="376" t="s">
        <v>25</v>
      </c>
      <c r="E107" s="376" t="s">
        <v>26</v>
      </c>
      <c r="F107" s="608" t="s">
        <v>1414</v>
      </c>
      <c r="G107" s="609">
        <v>0.20115878538561949</v>
      </c>
      <c r="H107" s="692">
        <v>1</v>
      </c>
      <c r="I107" s="626"/>
      <c r="J107" s="751"/>
      <c r="K107" s="416"/>
      <c r="L107" s="376" t="s">
        <v>26</v>
      </c>
      <c r="M107" s="376" t="s">
        <v>1246</v>
      </c>
      <c r="N107" s="376" t="s">
        <v>1415</v>
      </c>
      <c r="O107" s="376" t="s">
        <v>1250</v>
      </c>
      <c r="P107" s="376" t="s">
        <v>1416</v>
      </c>
      <c r="Q107" s="376"/>
      <c r="R107" s="376">
        <v>0</v>
      </c>
      <c r="S107" s="416"/>
      <c r="T107" s="751"/>
      <c r="U107" s="416"/>
      <c r="V107" s="609">
        <f t="shared" ref="V107:V112" si="4">IF(W107=1,G107,0)</f>
        <v>0</v>
      </c>
      <c r="W107" s="692"/>
    </row>
    <row r="108" spans="1:23" outlineLevel="3">
      <c r="A108" s="376"/>
      <c r="B108" s="376" t="s">
        <v>222</v>
      </c>
      <c r="C108" s="376" t="s">
        <v>222</v>
      </c>
      <c r="D108" s="376" t="s">
        <v>25</v>
      </c>
      <c r="E108" s="376" t="s">
        <v>26</v>
      </c>
      <c r="F108" s="608" t="s">
        <v>1408</v>
      </c>
      <c r="G108" s="609">
        <v>5.8456730700000001E-2</v>
      </c>
      <c r="H108" s="692">
        <v>1</v>
      </c>
      <c r="I108" s="626"/>
      <c r="J108" s="751"/>
      <c r="K108" s="416"/>
      <c r="L108" s="376" t="s">
        <v>26</v>
      </c>
      <c r="M108" s="376" t="s">
        <v>1201</v>
      </c>
      <c r="N108" s="376" t="s">
        <v>1417</v>
      </c>
      <c r="O108" s="376"/>
      <c r="P108" s="376" t="s">
        <v>1416</v>
      </c>
      <c r="Q108" s="376"/>
      <c r="R108" s="376">
        <v>0</v>
      </c>
      <c r="S108" s="416"/>
      <c r="T108" s="751"/>
      <c r="U108" s="416"/>
      <c r="V108" s="609">
        <f t="shared" si="4"/>
        <v>0</v>
      </c>
      <c r="W108" s="692"/>
    </row>
    <row r="109" spans="1:23" outlineLevel="3">
      <c r="A109" s="376"/>
      <c r="B109" s="376" t="s">
        <v>222</v>
      </c>
      <c r="C109" s="376" t="s">
        <v>222</v>
      </c>
      <c r="D109" s="376" t="s">
        <v>25</v>
      </c>
      <c r="E109" s="376" t="s">
        <v>26</v>
      </c>
      <c r="F109" s="608" t="s">
        <v>1409</v>
      </c>
      <c r="G109" s="609">
        <v>4.8713942250000003E-2</v>
      </c>
      <c r="H109" s="692">
        <v>1</v>
      </c>
      <c r="I109" s="626"/>
      <c r="J109" s="751"/>
      <c r="K109" s="416"/>
      <c r="L109" s="376" t="s">
        <v>26</v>
      </c>
      <c r="M109" s="376" t="s">
        <v>1201</v>
      </c>
      <c r="N109" s="376" t="s">
        <v>1417</v>
      </c>
      <c r="O109" s="376"/>
      <c r="P109" s="376" t="s">
        <v>1416</v>
      </c>
      <c r="Q109" s="376"/>
      <c r="R109" s="376">
        <v>0</v>
      </c>
      <c r="S109" s="416"/>
      <c r="T109" s="751"/>
      <c r="U109" s="416"/>
      <c r="V109" s="609">
        <f t="shared" si="4"/>
        <v>0</v>
      </c>
      <c r="W109" s="692"/>
    </row>
    <row r="110" spans="1:23" outlineLevel="3">
      <c r="A110" s="376"/>
      <c r="B110" s="376" t="s">
        <v>222</v>
      </c>
      <c r="C110" s="376" t="s">
        <v>222</v>
      </c>
      <c r="D110" s="376" t="s">
        <v>25</v>
      </c>
      <c r="E110" s="376" t="s">
        <v>26</v>
      </c>
      <c r="F110" s="608" t="s">
        <v>1405</v>
      </c>
      <c r="G110" s="609">
        <v>2.5989279749999997E-2</v>
      </c>
      <c r="H110" s="692">
        <v>1</v>
      </c>
      <c r="I110" s="626"/>
      <c r="J110" s="751"/>
      <c r="K110" s="416"/>
      <c r="L110" s="376" t="s">
        <v>26</v>
      </c>
      <c r="M110" s="376" t="s">
        <v>1201</v>
      </c>
      <c r="N110" s="376" t="s">
        <v>1418</v>
      </c>
      <c r="O110" s="376"/>
      <c r="P110" s="376" t="s">
        <v>1326</v>
      </c>
      <c r="Q110" s="376"/>
      <c r="R110" s="376">
        <v>0</v>
      </c>
      <c r="S110" s="416"/>
      <c r="T110" s="751"/>
      <c r="U110" s="416"/>
      <c r="V110" s="609">
        <f t="shared" si="4"/>
        <v>0</v>
      </c>
      <c r="W110" s="692"/>
    </row>
    <row r="111" spans="1:23" outlineLevel="3">
      <c r="A111" s="376"/>
      <c r="B111" s="376" t="s">
        <v>222</v>
      </c>
      <c r="C111" s="376" t="s">
        <v>222</v>
      </c>
      <c r="D111" s="376" t="s">
        <v>25</v>
      </c>
      <c r="E111" s="376" t="s">
        <v>26</v>
      </c>
      <c r="F111" s="608" t="s">
        <v>1407</v>
      </c>
      <c r="G111" s="609">
        <v>3.7127542499999998E-3</v>
      </c>
      <c r="H111" s="692">
        <v>1</v>
      </c>
      <c r="I111" s="626"/>
      <c r="J111" s="751"/>
      <c r="K111" s="416"/>
      <c r="L111" s="376" t="s">
        <v>26</v>
      </c>
      <c r="M111" s="376" t="s">
        <v>1201</v>
      </c>
      <c r="N111" s="376" t="s">
        <v>1325</v>
      </c>
      <c r="O111" s="376"/>
      <c r="P111" s="376" t="s">
        <v>1326</v>
      </c>
      <c r="Q111" s="376"/>
      <c r="R111" s="376">
        <v>0</v>
      </c>
      <c r="S111" s="416"/>
      <c r="T111" s="751"/>
      <c r="U111" s="416"/>
      <c r="V111" s="609">
        <f t="shared" si="4"/>
        <v>0</v>
      </c>
      <c r="W111" s="692"/>
    </row>
    <row r="112" spans="1:23" outlineLevel="3">
      <c r="A112" s="376"/>
      <c r="B112" s="376" t="s">
        <v>222</v>
      </c>
      <c r="C112" s="376" t="s">
        <v>222</v>
      </c>
      <c r="D112" s="376" t="s">
        <v>25</v>
      </c>
      <c r="E112" s="376" t="s">
        <v>26</v>
      </c>
      <c r="F112" s="608" t="s">
        <v>1411</v>
      </c>
      <c r="G112" s="609">
        <v>7.4255085000000005E-3</v>
      </c>
      <c r="H112" s="692">
        <v>1</v>
      </c>
      <c r="I112" s="626"/>
      <c r="J112" s="751"/>
      <c r="K112" s="416"/>
      <c r="L112" s="376" t="s">
        <v>26</v>
      </c>
      <c r="M112" s="376" t="s">
        <v>1201</v>
      </c>
      <c r="N112" s="376" t="s">
        <v>1419</v>
      </c>
      <c r="O112" s="376"/>
      <c r="P112" s="376" t="s">
        <v>1326</v>
      </c>
      <c r="Q112" s="376"/>
      <c r="R112" s="376">
        <v>0</v>
      </c>
      <c r="S112" s="416"/>
      <c r="T112" s="751"/>
      <c r="U112" s="416"/>
      <c r="V112" s="609">
        <f t="shared" si="4"/>
        <v>0</v>
      </c>
      <c r="W112" s="692"/>
    </row>
    <row r="113" spans="1:23" outlineLevel="1">
      <c r="A113" s="376"/>
      <c r="B113" s="665" t="s">
        <v>233</v>
      </c>
      <c r="C113" s="665" t="s">
        <v>233</v>
      </c>
      <c r="D113" s="665"/>
      <c r="E113" s="665"/>
      <c r="F113" s="681" t="s">
        <v>262</v>
      </c>
      <c r="G113" s="797">
        <f>SUBTOTAL(9,G114:G115)</f>
        <v>6.4518858880000002E-2</v>
      </c>
      <c r="H113" s="798">
        <f>SUBTOTAL(9,H114:H115)</f>
        <v>1</v>
      </c>
      <c r="I113" s="626"/>
      <c r="J113" s="751"/>
      <c r="K113" s="416"/>
      <c r="L113" s="665"/>
      <c r="M113" s="665"/>
      <c r="N113" s="665"/>
      <c r="O113" s="665"/>
      <c r="P113" s="665"/>
      <c r="Q113" s="665"/>
      <c r="R113" s="665"/>
      <c r="S113" s="416"/>
      <c r="T113" s="751"/>
      <c r="U113" s="416"/>
      <c r="V113" s="797">
        <f>SUBTOTAL(9,V114:V115)</f>
        <v>0</v>
      </c>
      <c r="W113" s="798">
        <f>SUBTOTAL(9,W114:W115)</f>
        <v>0</v>
      </c>
    </row>
    <row r="114" spans="1:23" outlineLevel="2">
      <c r="A114" s="376"/>
      <c r="B114" s="684" t="s">
        <v>233</v>
      </c>
      <c r="C114" s="684" t="s">
        <v>233</v>
      </c>
      <c r="D114" s="684" t="s">
        <v>25</v>
      </c>
      <c r="E114" s="684"/>
      <c r="F114" s="685" t="s">
        <v>1421</v>
      </c>
      <c r="G114" s="686">
        <f>SUBTOTAL(9,G115)</f>
        <v>6.4518858880000002E-2</v>
      </c>
      <c r="H114" s="691">
        <f>SUBTOTAL(9,H115)</f>
        <v>1</v>
      </c>
      <c r="I114" s="626"/>
      <c r="J114" s="751"/>
      <c r="K114" s="416"/>
      <c r="L114" s="684"/>
      <c r="M114" s="684"/>
      <c r="N114" s="684"/>
      <c r="O114" s="684"/>
      <c r="P114" s="684"/>
      <c r="Q114" s="684"/>
      <c r="R114" s="684"/>
      <c r="S114" s="416"/>
      <c r="T114" s="751"/>
      <c r="U114" s="416"/>
      <c r="V114" s="686">
        <f>SUBTOTAL(9,V115)</f>
        <v>0</v>
      </c>
      <c r="W114" s="691">
        <f>SUBTOTAL(9,W115)</f>
        <v>0</v>
      </c>
    </row>
    <row r="115" spans="1:23" outlineLevel="3">
      <c r="A115" s="376"/>
      <c r="B115" s="376" t="s">
        <v>233</v>
      </c>
      <c r="C115" s="376" t="s">
        <v>233</v>
      </c>
      <c r="D115" s="376" t="s">
        <v>25</v>
      </c>
      <c r="E115" s="376" t="s">
        <v>26</v>
      </c>
      <c r="F115" s="608" t="s">
        <v>236</v>
      </c>
      <c r="G115" s="609">
        <v>6.4518858880000002E-2</v>
      </c>
      <c r="H115" s="692">
        <v>1</v>
      </c>
      <c r="I115" s="626"/>
      <c r="J115" s="751"/>
      <c r="K115" s="416"/>
      <c r="L115" s="376" t="s">
        <v>26</v>
      </c>
      <c r="M115" s="376" t="s">
        <v>1246</v>
      </c>
      <c r="N115" s="376" t="s">
        <v>1423</v>
      </c>
      <c r="O115" s="376" t="s">
        <v>1250</v>
      </c>
      <c r="P115" s="376" t="s">
        <v>1424</v>
      </c>
      <c r="Q115" s="376"/>
      <c r="R115" s="376">
        <v>0</v>
      </c>
      <c r="S115" s="416"/>
      <c r="T115" s="751"/>
      <c r="U115" s="416"/>
      <c r="V115" s="609">
        <f>IF(W115=1,G115,0)</f>
        <v>0</v>
      </c>
      <c r="W115" s="692"/>
    </row>
    <row r="116" spans="1:23" outlineLevel="1">
      <c r="A116" s="376"/>
      <c r="B116" s="665" t="s">
        <v>245</v>
      </c>
      <c r="C116" s="665" t="s">
        <v>246</v>
      </c>
      <c r="D116" s="665"/>
      <c r="E116" s="665"/>
      <c r="F116" s="681" t="s">
        <v>262</v>
      </c>
      <c r="G116" s="797">
        <f>SUBTOTAL(9,G117:G120)</f>
        <v>8.6400000000000005E-2</v>
      </c>
      <c r="H116" s="798">
        <f>SUBTOTAL(9,H117:H120)</f>
        <v>3</v>
      </c>
      <c r="I116" s="626"/>
      <c r="J116" s="751"/>
      <c r="K116" s="416"/>
      <c r="L116" s="665"/>
      <c r="M116" s="665"/>
      <c r="N116" s="665"/>
      <c r="O116" s="665"/>
      <c r="P116" s="665"/>
      <c r="Q116" s="665"/>
      <c r="R116" s="665"/>
      <c r="S116" s="416"/>
      <c r="T116" s="751"/>
      <c r="U116" s="416"/>
      <c r="V116" s="797">
        <f>SUBTOTAL(9,V117:V120)</f>
        <v>0</v>
      </c>
      <c r="W116" s="798">
        <f>SUBTOTAL(9,W117:W120)</f>
        <v>0</v>
      </c>
    </row>
    <row r="117" spans="1:23" outlineLevel="2">
      <c r="A117" s="376"/>
      <c r="B117" s="684" t="s">
        <v>245</v>
      </c>
      <c r="C117" s="684" t="s">
        <v>246</v>
      </c>
      <c r="D117" s="684" t="s">
        <v>25</v>
      </c>
      <c r="E117" s="684"/>
      <c r="F117" s="685" t="s">
        <v>1605</v>
      </c>
      <c r="G117" s="686">
        <f>SUBTOTAL(9,G118:G120)</f>
        <v>8.6400000000000005E-2</v>
      </c>
      <c r="H117" s="691">
        <f>SUBTOTAL(9,H118:H119)</f>
        <v>2</v>
      </c>
      <c r="I117" s="626"/>
      <c r="J117" s="751"/>
      <c r="K117" s="416"/>
      <c r="L117" s="684"/>
      <c r="M117" s="684"/>
      <c r="N117" s="684"/>
      <c r="O117" s="684"/>
      <c r="P117" s="684"/>
      <c r="Q117" s="684"/>
      <c r="R117" s="684"/>
      <c r="S117" s="416"/>
      <c r="T117" s="751"/>
      <c r="U117" s="416"/>
      <c r="V117" s="686">
        <f>SUBTOTAL(9,V118:V119)</f>
        <v>0</v>
      </c>
      <c r="W117" s="691">
        <f>SUBTOTAL(9,W118:W119)</f>
        <v>0</v>
      </c>
    </row>
    <row r="118" spans="1:23" outlineLevel="3">
      <c r="A118" s="376"/>
      <c r="B118" s="376" t="s">
        <v>245</v>
      </c>
      <c r="C118" s="376" t="s">
        <v>246</v>
      </c>
      <c r="D118" s="376" t="s">
        <v>25</v>
      </c>
      <c r="E118" s="376" t="s">
        <v>26</v>
      </c>
      <c r="F118" s="608" t="s">
        <v>236</v>
      </c>
      <c r="G118" s="609">
        <v>1.9200000000000002E-2</v>
      </c>
      <c r="H118" s="692">
        <v>1</v>
      </c>
      <c r="I118" s="626"/>
      <c r="J118" s="751"/>
      <c r="K118" s="416"/>
      <c r="L118" s="376" t="s">
        <v>26</v>
      </c>
      <c r="M118" s="376" t="s">
        <v>1272</v>
      </c>
      <c r="N118" s="376" t="s">
        <v>1273</v>
      </c>
      <c r="O118" s="376" t="s">
        <v>1277</v>
      </c>
      <c r="P118" s="376" t="s">
        <v>1274</v>
      </c>
      <c r="Q118" s="376"/>
      <c r="R118" s="376">
        <v>0</v>
      </c>
      <c r="S118" s="416"/>
      <c r="T118" s="751"/>
      <c r="U118" s="416"/>
      <c r="V118" s="609">
        <f>IF(W118=1,G118,0)</f>
        <v>0</v>
      </c>
      <c r="W118" s="692"/>
    </row>
    <row r="119" spans="1:23" outlineLevel="3">
      <c r="A119" s="376"/>
      <c r="B119" s="376" t="s">
        <v>245</v>
      </c>
      <c r="C119" s="376" t="s">
        <v>246</v>
      </c>
      <c r="D119" s="376" t="s">
        <v>25</v>
      </c>
      <c r="E119" s="376" t="s">
        <v>26</v>
      </c>
      <c r="F119" s="608" t="s">
        <v>237</v>
      </c>
      <c r="G119" s="609">
        <v>1.9199999999999998E-2</v>
      </c>
      <c r="H119" s="692">
        <v>1</v>
      </c>
      <c r="I119" s="626"/>
      <c r="J119" s="751"/>
      <c r="K119" s="416"/>
      <c r="L119" s="376" t="s">
        <v>26</v>
      </c>
      <c r="M119" s="376" t="s">
        <v>1272</v>
      </c>
      <c r="N119" s="376" t="s">
        <v>1273</v>
      </c>
      <c r="O119" s="376" t="s">
        <v>1277</v>
      </c>
      <c r="P119" s="376" t="s">
        <v>1274</v>
      </c>
      <c r="Q119" s="376"/>
      <c r="R119" s="376">
        <v>0</v>
      </c>
      <c r="S119" s="416"/>
      <c r="T119" s="751"/>
      <c r="U119" s="416"/>
      <c r="V119" s="609">
        <f>IF(W119=1,G119,0)</f>
        <v>0</v>
      </c>
      <c r="W119" s="692"/>
    </row>
    <row r="120" spans="1:23" outlineLevel="3">
      <c r="A120" s="376"/>
      <c r="B120" s="376" t="s">
        <v>245</v>
      </c>
      <c r="C120" s="376" t="s">
        <v>246</v>
      </c>
      <c r="D120" s="376" t="s">
        <v>25</v>
      </c>
      <c r="E120" s="376" t="s">
        <v>26</v>
      </c>
      <c r="F120" s="608" t="s">
        <v>238</v>
      </c>
      <c r="G120" s="609">
        <v>4.8000000000000001E-2</v>
      </c>
      <c r="H120" s="692">
        <v>1</v>
      </c>
      <c r="I120" s="626"/>
      <c r="J120" s="751"/>
      <c r="K120" s="416"/>
      <c r="L120" s="376" t="s">
        <v>26</v>
      </c>
      <c r="M120" s="376" t="s">
        <v>1272</v>
      </c>
      <c r="N120" s="376" t="s">
        <v>1273</v>
      </c>
      <c r="O120" s="376" t="s">
        <v>1277</v>
      </c>
      <c r="P120" s="376" t="s">
        <v>1274</v>
      </c>
      <c r="Q120" s="376"/>
      <c r="R120" s="376">
        <v>0</v>
      </c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248</v>
      </c>
      <c r="C121" s="665" t="s">
        <v>249</v>
      </c>
      <c r="D121" s="665"/>
      <c r="E121" s="665"/>
      <c r="F121" s="681" t="s">
        <v>262</v>
      </c>
      <c r="G121" s="797">
        <f>SUBTOTAL(9,G122:G125)</f>
        <v>0.22284000000000001</v>
      </c>
      <c r="H121" s="798">
        <f>SUBTOTAL(9,H122:H125)</f>
        <v>3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97">
        <f>SUBTOTAL(9,V122:V125)</f>
        <v>0</v>
      </c>
      <c r="W121" s="798">
        <f>SUBTOTAL(9,W122:W125)</f>
        <v>0</v>
      </c>
    </row>
    <row r="122" spans="1:23" outlineLevel="2">
      <c r="A122" s="376"/>
      <c r="B122" s="684" t="s">
        <v>248</v>
      </c>
      <c r="C122" s="684" t="s">
        <v>249</v>
      </c>
      <c r="D122" s="684" t="s">
        <v>25</v>
      </c>
      <c r="E122" s="684"/>
      <c r="F122" s="685" t="s">
        <v>77</v>
      </c>
      <c r="G122" s="686">
        <f>SUBTOTAL(9,G123:G125)</f>
        <v>0.22284000000000001</v>
      </c>
      <c r="H122" s="691">
        <f>SUBTOTAL(9,H123:H125)</f>
        <v>3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SUBTOTAL(9,V123:V125)</f>
        <v>0</v>
      </c>
      <c r="W122" s="691">
        <f>SUBTOTAL(9,W123:W125)</f>
        <v>0</v>
      </c>
    </row>
    <row r="123" spans="1:23" outlineLevel="3">
      <c r="A123" s="376"/>
      <c r="B123" s="376" t="s">
        <v>248</v>
      </c>
      <c r="C123" s="376" t="s">
        <v>249</v>
      </c>
      <c r="D123" s="376" t="s">
        <v>25</v>
      </c>
      <c r="E123" s="376" t="s">
        <v>26</v>
      </c>
      <c r="F123" s="608" t="s">
        <v>237</v>
      </c>
      <c r="G123" s="609">
        <v>5.9424000000000005E-2</v>
      </c>
      <c r="H123" s="692">
        <v>1</v>
      </c>
      <c r="I123" s="626"/>
      <c r="J123" s="751"/>
      <c r="K123" s="416"/>
      <c r="L123" s="376" t="s">
        <v>26</v>
      </c>
      <c r="M123" s="376" t="s">
        <v>1272</v>
      </c>
      <c r="N123" s="376" t="s">
        <v>1277</v>
      </c>
      <c r="O123" s="376" t="s">
        <v>1273</v>
      </c>
      <c r="P123" s="376" t="s">
        <v>1274</v>
      </c>
      <c r="Q123" s="376"/>
      <c r="R123" s="376">
        <v>0</v>
      </c>
      <c r="S123" s="416"/>
      <c r="T123" s="751"/>
      <c r="U123" s="416"/>
      <c r="V123" s="609">
        <f>IF(W123=1,G123,0)</f>
        <v>0</v>
      </c>
      <c r="W123" s="692"/>
    </row>
    <row r="124" spans="1:23" outlineLevel="3">
      <c r="A124" s="376"/>
      <c r="B124" s="376" t="s">
        <v>248</v>
      </c>
      <c r="C124" s="376" t="s">
        <v>249</v>
      </c>
      <c r="D124" s="376" t="s">
        <v>25</v>
      </c>
      <c r="E124" s="376" t="s">
        <v>26</v>
      </c>
      <c r="F124" s="608" t="s">
        <v>238</v>
      </c>
      <c r="G124" s="609">
        <v>0.14856</v>
      </c>
      <c r="H124" s="692">
        <v>1</v>
      </c>
      <c r="I124" s="626"/>
      <c r="J124" s="751"/>
      <c r="K124" s="416"/>
      <c r="L124" s="376" t="s">
        <v>26</v>
      </c>
      <c r="M124" s="376" t="s">
        <v>1272</v>
      </c>
      <c r="N124" s="376" t="s">
        <v>1277</v>
      </c>
      <c r="O124" s="376" t="s">
        <v>1273</v>
      </c>
      <c r="P124" s="376" t="s">
        <v>1274</v>
      </c>
      <c r="Q124" s="376"/>
      <c r="R124" s="376">
        <v>0</v>
      </c>
      <c r="S124" s="416"/>
      <c r="T124" s="751"/>
      <c r="U124" s="416"/>
      <c r="V124" s="609">
        <f>IF(W124=1,G124,0)</f>
        <v>0</v>
      </c>
      <c r="W124" s="692"/>
    </row>
    <row r="125" spans="1:23" outlineLevel="3">
      <c r="A125" s="376"/>
      <c r="B125" s="376" t="s">
        <v>248</v>
      </c>
      <c r="C125" s="376" t="s">
        <v>249</v>
      </c>
      <c r="D125" s="376" t="s">
        <v>25</v>
      </c>
      <c r="E125" s="376" t="s">
        <v>26</v>
      </c>
      <c r="F125" s="608" t="s">
        <v>242</v>
      </c>
      <c r="G125" s="609">
        <v>1.4856000000000001E-2</v>
      </c>
      <c r="H125" s="692">
        <v>1</v>
      </c>
      <c r="I125" s="626"/>
      <c r="J125" s="751"/>
      <c r="K125" s="416"/>
      <c r="L125" s="376" t="s">
        <v>26</v>
      </c>
      <c r="M125" s="376" t="s">
        <v>1272</v>
      </c>
      <c r="N125" s="376" t="s">
        <v>1277</v>
      </c>
      <c r="O125" s="376" t="s">
        <v>1273</v>
      </c>
      <c r="P125" s="376" t="s">
        <v>1274</v>
      </c>
      <c r="Q125" s="376"/>
      <c r="R125" s="376">
        <v>0</v>
      </c>
      <c r="S125" s="416"/>
      <c r="T125" s="751"/>
      <c r="U125" s="416"/>
      <c r="V125" s="609">
        <f>IF(W125=1,G125,0)</f>
        <v>0</v>
      </c>
      <c r="W125" s="692"/>
    </row>
    <row r="126" spans="1:23" outlineLevel="1">
      <c r="A126" s="376"/>
      <c r="B126" s="665" t="s">
        <v>251</v>
      </c>
      <c r="C126" s="665" t="s">
        <v>252</v>
      </c>
      <c r="D126" s="665"/>
      <c r="E126" s="665"/>
      <c r="F126" s="681" t="s">
        <v>262</v>
      </c>
      <c r="G126" s="797">
        <f>SUBTOTAL(9,G127:G128)</f>
        <v>8.0000000000000004E-4</v>
      </c>
      <c r="H126" s="798">
        <f>SUBTOTAL(9,H127:H128)</f>
        <v>1</v>
      </c>
      <c r="I126" s="626"/>
      <c r="J126" s="751"/>
      <c r="K126" s="416"/>
      <c r="L126" s="665"/>
      <c r="M126" s="665"/>
      <c r="N126" s="665"/>
      <c r="O126" s="665"/>
      <c r="P126" s="665"/>
      <c r="Q126" s="665"/>
      <c r="R126" s="665"/>
      <c r="S126" s="416"/>
      <c r="T126" s="751"/>
      <c r="U126" s="416"/>
      <c r="V126" s="797">
        <f>SUBTOTAL(9,V127:V128)</f>
        <v>0</v>
      </c>
      <c r="W126" s="798">
        <f>SUBTOTAL(9,W127:W128)</f>
        <v>0</v>
      </c>
    </row>
    <row r="127" spans="1:23" outlineLevel="2">
      <c r="A127" s="376"/>
      <c r="B127" s="684" t="s">
        <v>251</v>
      </c>
      <c r="C127" s="684" t="s">
        <v>252</v>
      </c>
      <c r="D127" s="684" t="s">
        <v>25</v>
      </c>
      <c r="E127" s="684"/>
      <c r="F127" s="685" t="s">
        <v>1434</v>
      </c>
      <c r="G127" s="686">
        <f>SUBTOTAL(9,G128)</f>
        <v>8.0000000000000004E-4</v>
      </c>
      <c r="H127" s="691">
        <f>SUBTOTAL(9,H128)</f>
        <v>1</v>
      </c>
      <c r="I127" s="626"/>
      <c r="J127" s="751"/>
      <c r="K127" s="416"/>
      <c r="L127" s="684"/>
      <c r="M127" s="684"/>
      <c r="N127" s="684"/>
      <c r="O127" s="684"/>
      <c r="P127" s="684"/>
      <c r="Q127" s="684"/>
      <c r="R127" s="684"/>
      <c r="S127" s="416"/>
      <c r="T127" s="751"/>
      <c r="U127" s="416"/>
      <c r="V127" s="686">
        <f>SUBTOTAL(9,V128)</f>
        <v>0</v>
      </c>
      <c r="W127" s="691">
        <f>SUBTOTAL(9,W128)</f>
        <v>0</v>
      </c>
    </row>
    <row r="128" spans="1:23" outlineLevel="3">
      <c r="A128" s="376"/>
      <c r="B128" s="376" t="s">
        <v>251</v>
      </c>
      <c r="C128" s="376" t="s">
        <v>252</v>
      </c>
      <c r="D128" s="376" t="s">
        <v>25</v>
      </c>
      <c r="E128" s="376" t="s">
        <v>26</v>
      </c>
      <c r="F128" s="608" t="s">
        <v>256</v>
      </c>
      <c r="G128" s="609">
        <v>8.0000000000000004E-4</v>
      </c>
      <c r="H128" s="692">
        <v>1</v>
      </c>
      <c r="I128" s="626"/>
      <c r="J128" s="751"/>
      <c r="K128" s="416"/>
      <c r="L128" s="376" t="s">
        <v>26</v>
      </c>
      <c r="M128" s="376" t="s">
        <v>1435</v>
      </c>
      <c r="N128" s="376"/>
      <c r="O128" s="376">
        <v>0</v>
      </c>
      <c r="P128" s="376" t="s">
        <v>1326</v>
      </c>
      <c r="Q128" s="376"/>
      <c r="R128" s="376">
        <v>0</v>
      </c>
      <c r="S128" s="416"/>
      <c r="T128" s="751"/>
      <c r="U128" s="416"/>
      <c r="V128" s="609">
        <f>IF(W128=1,G128,0)</f>
        <v>0</v>
      </c>
      <c r="W128" s="692"/>
    </row>
    <row r="129" spans="1:23" outlineLevel="1">
      <c r="A129" s="376"/>
      <c r="B129" s="665" t="s">
        <v>258</v>
      </c>
      <c r="C129" s="665" t="s">
        <v>259</v>
      </c>
      <c r="D129" s="665"/>
      <c r="E129" s="665"/>
      <c r="F129" s="681" t="s">
        <v>262</v>
      </c>
      <c r="G129" s="797">
        <f>SUBTOTAL(9,G130:G131)</f>
        <v>8.0449832960000009E-2</v>
      </c>
      <c r="H129" s="798">
        <f>SUBTOTAL(9,H130:H131)</f>
        <v>1</v>
      </c>
      <c r="I129" s="626"/>
      <c r="J129" s="751"/>
      <c r="K129" s="416"/>
      <c r="L129" s="665"/>
      <c r="M129" s="665"/>
      <c r="N129" s="665"/>
      <c r="O129" s="665"/>
      <c r="P129" s="665"/>
      <c r="Q129" s="665"/>
      <c r="R129" s="665"/>
      <c r="S129" s="416"/>
      <c r="T129" s="751"/>
      <c r="U129" s="416"/>
      <c r="V129" s="797">
        <f>SUBTOTAL(9,V130:V131)</f>
        <v>0</v>
      </c>
      <c r="W129" s="798">
        <f>SUBTOTAL(9,W130:W131)</f>
        <v>0</v>
      </c>
    </row>
    <row r="130" spans="1:23" outlineLevel="2">
      <c r="A130" s="376"/>
      <c r="B130" s="684" t="s">
        <v>258</v>
      </c>
      <c r="C130" s="684" t="s">
        <v>259</v>
      </c>
      <c r="D130" s="684" t="s">
        <v>25</v>
      </c>
      <c r="E130" s="684"/>
      <c r="F130" s="685" t="s">
        <v>1436</v>
      </c>
      <c r="G130" s="686">
        <f>SUBTOTAL(9,G131)</f>
        <v>8.0449832960000009E-2</v>
      </c>
      <c r="H130" s="691">
        <f>SUBTOTAL(9,H131)</f>
        <v>1</v>
      </c>
      <c r="I130" s="626"/>
      <c r="J130" s="751"/>
      <c r="K130" s="416"/>
      <c r="L130" s="684"/>
      <c r="M130" s="684"/>
      <c r="N130" s="684"/>
      <c r="O130" s="684"/>
      <c r="P130" s="684"/>
      <c r="Q130" s="684"/>
      <c r="R130" s="684"/>
      <c r="S130" s="416"/>
      <c r="T130" s="751"/>
      <c r="U130" s="416"/>
      <c r="V130" s="686">
        <f>SUBTOTAL(9,V131)</f>
        <v>0</v>
      </c>
      <c r="W130" s="691">
        <f>SUBTOTAL(9,W131)</f>
        <v>0</v>
      </c>
    </row>
    <row r="131" spans="1:23" outlineLevel="3">
      <c r="A131" s="376"/>
      <c r="B131" s="376" t="s">
        <v>258</v>
      </c>
      <c r="C131" s="376" t="s">
        <v>259</v>
      </c>
      <c r="D131" s="376" t="s">
        <v>25</v>
      </c>
      <c r="E131" s="376" t="s">
        <v>26</v>
      </c>
      <c r="F131" s="608" t="s">
        <v>236</v>
      </c>
      <c r="G131" s="609">
        <v>8.0449832960000009E-2</v>
      </c>
      <c r="H131" s="692">
        <v>1</v>
      </c>
      <c r="I131" s="626"/>
      <c r="J131" s="751"/>
      <c r="K131" s="416"/>
      <c r="L131" s="376" t="s">
        <v>26</v>
      </c>
      <c r="M131" s="376" t="s">
        <v>1201</v>
      </c>
      <c r="N131" s="376" t="s">
        <v>1380</v>
      </c>
      <c r="O131" s="376"/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1">
      <c r="A132" s="376"/>
      <c r="B132" s="667" t="s">
        <v>274</v>
      </c>
      <c r="C132" s="665" t="s">
        <v>275</v>
      </c>
      <c r="D132" s="665"/>
      <c r="E132" s="665"/>
      <c r="F132" s="681"/>
      <c r="G132" s="708">
        <f>SUBTOTAL(9,G133:G134)</f>
        <v>0.44</v>
      </c>
      <c r="H132" s="709">
        <f>SUBTOTAL(9,H133:H134)</f>
        <v>2</v>
      </c>
      <c r="I132" s="626"/>
      <c r="J132" s="751"/>
      <c r="K132" s="416"/>
      <c r="L132" s="665"/>
      <c r="M132" s="665"/>
      <c r="N132" s="665"/>
      <c r="O132" s="665"/>
      <c r="P132" s="665"/>
      <c r="Q132" s="665"/>
      <c r="R132" s="665"/>
      <c r="S132" s="416"/>
      <c r="T132" s="751"/>
      <c r="U132" s="416"/>
      <c r="V132" s="708">
        <f>SUBTOTAL(9,V133:V134)</f>
        <v>0</v>
      </c>
      <c r="W132" s="709">
        <f>SUBTOTAL(9,W133:W134)</f>
        <v>0</v>
      </c>
    </row>
    <row r="133" spans="1:23" outlineLevel="2">
      <c r="A133" s="376"/>
      <c r="B133" s="376" t="s">
        <v>91</v>
      </c>
      <c r="C133" s="376" t="s">
        <v>92</v>
      </c>
      <c r="D133" s="376" t="s">
        <v>25</v>
      </c>
      <c r="E133" s="376" t="s">
        <v>26</v>
      </c>
      <c r="F133" s="608" t="s">
        <v>1451</v>
      </c>
      <c r="G133" s="609">
        <v>0.4</v>
      </c>
      <c r="H133" s="692">
        <v>1</v>
      </c>
      <c r="I133" s="626"/>
      <c r="J133" s="751"/>
      <c r="K133" s="416"/>
      <c r="L133" s="376" t="s">
        <v>26</v>
      </c>
      <c r="M133" s="376" t="s">
        <v>1272</v>
      </c>
      <c r="N133" s="376" t="s">
        <v>1452</v>
      </c>
      <c r="O133" s="376"/>
      <c r="P133" s="376" t="s">
        <v>1274</v>
      </c>
      <c r="Q133" s="376"/>
      <c r="R133" s="376"/>
      <c r="S133" s="416"/>
      <c r="T133" s="751"/>
      <c r="U133" s="416"/>
      <c r="V133" s="609">
        <f>IF(W133=1,G133,0)</f>
        <v>0</v>
      </c>
      <c r="W133" s="692"/>
    </row>
    <row r="134" spans="1:23" outlineLevel="2">
      <c r="A134" s="732" t="s">
        <v>277</v>
      </c>
      <c r="B134" s="732" t="s">
        <v>278</v>
      </c>
      <c r="C134" s="732" t="s">
        <v>279</v>
      </c>
      <c r="D134" s="732" t="s">
        <v>25</v>
      </c>
      <c r="E134" s="732" t="s">
        <v>26</v>
      </c>
      <c r="F134" s="733" t="s">
        <v>1453</v>
      </c>
      <c r="G134" s="800">
        <v>0.04</v>
      </c>
      <c r="H134" s="745">
        <v>1</v>
      </c>
      <c r="I134" s="736"/>
      <c r="J134" s="756"/>
      <c r="K134" s="737"/>
      <c r="L134" s="732" t="s">
        <v>26</v>
      </c>
      <c r="M134" s="732" t="s">
        <v>1454</v>
      </c>
      <c r="N134" s="732" t="s">
        <v>1351</v>
      </c>
      <c r="O134" s="732"/>
      <c r="P134" s="732" t="s">
        <v>1389</v>
      </c>
      <c r="Q134" s="732"/>
      <c r="R134" s="732"/>
      <c r="S134" s="737"/>
      <c r="T134" s="756"/>
      <c r="U134" s="737"/>
      <c r="V134" s="609">
        <f>IF(W134=1,G134,0)</f>
        <v>0</v>
      </c>
      <c r="W134" s="745"/>
    </row>
    <row r="135" spans="1:23" ht="3" customHeight="1" outlineLevel="1">
      <c r="A135" s="376"/>
      <c r="B135" s="392"/>
      <c r="C135" s="376"/>
      <c r="D135" s="392"/>
      <c r="E135" s="392"/>
      <c r="F135" s="608"/>
      <c r="G135" s="609"/>
      <c r="H135" s="692"/>
      <c r="I135" s="626"/>
      <c r="J135" s="751"/>
      <c r="K135" s="416"/>
      <c r="L135" s="392"/>
      <c r="M135" s="392"/>
      <c r="N135" s="392"/>
      <c r="O135" s="392"/>
      <c r="P135" s="392"/>
      <c r="Q135" s="392"/>
      <c r="R135" s="392"/>
      <c r="S135" s="416"/>
      <c r="T135" s="751"/>
      <c r="U135" s="416"/>
      <c r="V135" s="609"/>
      <c r="W135" s="692"/>
    </row>
    <row r="136" spans="1:23" ht="15">
      <c r="A136" s="376"/>
      <c r="B136" s="430" t="s">
        <v>280</v>
      </c>
      <c r="C136" s="430"/>
      <c r="D136" s="430"/>
      <c r="E136" s="430"/>
      <c r="F136" s="697"/>
      <c r="G136" s="738">
        <f>SUBTOTAL(9,G142:G205)</f>
        <v>20.656866849784699</v>
      </c>
      <c r="H136" s="739">
        <f>SUBTOTAL(9,H142:H205)</f>
        <v>32</v>
      </c>
      <c r="I136" s="626"/>
      <c r="J136" s="751"/>
      <c r="K136" s="416"/>
      <c r="L136" s="430"/>
      <c r="M136" s="430"/>
      <c r="N136" s="430"/>
      <c r="O136" s="430"/>
      <c r="P136" s="430"/>
      <c r="Q136" s="430"/>
      <c r="R136" s="430"/>
      <c r="S136" s="416"/>
      <c r="T136" s="751"/>
      <c r="U136" s="416"/>
      <c r="V136" s="738">
        <f>SUBTOTAL(9,V142:V205)</f>
        <v>0</v>
      </c>
      <c r="W136" s="739">
        <f>SUBTOTAL(9,W142:W205)</f>
        <v>0</v>
      </c>
    </row>
    <row r="137" spans="1:23" ht="3" customHeight="1" outlineLevel="1">
      <c r="A137" s="376"/>
      <c r="B137" s="376"/>
      <c r="C137" s="376"/>
      <c r="D137" s="376"/>
      <c r="E137" s="376"/>
      <c r="F137" s="608"/>
      <c r="G137" s="609"/>
      <c r="H137" s="692"/>
      <c r="I137" s="626"/>
      <c r="J137" s="751"/>
      <c r="K137" s="416"/>
      <c r="L137" s="376"/>
      <c r="M137" s="376"/>
      <c r="N137" s="376"/>
      <c r="O137" s="376"/>
      <c r="P137" s="376"/>
      <c r="Q137" s="376"/>
      <c r="R137" s="376"/>
      <c r="S137" s="416"/>
      <c r="T137" s="751"/>
      <c r="U137" s="416"/>
      <c r="V137" s="609"/>
      <c r="W137" s="692"/>
    </row>
    <row r="138" spans="1:23" outlineLevel="1">
      <c r="A138" s="376"/>
      <c r="B138" s="666" t="s">
        <v>1587</v>
      </c>
      <c r="C138" s="666" t="s">
        <v>1587</v>
      </c>
      <c r="D138" s="667"/>
      <c r="E138" s="665"/>
      <c r="F138" s="681" t="s">
        <v>262</v>
      </c>
      <c r="G138" s="708">
        <f>SUBTOTAL(9,G139:G141)</f>
        <v>0</v>
      </c>
      <c r="H138" s="709">
        <f>SUBTOTAL(9,H139:H141)</f>
        <v>1</v>
      </c>
      <c r="I138" s="626"/>
      <c r="J138" s="751"/>
      <c r="K138" s="416"/>
      <c r="L138" s="665"/>
      <c r="M138" s="665"/>
      <c r="N138" s="665"/>
      <c r="O138" s="665"/>
      <c r="P138" s="665"/>
      <c r="Q138" s="665"/>
      <c r="R138" s="665"/>
      <c r="S138" s="416"/>
      <c r="T138" s="751"/>
      <c r="U138" s="416"/>
      <c r="V138" s="708">
        <f>SUBTOTAL(9,V139:V141)</f>
        <v>0</v>
      </c>
      <c r="W138" s="709">
        <f>SUBTOTAL(9,W139:W141)</f>
        <v>0</v>
      </c>
    </row>
    <row r="139" spans="1:23" outlineLevel="2">
      <c r="A139" s="376"/>
      <c r="B139" s="684" t="s">
        <v>1587</v>
      </c>
      <c r="C139" s="687" t="s">
        <v>1587</v>
      </c>
      <c r="D139" s="684" t="s">
        <v>25</v>
      </c>
      <c r="E139" s="684"/>
      <c r="F139" s="685" t="s">
        <v>236</v>
      </c>
      <c r="G139" s="686">
        <f>SUBTOTAL(9,G140)</f>
        <v>0</v>
      </c>
      <c r="H139" s="691">
        <f>SUBTOTAL(9,H140)</f>
        <v>1</v>
      </c>
      <c r="I139" s="626"/>
      <c r="J139" s="751"/>
      <c r="K139" s="416"/>
      <c r="L139" s="684"/>
      <c r="M139" s="684"/>
      <c r="N139" s="684"/>
      <c r="O139" s="684"/>
      <c r="P139" s="684"/>
      <c r="Q139" s="684"/>
      <c r="R139" s="684"/>
      <c r="S139" s="416"/>
      <c r="T139" s="751"/>
      <c r="U139" s="416"/>
      <c r="V139" s="686">
        <f>SUBTOTAL(9,V140)</f>
        <v>0</v>
      </c>
      <c r="W139" s="691">
        <f>SUBTOTAL(9,W140)</f>
        <v>0</v>
      </c>
    </row>
    <row r="140" spans="1:23" outlineLevel="3">
      <c r="A140" s="376"/>
      <c r="B140" s="376" t="s">
        <v>1587</v>
      </c>
      <c r="C140" s="387" t="s">
        <v>1587</v>
      </c>
      <c r="D140" s="376" t="s">
        <v>25</v>
      </c>
      <c r="E140" s="376" t="s">
        <v>26</v>
      </c>
      <c r="F140" s="608" t="s">
        <v>236</v>
      </c>
      <c r="G140" s="609"/>
      <c r="H140" s="692">
        <v>1</v>
      </c>
      <c r="I140" s="626"/>
      <c r="J140" s="751"/>
      <c r="K140" s="416"/>
      <c r="L140" s="376" t="s">
        <v>26</v>
      </c>
      <c r="M140" s="376" t="s">
        <v>1609</v>
      </c>
      <c r="N140" s="376"/>
      <c r="O140" s="376"/>
      <c r="P140" s="376"/>
      <c r="Q140" s="376"/>
      <c r="R140" s="376">
        <v>0</v>
      </c>
      <c r="S140" s="416"/>
      <c r="T140" s="751"/>
      <c r="U140" s="416"/>
      <c r="V140" s="609">
        <f>IF(W140=1,G140,0)</f>
        <v>0</v>
      </c>
      <c r="W140" s="692"/>
    </row>
    <row r="141" spans="1:23" outlineLevel="3">
      <c r="A141" s="376"/>
      <c r="B141" s="376" t="s">
        <v>1587</v>
      </c>
      <c r="C141" s="387" t="s">
        <v>1587</v>
      </c>
      <c r="D141" s="376" t="s">
        <v>25</v>
      </c>
      <c r="E141" s="376" t="s">
        <v>26</v>
      </c>
      <c r="F141" s="608" t="s">
        <v>1608</v>
      </c>
      <c r="G141" s="609"/>
      <c r="H141" s="692"/>
      <c r="I141" s="626"/>
      <c r="J141" s="751"/>
      <c r="K141" s="416"/>
      <c r="L141" s="376" t="s">
        <v>26</v>
      </c>
      <c r="M141" s="376" t="s">
        <v>1609</v>
      </c>
      <c r="N141" s="376"/>
      <c r="O141" s="376"/>
      <c r="P141" s="376"/>
      <c r="Q141" s="376"/>
      <c r="R141" s="376">
        <v>0</v>
      </c>
      <c r="S141" s="416"/>
      <c r="T141" s="751"/>
      <c r="U141" s="416"/>
      <c r="V141" s="609"/>
      <c r="W141" s="692"/>
    </row>
    <row r="142" spans="1:23" outlineLevel="1">
      <c r="A142" s="376"/>
      <c r="B142" s="665" t="s">
        <v>281</v>
      </c>
      <c r="C142" s="665" t="s">
        <v>70</v>
      </c>
      <c r="D142" s="665"/>
      <c r="E142" s="665"/>
      <c r="F142" s="681" t="s">
        <v>262</v>
      </c>
      <c r="G142" s="708">
        <f>SUBTOTAL(9,G143:G144)</f>
        <v>0.17172000000000001</v>
      </c>
      <c r="H142" s="709">
        <f>SUBTOTAL(9,H143:H144)</f>
        <v>1</v>
      </c>
      <c r="I142" s="626"/>
      <c r="J142" s="751"/>
      <c r="K142" s="416"/>
      <c r="L142" s="665"/>
      <c r="M142" s="665"/>
      <c r="N142" s="665"/>
      <c r="O142" s="665"/>
      <c r="P142" s="665"/>
      <c r="Q142" s="665"/>
      <c r="R142" s="665"/>
      <c r="S142" s="416"/>
      <c r="T142" s="751"/>
      <c r="U142" s="416"/>
      <c r="V142" s="708">
        <f>SUBTOTAL(9,V143:V144)</f>
        <v>0</v>
      </c>
      <c r="W142" s="709">
        <f>SUBTOTAL(9,W143:W144)</f>
        <v>0</v>
      </c>
    </row>
    <row r="143" spans="1:23" outlineLevel="2">
      <c r="A143" s="376"/>
      <c r="B143" s="684" t="s">
        <v>281</v>
      </c>
      <c r="C143" s="684" t="s">
        <v>70</v>
      </c>
      <c r="D143" s="684" t="s">
        <v>25</v>
      </c>
      <c r="E143" s="684"/>
      <c r="F143" s="685" t="s">
        <v>1436</v>
      </c>
      <c r="G143" s="686">
        <f>SUBTOTAL(9,G144)</f>
        <v>0.17172000000000001</v>
      </c>
      <c r="H143" s="691">
        <f>SUBTOTAL(9,H144)</f>
        <v>1</v>
      </c>
      <c r="I143" s="626"/>
      <c r="J143" s="751"/>
      <c r="K143" s="416"/>
      <c r="L143" s="684"/>
      <c r="M143" s="684"/>
      <c r="N143" s="684"/>
      <c r="O143" s="684"/>
      <c r="P143" s="684"/>
      <c r="Q143" s="684"/>
      <c r="R143" s="684"/>
      <c r="S143" s="416"/>
      <c r="T143" s="751"/>
      <c r="U143" s="416"/>
      <c r="V143" s="686">
        <f>SUBTOTAL(9,V144)</f>
        <v>0</v>
      </c>
      <c r="W143" s="691">
        <f>SUBTOTAL(9,W144)</f>
        <v>0</v>
      </c>
    </row>
    <row r="144" spans="1:23" outlineLevel="4">
      <c r="A144" s="376"/>
      <c r="B144" s="376" t="s">
        <v>281</v>
      </c>
      <c r="C144" s="376" t="s">
        <v>70</v>
      </c>
      <c r="D144" s="376" t="s">
        <v>25</v>
      </c>
      <c r="E144" s="376" t="s">
        <v>26</v>
      </c>
      <c r="F144" s="608" t="s">
        <v>236</v>
      </c>
      <c r="G144" s="609">
        <v>0.17172000000000001</v>
      </c>
      <c r="H144" s="692">
        <v>1</v>
      </c>
      <c r="I144" s="626"/>
      <c r="J144" s="751"/>
      <c r="K144" s="416"/>
      <c r="L144" s="376" t="s">
        <v>26</v>
      </c>
      <c r="M144" s="376" t="s">
        <v>1454</v>
      </c>
      <c r="N144" s="376" t="s">
        <v>1456</v>
      </c>
      <c r="O144" s="376"/>
      <c r="P144" s="376" t="s">
        <v>1381</v>
      </c>
      <c r="Q144" s="376"/>
      <c r="R144" s="376">
        <v>0</v>
      </c>
      <c r="S144" s="416"/>
      <c r="T144" s="751"/>
      <c r="U144" s="416"/>
      <c r="V144" s="609">
        <f>IF(W144=1,G144,0)</f>
        <v>0</v>
      </c>
      <c r="W144" s="692"/>
    </row>
    <row r="145" spans="2:23" outlineLevel="1">
      <c r="B145" s="665" t="s">
        <v>289</v>
      </c>
      <c r="C145" s="665" t="s">
        <v>29</v>
      </c>
      <c r="D145" s="665"/>
      <c r="E145" s="665"/>
      <c r="F145" s="681" t="s">
        <v>262</v>
      </c>
      <c r="G145" s="708">
        <f>SUBTOTAL(9,G146:G147)</f>
        <v>7.8635040000000003E-2</v>
      </c>
      <c r="H145" s="709">
        <f>SUBTOTAL(9,H146:H147)</f>
        <v>1</v>
      </c>
      <c r="I145" s="626"/>
      <c r="J145" s="751"/>
      <c r="K145" s="416"/>
      <c r="L145" s="665"/>
      <c r="M145" s="665"/>
      <c r="N145" s="665"/>
      <c r="O145" s="665"/>
      <c r="P145" s="665"/>
      <c r="Q145" s="665"/>
      <c r="R145" s="665"/>
      <c r="S145" s="416"/>
      <c r="T145" s="751"/>
      <c r="U145" s="416"/>
      <c r="V145" s="708">
        <f>SUBTOTAL(9,V146:V147)</f>
        <v>0</v>
      </c>
      <c r="W145" s="709">
        <f>SUBTOTAL(9,W146:W147)</f>
        <v>0</v>
      </c>
    </row>
    <row r="146" spans="2:23" outlineLevel="2">
      <c r="B146" s="684" t="s">
        <v>289</v>
      </c>
      <c r="C146" s="684" t="s">
        <v>29</v>
      </c>
      <c r="D146" s="684" t="s">
        <v>25</v>
      </c>
      <c r="E146" s="684"/>
      <c r="F146" s="685" t="s">
        <v>236</v>
      </c>
      <c r="G146" s="686">
        <f>SUBTOTAL(9,G147)</f>
        <v>7.8635040000000003E-2</v>
      </c>
      <c r="H146" s="691">
        <f>SUBTOTAL(9,H147)</f>
        <v>1</v>
      </c>
      <c r="I146" s="626"/>
      <c r="J146" s="751"/>
      <c r="K146" s="416"/>
      <c r="L146" s="684"/>
      <c r="M146" s="684"/>
      <c r="N146" s="684"/>
      <c r="O146" s="684"/>
      <c r="P146" s="684"/>
      <c r="Q146" s="684"/>
      <c r="R146" s="684"/>
      <c r="S146" s="416"/>
      <c r="T146" s="751"/>
      <c r="U146" s="416"/>
      <c r="V146" s="686">
        <f>SUBTOTAL(9,V147)</f>
        <v>0</v>
      </c>
      <c r="W146" s="691">
        <f>SUBTOTAL(9,W147)</f>
        <v>0</v>
      </c>
    </row>
    <row r="147" spans="2:23" outlineLevel="3">
      <c r="B147" s="376" t="s">
        <v>289</v>
      </c>
      <c r="C147" s="376" t="s">
        <v>29</v>
      </c>
      <c r="D147" s="376" t="s">
        <v>25</v>
      </c>
      <c r="E147" s="376" t="s">
        <v>26</v>
      </c>
      <c r="F147" s="608" t="s">
        <v>236</v>
      </c>
      <c r="G147" s="609">
        <v>7.8635040000000003E-2</v>
      </c>
      <c r="H147" s="692">
        <v>1</v>
      </c>
      <c r="I147" s="626"/>
      <c r="J147" s="751"/>
      <c r="K147" s="416"/>
      <c r="L147" s="376" t="s">
        <v>26</v>
      </c>
      <c r="M147" s="376" t="s">
        <v>1246</v>
      </c>
      <c r="N147" s="376" t="s">
        <v>1461</v>
      </c>
      <c r="O147" s="376" t="s">
        <v>1248</v>
      </c>
      <c r="P147" s="376" t="s">
        <v>1462</v>
      </c>
      <c r="Q147" s="376"/>
      <c r="R147" s="376">
        <v>0</v>
      </c>
      <c r="S147" s="416"/>
      <c r="T147" s="751"/>
      <c r="U147" s="416"/>
      <c r="V147" s="609">
        <f>IF(W147=1,G147,0)</f>
        <v>0</v>
      </c>
      <c r="W147" s="692"/>
    </row>
    <row r="148" spans="2:23" s="793" customFormat="1" outlineLevel="1">
      <c r="B148" s="666" t="s">
        <v>296</v>
      </c>
      <c r="C148" s="666" t="s">
        <v>297</v>
      </c>
      <c r="D148" s="666"/>
      <c r="E148" s="666"/>
      <c r="F148" s="681" t="s">
        <v>262</v>
      </c>
      <c r="G148" s="708">
        <f>SUBTOTAL(9,G149:G151)</f>
        <v>3.257897459827789</v>
      </c>
      <c r="H148" s="709">
        <f>SUBTOTAL(9,H149:H151)</f>
        <v>2</v>
      </c>
      <c r="I148" s="627"/>
      <c r="J148" s="753"/>
      <c r="K148" s="612"/>
      <c r="L148" s="666"/>
      <c r="M148" s="666"/>
      <c r="N148" s="666"/>
      <c r="O148" s="666"/>
      <c r="P148" s="666"/>
      <c r="Q148" s="666"/>
      <c r="R148" s="666"/>
      <c r="S148" s="612"/>
      <c r="T148" s="753"/>
      <c r="U148" s="612"/>
      <c r="V148" s="708">
        <f>SUBTOTAL(9,V149:V151)</f>
        <v>0</v>
      </c>
      <c r="W148" s="709">
        <f>SUBTOTAL(9,W149:W151)</f>
        <v>0</v>
      </c>
    </row>
    <row r="149" spans="2:23" ht="26.4" outlineLevel="2">
      <c r="B149" s="684" t="s">
        <v>296</v>
      </c>
      <c r="C149" s="684" t="s">
        <v>297</v>
      </c>
      <c r="D149" s="684" t="s">
        <v>25</v>
      </c>
      <c r="E149" s="684"/>
      <c r="F149" s="685" t="s">
        <v>1470</v>
      </c>
      <c r="G149" s="686">
        <f>SUBTOTAL(9,G150:G151)</f>
        <v>3.257897459827789</v>
      </c>
      <c r="H149" s="691">
        <f>SUBTOTAL(9,H150:H151)</f>
        <v>2</v>
      </c>
      <c r="I149" s="626"/>
      <c r="J149" s="751"/>
      <c r="K149" s="416"/>
      <c r="L149" s="684"/>
      <c r="M149" s="684"/>
      <c r="N149" s="684"/>
      <c r="O149" s="684"/>
      <c r="P149" s="684"/>
      <c r="Q149" s="684"/>
      <c r="R149" s="684"/>
      <c r="S149" s="416"/>
      <c r="T149" s="751"/>
      <c r="U149" s="416"/>
      <c r="V149" s="686">
        <f>SUBTOTAL(9,V150:V151)</f>
        <v>0</v>
      </c>
      <c r="W149" s="691">
        <f>SUBTOTAL(9,W150:W151)</f>
        <v>0</v>
      </c>
    </row>
    <row r="150" spans="2:23" outlineLevel="3">
      <c r="B150" s="376" t="s">
        <v>296</v>
      </c>
      <c r="C150" s="376" t="s">
        <v>297</v>
      </c>
      <c r="D150" s="376" t="s">
        <v>25</v>
      </c>
      <c r="E150" s="376" t="s">
        <v>26</v>
      </c>
      <c r="F150" s="608" t="s">
        <v>236</v>
      </c>
      <c r="G150" s="609">
        <v>1.3962417684976238</v>
      </c>
      <c r="H150" s="692">
        <v>1</v>
      </c>
      <c r="I150" s="626"/>
      <c r="J150" s="751"/>
      <c r="K150" s="416"/>
      <c r="L150" s="376" t="s">
        <v>26</v>
      </c>
      <c r="M150" s="376" t="s">
        <v>1454</v>
      </c>
      <c r="N150" s="376" t="s">
        <v>1471</v>
      </c>
      <c r="O150" s="376"/>
      <c r="P150" s="376" t="s">
        <v>1326</v>
      </c>
      <c r="Q150" s="376"/>
      <c r="R150" s="376">
        <v>0</v>
      </c>
      <c r="S150" s="416"/>
      <c r="T150" s="751"/>
      <c r="U150" s="416"/>
      <c r="V150" s="609">
        <f>IF(W150=1,G150,0)</f>
        <v>0</v>
      </c>
      <c r="W150" s="692"/>
    </row>
    <row r="151" spans="2:23" outlineLevel="3">
      <c r="B151" s="376" t="s">
        <v>296</v>
      </c>
      <c r="C151" s="376" t="s">
        <v>297</v>
      </c>
      <c r="D151" s="376" t="s">
        <v>25</v>
      </c>
      <c r="E151" s="376" t="s">
        <v>26</v>
      </c>
      <c r="F151" s="608" t="s">
        <v>1212</v>
      </c>
      <c r="G151" s="609">
        <v>1.8616556913301652</v>
      </c>
      <c r="H151" s="692">
        <v>1</v>
      </c>
      <c r="I151" s="626"/>
      <c r="J151" s="751"/>
      <c r="K151" s="416"/>
      <c r="L151" s="376" t="s">
        <v>26</v>
      </c>
      <c r="M151" s="376" t="s">
        <v>1454</v>
      </c>
      <c r="N151" s="376" t="s">
        <v>1471</v>
      </c>
      <c r="O151" s="376"/>
      <c r="P151" s="376" t="s">
        <v>1326</v>
      </c>
      <c r="Q151" s="376"/>
      <c r="R151" s="376">
        <v>0</v>
      </c>
      <c r="S151" s="416"/>
      <c r="T151" s="751"/>
      <c r="U151" s="416"/>
      <c r="V151" s="609">
        <f>IF(W151=1,G151,0)</f>
        <v>0</v>
      </c>
      <c r="W151" s="692"/>
    </row>
    <row r="152" spans="2:23" s="790" customFormat="1" outlineLevel="1">
      <c r="B152" s="666" t="s">
        <v>300</v>
      </c>
      <c r="C152" s="666" t="s">
        <v>301</v>
      </c>
      <c r="D152" s="666"/>
      <c r="E152" s="666"/>
      <c r="F152" s="681" t="s">
        <v>262</v>
      </c>
      <c r="G152" s="708">
        <f>SUBTOTAL(9,G153:G156)</f>
        <v>4.0488608000000008</v>
      </c>
      <c r="H152" s="709">
        <f>SUBTOTAL(9,H153:H156)</f>
        <v>3</v>
      </c>
      <c r="I152" s="740"/>
      <c r="J152" s="757"/>
      <c r="K152" s="748"/>
      <c r="L152" s="666"/>
      <c r="M152" s="666"/>
      <c r="N152" s="666"/>
      <c r="O152" s="666"/>
      <c r="P152" s="666"/>
      <c r="Q152" s="666"/>
      <c r="R152" s="666"/>
      <c r="S152" s="748"/>
      <c r="T152" s="757"/>
      <c r="U152" s="748"/>
      <c r="V152" s="708">
        <f>SUBTOTAL(9,V153:V156)</f>
        <v>0</v>
      </c>
      <c r="W152" s="709">
        <f>SUBTOTAL(9,W153:W156)</f>
        <v>0</v>
      </c>
    </row>
    <row r="153" spans="2:23" s="790" customFormat="1" outlineLevel="2">
      <c r="B153" s="687" t="s">
        <v>301</v>
      </c>
      <c r="C153" s="687" t="s">
        <v>301</v>
      </c>
      <c r="D153" s="687" t="s">
        <v>25</v>
      </c>
      <c r="E153" s="687"/>
      <c r="F153" s="717" t="s">
        <v>1615</v>
      </c>
      <c r="G153" s="742">
        <f>SUBTOTAL(9,G154:G156)</f>
        <v>4.0488608000000008</v>
      </c>
      <c r="H153" s="743">
        <f>SUBTOTAL(9,H154:H156)</f>
        <v>3</v>
      </c>
      <c r="I153" s="740"/>
      <c r="J153" s="757"/>
      <c r="K153" s="748"/>
      <c r="L153" s="687"/>
      <c r="M153" s="687"/>
      <c r="N153" s="687"/>
      <c r="O153" s="687"/>
      <c r="P153" s="687"/>
      <c r="Q153" s="687"/>
      <c r="R153" s="687"/>
      <c r="S153" s="748"/>
      <c r="T153" s="757"/>
      <c r="U153" s="748"/>
      <c r="V153" s="742">
        <f>SUBTOTAL(9,V154:V155)</f>
        <v>0</v>
      </c>
      <c r="W153" s="743">
        <f>SUBTOTAL(9,W154:W155)</f>
        <v>0</v>
      </c>
    </row>
    <row r="154" spans="2:23" s="790" customFormat="1" outlineLevel="3">
      <c r="B154" s="387" t="s">
        <v>301</v>
      </c>
      <c r="C154" s="387" t="s">
        <v>301</v>
      </c>
      <c r="D154" s="387" t="s">
        <v>25</v>
      </c>
      <c r="E154" s="387" t="s">
        <v>26</v>
      </c>
      <c r="F154" s="705" t="s">
        <v>236</v>
      </c>
      <c r="G154" s="706">
        <v>1.5183228000000002</v>
      </c>
      <c r="H154" s="707">
        <v>1</v>
      </c>
      <c r="I154" s="740"/>
      <c r="J154" s="757"/>
      <c r="K154" s="748"/>
      <c r="L154" s="387" t="s">
        <v>26</v>
      </c>
      <c r="M154" s="387" t="s">
        <v>1272</v>
      </c>
      <c r="N154" s="387" t="s">
        <v>1307</v>
      </c>
      <c r="O154" s="387" t="s">
        <v>1452</v>
      </c>
      <c r="P154" s="387" t="s">
        <v>1274</v>
      </c>
      <c r="Q154" s="387"/>
      <c r="R154" s="387">
        <v>0</v>
      </c>
      <c r="S154" s="748"/>
      <c r="T154" s="757"/>
      <c r="U154" s="748"/>
      <c r="V154" s="609">
        <f>IF(W154=1,G154,0)</f>
        <v>0</v>
      </c>
      <c r="W154" s="707"/>
    </row>
    <row r="155" spans="2:23" s="790" customFormat="1" outlineLevel="3">
      <c r="B155" s="387" t="s">
        <v>301</v>
      </c>
      <c r="C155" s="387" t="s">
        <v>301</v>
      </c>
      <c r="D155" s="387" t="s">
        <v>25</v>
      </c>
      <c r="E155" s="387" t="s">
        <v>26</v>
      </c>
      <c r="F155" s="705" t="s">
        <v>1468</v>
      </c>
      <c r="G155" s="706">
        <v>0.5061076000000001</v>
      </c>
      <c r="H155" s="707">
        <v>1</v>
      </c>
      <c r="I155" s="740"/>
      <c r="J155" s="757"/>
      <c r="K155" s="748"/>
      <c r="L155" s="387" t="s">
        <v>26</v>
      </c>
      <c r="M155" s="387" t="s">
        <v>1272</v>
      </c>
      <c r="N155" s="387" t="s">
        <v>1307</v>
      </c>
      <c r="O155" s="387" t="s">
        <v>1452</v>
      </c>
      <c r="P155" s="387" t="s">
        <v>1274</v>
      </c>
      <c r="Q155" s="387"/>
      <c r="R155" s="387">
        <v>0</v>
      </c>
      <c r="S155" s="748"/>
      <c r="T155" s="757"/>
      <c r="U155" s="748"/>
      <c r="V155" s="609">
        <f>IF(W155=1,G155,0)</f>
        <v>0</v>
      </c>
      <c r="W155" s="707"/>
    </row>
    <row r="156" spans="2:23" s="790" customFormat="1" outlineLevel="3">
      <c r="B156" s="387" t="s">
        <v>301</v>
      </c>
      <c r="C156" s="387" t="s">
        <v>301</v>
      </c>
      <c r="D156" s="387" t="s">
        <v>25</v>
      </c>
      <c r="E156" s="387" t="s">
        <v>26</v>
      </c>
      <c r="F156" s="705" t="s">
        <v>1613</v>
      </c>
      <c r="G156" s="706">
        <v>2.0244304000000004</v>
      </c>
      <c r="H156" s="707">
        <v>1</v>
      </c>
      <c r="I156" s="740"/>
      <c r="J156" s="757"/>
      <c r="K156" s="748"/>
      <c r="L156" s="387" t="s">
        <v>26</v>
      </c>
      <c r="M156" s="387" t="s">
        <v>1272</v>
      </c>
      <c r="N156" s="387" t="s">
        <v>1307</v>
      </c>
      <c r="O156" s="387" t="s">
        <v>1452</v>
      </c>
      <c r="P156" s="387" t="s">
        <v>1274</v>
      </c>
      <c r="Q156" s="387"/>
      <c r="R156" s="387">
        <v>0</v>
      </c>
      <c r="S156" s="748"/>
      <c r="T156" s="757"/>
      <c r="U156" s="748"/>
      <c r="V156" s="609">
        <f>IF(W156=1,G156,0)</f>
        <v>0</v>
      </c>
      <c r="W156" s="707"/>
    </row>
    <row r="157" spans="2:23" s="790" customFormat="1" outlineLevel="1">
      <c r="B157" s="666" t="s">
        <v>307</v>
      </c>
      <c r="C157" s="666" t="s">
        <v>308</v>
      </c>
      <c r="D157" s="666"/>
      <c r="E157" s="666"/>
      <c r="F157" s="681" t="s">
        <v>262</v>
      </c>
      <c r="G157" s="708">
        <f>SUBTOTAL(9,G158:G160)</f>
        <v>3.1243512720000002</v>
      </c>
      <c r="H157" s="709">
        <f>SUBTOTAL(9,H158:H160)</f>
        <v>2</v>
      </c>
      <c r="I157" s="740"/>
      <c r="J157" s="757"/>
      <c r="K157" s="748"/>
      <c r="L157" s="666"/>
      <c r="M157" s="666"/>
      <c r="N157" s="666"/>
      <c r="O157" s="666"/>
      <c r="P157" s="666"/>
      <c r="Q157" s="666"/>
      <c r="R157" s="666"/>
      <c r="S157" s="748"/>
      <c r="T157" s="757"/>
      <c r="U157" s="748"/>
      <c r="V157" s="708">
        <f>SUBTOTAL(9,V158:V160)</f>
        <v>0</v>
      </c>
      <c r="W157" s="709">
        <f>SUBTOTAL(9,W158:W160)</f>
        <v>0</v>
      </c>
    </row>
    <row r="158" spans="2:23" s="790" customFormat="1" outlineLevel="2">
      <c r="B158" s="687" t="s">
        <v>308</v>
      </c>
      <c r="C158" s="687" t="s">
        <v>308</v>
      </c>
      <c r="D158" s="687" t="s">
        <v>25</v>
      </c>
      <c r="E158" s="687"/>
      <c r="F158" s="717" t="s">
        <v>1617</v>
      </c>
      <c r="G158" s="742">
        <f>SUBTOTAL(9,G159:G160)</f>
        <v>3.1243512720000002</v>
      </c>
      <c r="H158" s="743">
        <f>SUBTOTAL(9,H159:H160)</f>
        <v>2</v>
      </c>
      <c r="I158" s="740"/>
      <c r="J158" s="757"/>
      <c r="K158" s="748"/>
      <c r="L158" s="687"/>
      <c r="M158" s="687"/>
      <c r="N158" s="687"/>
      <c r="O158" s="687"/>
      <c r="P158" s="687"/>
      <c r="Q158" s="687"/>
      <c r="R158" s="687"/>
      <c r="S158" s="748"/>
      <c r="T158" s="757"/>
      <c r="U158" s="748"/>
      <c r="V158" s="742">
        <f>SUBTOTAL(9,V160)</f>
        <v>0</v>
      </c>
      <c r="W158" s="743">
        <f>SUBTOTAL(9,W160)</f>
        <v>0</v>
      </c>
    </row>
    <row r="159" spans="2:23" s="790" customFormat="1" outlineLevel="3">
      <c r="B159" s="387" t="s">
        <v>308</v>
      </c>
      <c r="C159" s="387" t="s">
        <v>308</v>
      </c>
      <c r="D159" s="387" t="s">
        <v>25</v>
      </c>
      <c r="E159" s="387" t="s">
        <v>26</v>
      </c>
      <c r="F159" s="705" t="s">
        <v>236</v>
      </c>
      <c r="G159" s="706">
        <v>1.5621756360000001</v>
      </c>
      <c r="H159" s="707">
        <v>1</v>
      </c>
      <c r="I159" s="740"/>
      <c r="J159" s="757"/>
      <c r="K159" s="748"/>
      <c r="L159" s="387" t="s">
        <v>26</v>
      </c>
      <c r="M159" s="387" t="s">
        <v>1272</v>
      </c>
      <c r="N159" s="387" t="s">
        <v>72</v>
      </c>
      <c r="O159" s="387" t="s">
        <v>72</v>
      </c>
      <c r="P159" s="387" t="s">
        <v>1274</v>
      </c>
      <c r="Q159" s="387"/>
      <c r="R159" s="387">
        <v>0</v>
      </c>
      <c r="S159" s="748"/>
      <c r="T159" s="757"/>
      <c r="U159" s="748"/>
      <c r="V159" s="609">
        <f>IF(W159=1,G159,0)</f>
        <v>0</v>
      </c>
      <c r="W159" s="707"/>
    </row>
    <row r="160" spans="2:23" s="790" customFormat="1" outlineLevel="3">
      <c r="B160" s="387" t="s">
        <v>308</v>
      </c>
      <c r="C160" s="387" t="s">
        <v>308</v>
      </c>
      <c r="D160" s="387" t="s">
        <v>25</v>
      </c>
      <c r="E160" s="387" t="s">
        <v>26</v>
      </c>
      <c r="F160" s="705" t="s">
        <v>1613</v>
      </c>
      <c r="G160" s="706">
        <v>1.5621756360000001</v>
      </c>
      <c r="H160" s="707">
        <v>1</v>
      </c>
      <c r="I160" s="740"/>
      <c r="J160" s="757"/>
      <c r="K160" s="748"/>
      <c r="L160" s="387" t="s">
        <v>26</v>
      </c>
      <c r="M160" s="387" t="s">
        <v>1272</v>
      </c>
      <c r="N160" s="387" t="s">
        <v>72</v>
      </c>
      <c r="O160" s="387" t="s">
        <v>72</v>
      </c>
      <c r="P160" s="387" t="s">
        <v>1274</v>
      </c>
      <c r="Q160" s="387"/>
      <c r="R160" s="387">
        <v>0</v>
      </c>
      <c r="S160" s="748"/>
      <c r="T160" s="757"/>
      <c r="U160" s="748"/>
      <c r="V160" s="609">
        <f>IF(W160=1,G160,0)</f>
        <v>0</v>
      </c>
      <c r="W160" s="707"/>
    </row>
    <row r="161" spans="2:23" s="790" customFormat="1" outlineLevel="1">
      <c r="B161" s="666" t="s">
        <v>311</v>
      </c>
      <c r="C161" s="666" t="s">
        <v>312</v>
      </c>
      <c r="D161" s="666"/>
      <c r="E161" s="666"/>
      <c r="F161" s="681" t="s">
        <v>262</v>
      </c>
      <c r="G161" s="708">
        <f>SUBTOTAL(9,G162:G164)</f>
        <v>1.041450424</v>
      </c>
      <c r="H161" s="709">
        <f>SUBTOTAL(9,H162:H164)</f>
        <v>2</v>
      </c>
      <c r="I161" s="740"/>
      <c r="J161" s="757"/>
      <c r="K161" s="748"/>
      <c r="L161" s="666"/>
      <c r="M161" s="666"/>
      <c r="N161" s="666"/>
      <c r="O161" s="666"/>
      <c r="P161" s="666"/>
      <c r="Q161" s="666"/>
      <c r="R161" s="666"/>
      <c r="S161" s="748"/>
      <c r="T161" s="757"/>
      <c r="U161" s="748"/>
      <c r="V161" s="708">
        <f>SUBTOTAL(9,V162:V164)</f>
        <v>0</v>
      </c>
      <c r="W161" s="709">
        <f>SUBTOTAL(9,W162:W164)</f>
        <v>0</v>
      </c>
    </row>
    <row r="162" spans="2:23" outlineLevel="2">
      <c r="B162" s="687" t="s">
        <v>312</v>
      </c>
      <c r="C162" s="687" t="s">
        <v>312</v>
      </c>
      <c r="D162" s="684" t="s">
        <v>25</v>
      </c>
      <c r="E162" s="684"/>
      <c r="F162" s="717" t="s">
        <v>1617</v>
      </c>
      <c r="G162" s="742">
        <f>SUBTOTAL(9,G163:G164)</f>
        <v>1.041450424</v>
      </c>
      <c r="H162" s="743">
        <f>SUBTOTAL(9,H163:H164)</f>
        <v>2</v>
      </c>
      <c r="I162" s="626"/>
      <c r="J162" s="751"/>
      <c r="K162" s="416"/>
      <c r="L162" s="684"/>
      <c r="M162" s="684"/>
      <c r="N162" s="684"/>
      <c r="O162" s="684"/>
      <c r="P162" s="684"/>
      <c r="Q162" s="684"/>
      <c r="R162" s="684"/>
      <c r="S162" s="416"/>
      <c r="T162" s="751"/>
      <c r="U162" s="416"/>
      <c r="V162" s="742">
        <f>SUBTOTAL(9,V164)</f>
        <v>0</v>
      </c>
      <c r="W162" s="743">
        <f>SUBTOTAL(9,W164)</f>
        <v>0</v>
      </c>
    </row>
    <row r="163" spans="2:23" outlineLevel="3">
      <c r="B163" s="387" t="s">
        <v>312</v>
      </c>
      <c r="C163" s="387" t="s">
        <v>312</v>
      </c>
      <c r="D163" s="376" t="s">
        <v>25</v>
      </c>
      <c r="E163" s="376" t="s">
        <v>26</v>
      </c>
      <c r="F163" s="705" t="s">
        <v>236</v>
      </c>
      <c r="G163" s="706">
        <v>0.52072521199999999</v>
      </c>
      <c r="H163" s="707">
        <v>1</v>
      </c>
      <c r="I163" s="626"/>
      <c r="J163" s="751"/>
      <c r="K163" s="416"/>
      <c r="L163" s="376" t="s">
        <v>26</v>
      </c>
      <c r="M163" s="376" t="s">
        <v>1272</v>
      </c>
      <c r="N163" s="376" t="s">
        <v>1492</v>
      </c>
      <c r="O163" s="376" t="s">
        <v>72</v>
      </c>
      <c r="P163" s="376" t="s">
        <v>1274</v>
      </c>
      <c r="Q163" s="376"/>
      <c r="R163" s="376">
        <v>0</v>
      </c>
      <c r="S163" s="416"/>
      <c r="T163" s="751"/>
      <c r="U163" s="416"/>
      <c r="V163" s="609">
        <f>IF(W163=1,G163,0)</f>
        <v>0</v>
      </c>
      <c r="W163" s="707"/>
    </row>
    <row r="164" spans="2:23" outlineLevel="3">
      <c r="B164" s="387" t="s">
        <v>312</v>
      </c>
      <c r="C164" s="387" t="s">
        <v>312</v>
      </c>
      <c r="D164" s="376" t="s">
        <v>25</v>
      </c>
      <c r="E164" s="376" t="s">
        <v>26</v>
      </c>
      <c r="F164" s="705" t="s">
        <v>1613</v>
      </c>
      <c r="G164" s="706">
        <v>0.52072521199999999</v>
      </c>
      <c r="H164" s="707">
        <v>1</v>
      </c>
      <c r="I164" s="626"/>
      <c r="J164" s="751"/>
      <c r="K164" s="416"/>
      <c r="L164" s="376" t="s">
        <v>26</v>
      </c>
      <c r="M164" s="376" t="s">
        <v>1272</v>
      </c>
      <c r="N164" s="376" t="s">
        <v>1492</v>
      </c>
      <c r="O164" s="376" t="s">
        <v>72</v>
      </c>
      <c r="P164" s="376" t="s">
        <v>1274</v>
      </c>
      <c r="Q164" s="376"/>
      <c r="R164" s="376">
        <v>0</v>
      </c>
      <c r="S164" s="416"/>
      <c r="T164" s="751"/>
      <c r="U164" s="416"/>
      <c r="V164" s="609">
        <f>IF(W164=1,G164,0)</f>
        <v>0</v>
      </c>
      <c r="W164" s="707"/>
    </row>
    <row r="165" spans="2:23" outlineLevel="1">
      <c r="B165" s="665" t="s">
        <v>271</v>
      </c>
      <c r="C165" s="665" t="s">
        <v>271</v>
      </c>
      <c r="D165" s="665"/>
      <c r="E165" s="665"/>
      <c r="F165" s="681" t="s">
        <v>262</v>
      </c>
      <c r="G165" s="708">
        <f>SUBTOTAL(9,G166:G170)</f>
        <v>0.63240000000000007</v>
      </c>
      <c r="H165" s="709">
        <f>SUBTOTAL(9,H166:H170)</f>
        <v>4</v>
      </c>
      <c r="I165" s="626"/>
      <c r="J165" s="751"/>
      <c r="K165" s="416"/>
      <c r="L165" s="665"/>
      <c r="M165" s="665"/>
      <c r="N165" s="665"/>
      <c r="O165" s="665"/>
      <c r="P165" s="665"/>
      <c r="Q165" s="665"/>
      <c r="R165" s="665"/>
      <c r="S165" s="416"/>
      <c r="T165" s="751"/>
      <c r="U165" s="416"/>
      <c r="V165" s="708">
        <f>SUBTOTAL(9,V166:V170)</f>
        <v>0</v>
      </c>
      <c r="W165" s="709">
        <f>SUBTOTAL(9,W166:W170)</f>
        <v>0</v>
      </c>
    </row>
    <row r="166" spans="2:23" outlineLevel="2">
      <c r="B166" s="684" t="s">
        <v>271</v>
      </c>
      <c r="C166" s="684" t="s">
        <v>271</v>
      </c>
      <c r="D166" s="684" t="s">
        <v>25</v>
      </c>
      <c r="E166" s="684"/>
      <c r="F166" s="685" t="s">
        <v>1620</v>
      </c>
      <c r="G166" s="686">
        <f>SUBTOTAL(9,G167:G169)</f>
        <v>0.57240000000000002</v>
      </c>
      <c r="H166" s="691">
        <f>SUBTOTAL(9,H167:H169)</f>
        <v>3</v>
      </c>
      <c r="I166" s="626"/>
      <c r="J166" s="751"/>
      <c r="K166" s="416"/>
      <c r="L166" s="684"/>
      <c r="M166" s="684"/>
      <c r="N166" s="684"/>
      <c r="O166" s="684"/>
      <c r="P166" s="684"/>
      <c r="Q166" s="684"/>
      <c r="R166" s="684"/>
      <c r="S166" s="416"/>
      <c r="T166" s="751"/>
      <c r="U166" s="416"/>
      <c r="V166" s="686">
        <f>SUBTOTAL(9,V167:V169)</f>
        <v>0</v>
      </c>
      <c r="W166" s="691">
        <f>SUBTOTAL(9,W167:W169)</f>
        <v>0</v>
      </c>
    </row>
    <row r="167" spans="2:23" outlineLevel="3">
      <c r="B167" s="376" t="s">
        <v>271</v>
      </c>
      <c r="C167" s="376" t="s">
        <v>271</v>
      </c>
      <c r="D167" s="376" t="s">
        <v>25</v>
      </c>
      <c r="E167" s="376" t="s">
        <v>26</v>
      </c>
      <c r="F167" s="608" t="s">
        <v>236</v>
      </c>
      <c r="G167" s="609">
        <v>0.1431</v>
      </c>
      <c r="H167" s="692">
        <v>1</v>
      </c>
      <c r="I167" s="626"/>
      <c r="J167" s="751"/>
      <c r="K167" s="416"/>
      <c r="L167" s="376" t="s">
        <v>26</v>
      </c>
      <c r="M167" s="376" t="s">
        <v>1454</v>
      </c>
      <c r="N167" s="376" t="s">
        <v>1202</v>
      </c>
      <c r="O167" s="376" t="s">
        <v>1500</v>
      </c>
      <c r="P167" s="376" t="s">
        <v>1274</v>
      </c>
      <c r="Q167" s="376"/>
      <c r="R167" s="376">
        <v>0</v>
      </c>
      <c r="S167" s="416"/>
      <c r="T167" s="751"/>
      <c r="U167" s="416"/>
      <c r="V167" s="609">
        <f>IF(W167=1,G167,0)</f>
        <v>0</v>
      </c>
      <c r="W167" s="692"/>
    </row>
    <row r="168" spans="2:23" outlineLevel="3">
      <c r="B168" s="376" t="s">
        <v>271</v>
      </c>
      <c r="C168" s="376" t="s">
        <v>271</v>
      </c>
      <c r="D168" s="376" t="s">
        <v>25</v>
      </c>
      <c r="E168" s="376" t="s">
        <v>26</v>
      </c>
      <c r="F168" s="608" t="s">
        <v>1212</v>
      </c>
      <c r="G168" s="609">
        <v>0.28620000000000001</v>
      </c>
      <c r="H168" s="692">
        <v>1</v>
      </c>
      <c r="I168" s="626"/>
      <c r="J168" s="751"/>
      <c r="K168" s="416"/>
      <c r="L168" s="376" t="s">
        <v>26</v>
      </c>
      <c r="M168" s="376" t="s">
        <v>1454</v>
      </c>
      <c r="N168" s="376" t="s">
        <v>1202</v>
      </c>
      <c r="O168" s="376" t="s">
        <v>1500</v>
      </c>
      <c r="P168" s="376" t="s">
        <v>1274</v>
      </c>
      <c r="Q168" s="376"/>
      <c r="R168" s="376">
        <v>0</v>
      </c>
      <c r="S168" s="416"/>
      <c r="T168" s="751"/>
      <c r="U168" s="416"/>
      <c r="V168" s="609">
        <f>IF(W168=1,G168,0)</f>
        <v>0</v>
      </c>
      <c r="W168" s="692"/>
    </row>
    <row r="169" spans="2:23" outlineLevel="3">
      <c r="B169" s="376" t="s">
        <v>271</v>
      </c>
      <c r="C169" s="376" t="s">
        <v>271</v>
      </c>
      <c r="D169" s="376" t="s">
        <v>25</v>
      </c>
      <c r="E169" s="376" t="s">
        <v>26</v>
      </c>
      <c r="F169" s="608" t="s">
        <v>1499</v>
      </c>
      <c r="G169" s="609">
        <v>0.1431</v>
      </c>
      <c r="H169" s="692">
        <v>1</v>
      </c>
      <c r="I169" s="626"/>
      <c r="J169" s="751"/>
      <c r="K169" s="416"/>
      <c r="L169" s="376" t="s">
        <v>26</v>
      </c>
      <c r="M169" s="376" t="s">
        <v>1454</v>
      </c>
      <c r="N169" s="376" t="s">
        <v>1202</v>
      </c>
      <c r="O169" s="376" t="s">
        <v>1500</v>
      </c>
      <c r="P169" s="376" t="s">
        <v>1274</v>
      </c>
      <c r="Q169" s="376"/>
      <c r="R169" s="376">
        <v>0</v>
      </c>
      <c r="S169" s="416"/>
      <c r="T169" s="751"/>
      <c r="U169" s="416"/>
      <c r="V169" s="609">
        <f>IF(W169=1,G169,0)</f>
        <v>0</v>
      </c>
      <c r="W169" s="692"/>
    </row>
    <row r="170" spans="2:23" outlineLevel="3">
      <c r="B170" s="376" t="s">
        <v>271</v>
      </c>
      <c r="C170" s="376" t="s">
        <v>271</v>
      </c>
      <c r="D170" s="376" t="s">
        <v>25</v>
      </c>
      <c r="E170" s="376" t="s">
        <v>26</v>
      </c>
      <c r="F170" s="608" t="s">
        <v>1520</v>
      </c>
      <c r="G170" s="609">
        <v>0.06</v>
      </c>
      <c r="H170" s="692">
        <v>1</v>
      </c>
      <c r="I170" s="626"/>
      <c r="J170" s="751"/>
      <c r="K170" s="416"/>
      <c r="L170" s="376" t="s">
        <v>26</v>
      </c>
      <c r="M170" s="376" t="s">
        <v>1454</v>
      </c>
      <c r="N170" s="376" t="s">
        <v>1202</v>
      </c>
      <c r="O170" s="376" t="s">
        <v>1500</v>
      </c>
      <c r="P170" s="376" t="s">
        <v>1274</v>
      </c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2:23" outlineLevel="1">
      <c r="B171" s="665" t="s">
        <v>328</v>
      </c>
      <c r="C171" s="665" t="s">
        <v>265</v>
      </c>
      <c r="D171" s="665"/>
      <c r="E171" s="665"/>
      <c r="F171" s="681" t="s">
        <v>262</v>
      </c>
      <c r="G171" s="708">
        <f>SUBTOTAL(9,G172:G173)</f>
        <v>0.36252000000000001</v>
      </c>
      <c r="H171" s="709">
        <f>SUBTOTAL(9,H172:H173)</f>
        <v>1</v>
      </c>
      <c r="I171" s="626"/>
      <c r="J171" s="751"/>
      <c r="K171" s="416"/>
      <c r="L171" s="665"/>
      <c r="M171" s="665"/>
      <c r="N171" s="665"/>
      <c r="O171" s="665"/>
      <c r="P171" s="665"/>
      <c r="Q171" s="665"/>
      <c r="R171" s="665"/>
      <c r="S171" s="416"/>
      <c r="T171" s="751"/>
      <c r="U171" s="416"/>
      <c r="V171" s="708">
        <f>SUBTOTAL(9,V172:V173)</f>
        <v>0</v>
      </c>
      <c r="W171" s="709">
        <f>SUBTOTAL(9,W172:W173)</f>
        <v>0</v>
      </c>
    </row>
    <row r="172" spans="2:23" outlineLevel="2">
      <c r="B172" s="684" t="s">
        <v>328</v>
      </c>
      <c r="C172" s="684" t="s">
        <v>121</v>
      </c>
      <c r="D172" s="684" t="s">
        <v>25</v>
      </c>
      <c r="E172" s="684"/>
      <c r="F172" s="685" t="s">
        <v>1507</v>
      </c>
      <c r="G172" s="686">
        <f>SUBTOTAL(9,G173:G173)</f>
        <v>0.36252000000000001</v>
      </c>
      <c r="H172" s="691">
        <f>SUBTOTAL(9,H173:H173)</f>
        <v>1</v>
      </c>
      <c r="I172" s="626"/>
      <c r="J172" s="751"/>
      <c r="K172" s="416"/>
      <c r="L172" s="684"/>
      <c r="M172" s="684"/>
      <c r="N172" s="684"/>
      <c r="O172" s="684"/>
      <c r="P172" s="684"/>
      <c r="Q172" s="684"/>
      <c r="R172" s="684"/>
      <c r="S172" s="416"/>
      <c r="T172" s="751"/>
      <c r="U172" s="416"/>
      <c r="V172" s="686">
        <f>SUBTOTAL(9,V173:V173)</f>
        <v>0</v>
      </c>
      <c r="W172" s="691">
        <f>SUBTOTAL(9,W173:W173)</f>
        <v>0</v>
      </c>
    </row>
    <row r="173" spans="2:23" outlineLevel="3">
      <c r="B173" s="376" t="s">
        <v>328</v>
      </c>
      <c r="C173" s="376" t="s">
        <v>121</v>
      </c>
      <c r="D173" s="376" t="s">
        <v>25</v>
      </c>
      <c r="E173" s="376" t="s">
        <v>26</v>
      </c>
      <c r="F173" s="608" t="s">
        <v>236</v>
      </c>
      <c r="G173" s="609">
        <v>0.36252000000000001</v>
      </c>
      <c r="H173" s="692">
        <v>1</v>
      </c>
      <c r="I173" s="626"/>
      <c r="J173" s="751"/>
      <c r="K173" s="416"/>
      <c r="L173" s="376" t="s">
        <v>26</v>
      </c>
      <c r="M173" s="376" t="s">
        <v>1454</v>
      </c>
      <c r="N173" s="376" t="s">
        <v>1202</v>
      </c>
      <c r="O173" s="376" t="s">
        <v>1500</v>
      </c>
      <c r="P173" s="376" t="s">
        <v>1207</v>
      </c>
      <c r="Q173" s="376"/>
      <c r="R173" s="376">
        <v>0</v>
      </c>
      <c r="S173" s="416"/>
      <c r="T173" s="751"/>
      <c r="U173" s="416"/>
      <c r="V173" s="609">
        <f>IF(W173=1,G173,0)</f>
        <v>0</v>
      </c>
      <c r="W173" s="692"/>
    </row>
    <row r="174" spans="2:23" outlineLevel="1">
      <c r="B174" s="666" t="s">
        <v>1513</v>
      </c>
      <c r="C174" s="666" t="s">
        <v>121</v>
      </c>
      <c r="D174" s="667"/>
      <c r="E174" s="665"/>
      <c r="F174" s="681" t="s">
        <v>262</v>
      </c>
      <c r="G174" s="708">
        <f>SUBTOTAL(9,G175:G178)</f>
        <v>0.80135908867007233</v>
      </c>
      <c r="H174" s="709">
        <f>SUBTOTAL(9,H175:H178)</f>
        <v>3</v>
      </c>
      <c r="I174" s="626"/>
      <c r="J174" s="751"/>
      <c r="K174" s="416"/>
      <c r="L174" s="665"/>
      <c r="M174" s="665"/>
      <c r="N174" s="665"/>
      <c r="O174" s="665"/>
      <c r="P174" s="665"/>
      <c r="Q174" s="665"/>
      <c r="R174" s="665"/>
      <c r="S174" s="416"/>
      <c r="T174" s="751"/>
      <c r="U174" s="416"/>
      <c r="V174" s="708">
        <f>SUBTOTAL(9,V175:V178)</f>
        <v>0</v>
      </c>
      <c r="W174" s="709">
        <f>SUBTOTAL(9,W175:W178)</f>
        <v>0</v>
      </c>
    </row>
    <row r="175" spans="2:23" outlineLevel="2">
      <c r="B175" s="684" t="s">
        <v>1513</v>
      </c>
      <c r="C175" s="687" t="s">
        <v>121</v>
      </c>
      <c r="D175" s="684" t="s">
        <v>25</v>
      </c>
      <c r="E175" s="684"/>
      <c r="F175" s="685" t="s">
        <v>1627</v>
      </c>
      <c r="G175" s="686">
        <f>SUBTOTAL(9,G176:G178)</f>
        <v>0.80135908867007233</v>
      </c>
      <c r="H175" s="691">
        <f>SUBTOTAL(9,H176:H178)</f>
        <v>3</v>
      </c>
      <c r="I175" s="626"/>
      <c r="J175" s="751"/>
      <c r="K175" s="416"/>
      <c r="L175" s="684"/>
      <c r="M175" s="684"/>
      <c r="N175" s="684"/>
      <c r="O175" s="684"/>
      <c r="P175" s="684"/>
      <c r="Q175" s="684"/>
      <c r="R175" s="684"/>
      <c r="S175" s="416"/>
      <c r="T175" s="751"/>
      <c r="U175" s="416"/>
      <c r="V175" s="686">
        <f>SUBTOTAL(9,V176:V177)</f>
        <v>0</v>
      </c>
      <c r="W175" s="691">
        <f>SUBTOTAL(9,W176:W177)</f>
        <v>0</v>
      </c>
    </row>
    <row r="176" spans="2:23" outlineLevel="3">
      <c r="B176" s="376" t="s">
        <v>1513</v>
      </c>
      <c r="C176" s="387" t="s">
        <v>121</v>
      </c>
      <c r="D176" s="376" t="s">
        <v>25</v>
      </c>
      <c r="E176" s="376" t="s">
        <v>26</v>
      </c>
      <c r="F176" s="608" t="s">
        <v>236</v>
      </c>
      <c r="G176" s="609">
        <v>0.20033977216751808</v>
      </c>
      <c r="H176" s="692">
        <v>1</v>
      </c>
      <c r="I176" s="626"/>
      <c r="J176" s="751"/>
      <c r="K176" s="416"/>
      <c r="L176" s="376" t="s">
        <v>26</v>
      </c>
      <c r="M176" s="376" t="s">
        <v>1454</v>
      </c>
      <c r="N176" s="376" t="s">
        <v>1202</v>
      </c>
      <c r="O176" s="376" t="s">
        <v>1500</v>
      </c>
      <c r="P176" s="376" t="s">
        <v>1333</v>
      </c>
      <c r="Q176" s="376"/>
      <c r="R176" s="376">
        <v>0</v>
      </c>
      <c r="S176" s="416"/>
      <c r="T176" s="751"/>
      <c r="U176" s="416"/>
      <c r="V176" s="609">
        <f>IF(W176=1,G176,0)</f>
        <v>0</v>
      </c>
      <c r="W176" s="692"/>
    </row>
    <row r="177" spans="2:23" outlineLevel="3">
      <c r="B177" s="376" t="s">
        <v>1513</v>
      </c>
      <c r="C177" s="387" t="s">
        <v>121</v>
      </c>
      <c r="D177" s="376" t="s">
        <v>25</v>
      </c>
      <c r="E177" s="376" t="s">
        <v>26</v>
      </c>
      <c r="F177" s="608" t="s">
        <v>1212</v>
      </c>
      <c r="G177" s="609">
        <v>0.40067954433503616</v>
      </c>
      <c r="H177" s="692">
        <v>1</v>
      </c>
      <c r="I177" s="626"/>
      <c r="J177" s="751"/>
      <c r="K177" s="416"/>
      <c r="L177" s="376" t="s">
        <v>26</v>
      </c>
      <c r="M177" s="376" t="s">
        <v>1454</v>
      </c>
      <c r="N177" s="376" t="s">
        <v>1202</v>
      </c>
      <c r="O177" s="376" t="s">
        <v>1500</v>
      </c>
      <c r="P177" s="376" t="s">
        <v>1333</v>
      </c>
      <c r="Q177" s="376"/>
      <c r="R177" s="376">
        <v>0</v>
      </c>
      <c r="S177" s="416"/>
      <c r="T177" s="751"/>
      <c r="U177" s="416"/>
      <c r="V177" s="609">
        <f>IF(W177=1,G177,0)</f>
        <v>0</v>
      </c>
      <c r="W177" s="692"/>
    </row>
    <row r="178" spans="2:23" outlineLevel="3">
      <c r="B178" s="376" t="s">
        <v>1513</v>
      </c>
      <c r="C178" s="387" t="s">
        <v>121</v>
      </c>
      <c r="D178" s="376" t="s">
        <v>25</v>
      </c>
      <c r="E178" s="376" t="s">
        <v>26</v>
      </c>
      <c r="F178" s="785" t="s">
        <v>326</v>
      </c>
      <c r="G178" s="609">
        <v>0.20033977216751808</v>
      </c>
      <c r="H178" s="692">
        <v>1</v>
      </c>
      <c r="I178" s="626"/>
      <c r="J178" s="751"/>
      <c r="K178" s="416"/>
      <c r="L178" s="376" t="s">
        <v>26</v>
      </c>
      <c r="M178" s="376" t="s">
        <v>1454</v>
      </c>
      <c r="N178" s="376" t="s">
        <v>1202</v>
      </c>
      <c r="O178" s="376" t="s">
        <v>1500</v>
      </c>
      <c r="P178" s="376" t="s">
        <v>1333</v>
      </c>
      <c r="Q178" s="376"/>
      <c r="R178" s="376">
        <v>0</v>
      </c>
      <c r="S178" s="416"/>
      <c r="T178" s="751"/>
      <c r="U178" s="416"/>
      <c r="V178" s="609">
        <f>IF(W178=1,G178,0)</f>
        <v>0</v>
      </c>
      <c r="W178" s="692"/>
    </row>
    <row r="179" spans="2:23" outlineLevel="1">
      <c r="B179" s="666" t="s">
        <v>1517</v>
      </c>
      <c r="C179" s="666" t="s">
        <v>121</v>
      </c>
      <c r="D179" s="667" t="s">
        <v>12</v>
      </c>
      <c r="E179" s="665"/>
      <c r="F179" s="681" t="s">
        <v>262</v>
      </c>
      <c r="G179" s="708">
        <f>SUBTOTAL(9,G180:G186)</f>
        <v>0.29969554313912505</v>
      </c>
      <c r="H179" s="709">
        <f>SUBTOTAL(9,H180:H186)</f>
        <v>6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SUBTOTAL(9,V180:V186)</f>
        <v>0</v>
      </c>
      <c r="W179" s="709">
        <f>SUBTOTAL(9,W180:W186)</f>
        <v>0</v>
      </c>
    </row>
    <row r="180" spans="2:23" ht="26.4" outlineLevel="2">
      <c r="B180" s="684" t="s">
        <v>1517</v>
      </c>
      <c r="C180" s="687" t="s">
        <v>121</v>
      </c>
      <c r="D180" s="684" t="s">
        <v>25</v>
      </c>
      <c r="E180" s="684"/>
      <c r="F180" s="685" t="s">
        <v>1628</v>
      </c>
      <c r="G180" s="686">
        <f>SUBTOTAL(9,G181:G186)</f>
        <v>0.29969554313912505</v>
      </c>
      <c r="H180" s="691">
        <f>SUBTOTAL(9,H181:H186)</f>
        <v>6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SUBTOTAL(9,V181:V185)</f>
        <v>0</v>
      </c>
      <c r="W180" s="691">
        <f>SUBTOTAL(9,W181:W185)</f>
        <v>0</v>
      </c>
    </row>
    <row r="181" spans="2:23" outlineLevel="3">
      <c r="B181" s="376" t="s">
        <v>1517</v>
      </c>
      <c r="C181" s="387" t="s">
        <v>121</v>
      </c>
      <c r="D181" s="376" t="s">
        <v>25</v>
      </c>
      <c r="E181" s="376" t="s">
        <v>26</v>
      </c>
      <c r="F181" s="608" t="s">
        <v>1212</v>
      </c>
      <c r="G181" s="609">
        <v>0.11386451109389673</v>
      </c>
      <c r="H181" s="692">
        <v>1</v>
      </c>
      <c r="I181" s="626"/>
      <c r="J181" s="751"/>
      <c r="K181" s="416"/>
      <c r="L181" s="376" t="s">
        <v>26</v>
      </c>
      <c r="M181" s="376" t="s">
        <v>1454</v>
      </c>
      <c r="N181" s="376" t="s">
        <v>1202</v>
      </c>
      <c r="O181" s="376" t="s">
        <v>1500</v>
      </c>
      <c r="P181" s="376" t="s">
        <v>1207</v>
      </c>
      <c r="Q181" s="376"/>
      <c r="R181" s="376">
        <v>0</v>
      </c>
      <c r="S181" s="416"/>
      <c r="T181" s="751"/>
      <c r="U181" s="416"/>
      <c r="V181" s="609">
        <f>IF(W181=1,G181,0)</f>
        <v>0</v>
      </c>
      <c r="W181" s="692"/>
    </row>
    <row r="182" spans="2:23" outlineLevel="3">
      <c r="B182" s="376" t="s">
        <v>1517</v>
      </c>
      <c r="C182" s="387" t="s">
        <v>121</v>
      </c>
      <c r="D182" s="376" t="s">
        <v>25</v>
      </c>
      <c r="E182" s="376" t="s">
        <v>26</v>
      </c>
      <c r="F182" s="608" t="s">
        <v>1519</v>
      </c>
      <c r="G182" s="609">
        <v>5.6932255546948363E-2</v>
      </c>
      <c r="H182" s="692">
        <v>1</v>
      </c>
      <c r="I182" s="626"/>
      <c r="J182" s="751"/>
      <c r="K182" s="416"/>
      <c r="L182" s="376" t="s">
        <v>26</v>
      </c>
      <c r="M182" s="376" t="s">
        <v>1523</v>
      </c>
      <c r="N182" s="376" t="s">
        <v>1524</v>
      </c>
      <c r="O182" s="376" t="s">
        <v>1500</v>
      </c>
      <c r="P182" s="376" t="s">
        <v>1207</v>
      </c>
      <c r="Q182" s="376"/>
      <c r="R182" s="376">
        <v>0</v>
      </c>
      <c r="S182" s="416"/>
      <c r="T182" s="751"/>
      <c r="U182" s="416"/>
      <c r="V182" s="609">
        <f>IF(W182=1,G182,0)</f>
        <v>0</v>
      </c>
      <c r="W182" s="692"/>
    </row>
    <row r="183" spans="2:23" outlineLevel="3">
      <c r="B183" s="376" t="s">
        <v>1517</v>
      </c>
      <c r="C183" s="387" t="s">
        <v>121</v>
      </c>
      <c r="D183" s="376" t="s">
        <v>25</v>
      </c>
      <c r="E183" s="376" t="s">
        <v>26</v>
      </c>
      <c r="F183" s="608" t="s">
        <v>1520</v>
      </c>
      <c r="G183" s="609">
        <v>2.5779755299655999E-2</v>
      </c>
      <c r="H183" s="692">
        <v>1</v>
      </c>
      <c r="I183" s="626"/>
      <c r="J183" s="751"/>
      <c r="K183" s="416"/>
      <c r="L183" s="376" t="s">
        <v>26</v>
      </c>
      <c r="M183" s="376" t="s">
        <v>1454</v>
      </c>
      <c r="N183" s="376" t="s">
        <v>1202</v>
      </c>
      <c r="O183" s="376" t="s">
        <v>1500</v>
      </c>
      <c r="P183" s="376" t="s">
        <v>1207</v>
      </c>
      <c r="Q183" s="376"/>
      <c r="R183" s="376">
        <v>0</v>
      </c>
      <c r="S183" s="416"/>
      <c r="T183" s="751"/>
      <c r="U183" s="416"/>
      <c r="V183" s="609">
        <f>IF(W183=1,G183,0)</f>
        <v>0</v>
      </c>
      <c r="W183" s="692"/>
    </row>
    <row r="184" spans="2:23" outlineLevel="3">
      <c r="B184" s="376" t="s">
        <v>1517</v>
      </c>
      <c r="C184" s="387" t="s">
        <v>121</v>
      </c>
      <c r="D184" s="376" t="s">
        <v>25</v>
      </c>
      <c r="E184" s="376" t="s">
        <v>26</v>
      </c>
      <c r="F184" s="608" t="s">
        <v>1521</v>
      </c>
      <c r="G184" s="609">
        <v>5.1559510599311999E-2</v>
      </c>
      <c r="H184" s="692">
        <v>1</v>
      </c>
      <c r="I184" s="626"/>
      <c r="J184" s="751"/>
      <c r="K184" s="416"/>
      <c r="L184" s="376" t="s">
        <v>26</v>
      </c>
      <c r="M184" s="376" t="s">
        <v>1454</v>
      </c>
      <c r="N184" s="376" t="s">
        <v>1202</v>
      </c>
      <c r="O184" s="376" t="s">
        <v>1500</v>
      </c>
      <c r="P184" s="376" t="s">
        <v>1207</v>
      </c>
      <c r="Q184" s="376"/>
      <c r="R184" s="376">
        <v>0</v>
      </c>
      <c r="S184" s="416"/>
      <c r="T184" s="751"/>
      <c r="U184" s="416"/>
      <c r="V184" s="609">
        <f>IF(W184=1,G184,0)</f>
        <v>0</v>
      </c>
      <c r="W184" s="692"/>
    </row>
    <row r="185" spans="2:23" outlineLevel="3">
      <c r="B185" s="376" t="s">
        <v>1517</v>
      </c>
      <c r="C185" s="387" t="s">
        <v>121</v>
      </c>
      <c r="D185" s="376" t="s">
        <v>25</v>
      </c>
      <c r="E185" s="376" t="s">
        <v>26</v>
      </c>
      <c r="F185" s="608" t="s">
        <v>1525</v>
      </c>
      <c r="G185" s="609">
        <v>2.5779755299655999E-2</v>
      </c>
      <c r="H185" s="692">
        <v>1</v>
      </c>
      <c r="I185" s="626"/>
      <c r="J185" s="751"/>
      <c r="K185" s="416"/>
      <c r="L185" s="376" t="s">
        <v>26</v>
      </c>
      <c r="M185" s="376" t="s">
        <v>1272</v>
      </c>
      <c r="N185" s="376" t="s">
        <v>1273</v>
      </c>
      <c r="O185" s="376" t="s">
        <v>72</v>
      </c>
      <c r="P185" s="376" t="s">
        <v>1207</v>
      </c>
      <c r="Q185" s="376"/>
      <c r="R185" s="376">
        <v>0</v>
      </c>
      <c r="S185" s="416"/>
      <c r="T185" s="751"/>
      <c r="U185" s="416"/>
      <c r="V185" s="609">
        <f>IF(W185=1,G185,0)</f>
        <v>0</v>
      </c>
      <c r="W185" s="692"/>
    </row>
    <row r="186" spans="2:23" outlineLevel="3">
      <c r="B186" s="376" t="s">
        <v>1517</v>
      </c>
      <c r="C186" s="387" t="s">
        <v>1630</v>
      </c>
      <c r="D186" s="376" t="s">
        <v>25</v>
      </c>
      <c r="E186" s="376" t="s">
        <v>26</v>
      </c>
      <c r="F186" s="608" t="s">
        <v>1629</v>
      </c>
      <c r="G186" s="609">
        <v>2.5779755299655999E-2</v>
      </c>
      <c r="H186" s="692">
        <v>1</v>
      </c>
      <c r="I186" s="626"/>
      <c r="J186" s="751"/>
      <c r="K186" s="416"/>
      <c r="L186" s="376" t="s">
        <v>28</v>
      </c>
      <c r="M186" s="376" t="s">
        <v>1631</v>
      </c>
      <c r="N186" s="376"/>
      <c r="O186" s="376"/>
      <c r="P186" s="376"/>
      <c r="Q186" s="376"/>
      <c r="R186" s="376"/>
      <c r="S186" s="416"/>
      <c r="T186" s="751"/>
      <c r="U186" s="416"/>
      <c r="V186" s="609">
        <f>IF(W186=1,#REF!,0)</f>
        <v>0</v>
      </c>
      <c r="W186" s="692"/>
    </row>
    <row r="187" spans="2:23" outlineLevel="1">
      <c r="B187" s="666" t="s">
        <v>1531</v>
      </c>
      <c r="C187" s="666" t="s">
        <v>70</v>
      </c>
      <c r="D187" s="667" t="s">
        <v>12</v>
      </c>
      <c r="E187" s="665"/>
      <c r="F187" s="681" t="s">
        <v>262</v>
      </c>
      <c r="G187" s="708">
        <f>SUBTOTAL(9,G188:G189)</f>
        <v>7.133861740420798E-2</v>
      </c>
      <c r="H187" s="709">
        <f>SUBTOTAL(9,H188:H189)</f>
        <v>1</v>
      </c>
      <c r="I187" s="626"/>
      <c r="J187" s="751"/>
      <c r="K187" s="416"/>
      <c r="L187" s="665"/>
      <c r="M187" s="665"/>
      <c r="N187" s="665"/>
      <c r="O187" s="665"/>
      <c r="P187" s="665"/>
      <c r="Q187" s="665"/>
      <c r="R187" s="665"/>
      <c r="S187" s="416"/>
      <c r="T187" s="751"/>
      <c r="U187" s="416"/>
      <c r="V187" s="708">
        <f>SUBTOTAL(9,V188:V189)</f>
        <v>0</v>
      </c>
      <c r="W187" s="709">
        <f>SUBTOTAL(9,W188:W189)</f>
        <v>0</v>
      </c>
    </row>
    <row r="188" spans="2:23" outlineLevel="2">
      <c r="B188" s="684" t="s">
        <v>1531</v>
      </c>
      <c r="C188" s="687" t="s">
        <v>70</v>
      </c>
      <c r="D188" s="684" t="s">
        <v>25</v>
      </c>
      <c r="E188" s="684"/>
      <c r="F188" s="685" t="s">
        <v>1532</v>
      </c>
      <c r="G188" s="686">
        <f>SUBTOTAL(9,G189)</f>
        <v>7.133861740420798E-2</v>
      </c>
      <c r="H188" s="691">
        <f>SUBTOTAL(9,H189)</f>
        <v>1</v>
      </c>
      <c r="I188" s="626"/>
      <c r="J188" s="751"/>
      <c r="K188" s="416"/>
      <c r="L188" s="684"/>
      <c r="M188" s="684"/>
      <c r="N188" s="684"/>
      <c r="O188" s="684"/>
      <c r="P188" s="684"/>
      <c r="Q188" s="684"/>
      <c r="R188" s="684"/>
      <c r="S188" s="416"/>
      <c r="T188" s="751"/>
      <c r="U188" s="416"/>
      <c r="V188" s="686">
        <f>SUBTOTAL(9,V189)</f>
        <v>0</v>
      </c>
      <c r="W188" s="691">
        <f>SUBTOTAL(9,W189)</f>
        <v>0</v>
      </c>
    </row>
    <row r="189" spans="2:23" outlineLevel="3">
      <c r="B189" s="376" t="s">
        <v>1531</v>
      </c>
      <c r="C189" s="387" t="s">
        <v>70</v>
      </c>
      <c r="D189" s="376" t="s">
        <v>25</v>
      </c>
      <c r="E189" s="376" t="s">
        <v>26</v>
      </c>
      <c r="F189" s="608" t="s">
        <v>236</v>
      </c>
      <c r="G189" s="609">
        <v>7.133861740420798E-2</v>
      </c>
      <c r="H189" s="692">
        <v>1</v>
      </c>
      <c r="I189" s="626"/>
      <c r="J189" s="751"/>
      <c r="K189" s="416"/>
      <c r="L189" s="376" t="s">
        <v>26</v>
      </c>
      <c r="M189" s="376" t="s">
        <v>1454</v>
      </c>
      <c r="N189" s="376" t="s">
        <v>1202</v>
      </c>
      <c r="O189" s="376" t="s">
        <v>1500</v>
      </c>
      <c r="P189" s="376" t="s">
        <v>1207</v>
      </c>
      <c r="Q189" s="376"/>
      <c r="R189" s="376">
        <v>0</v>
      </c>
      <c r="S189" s="416"/>
      <c r="T189" s="751"/>
      <c r="U189" s="416"/>
      <c r="V189" s="609">
        <f>IF(W189=1,G189,0)</f>
        <v>0</v>
      </c>
      <c r="W189" s="692"/>
    </row>
    <row r="190" spans="2:23" outlineLevel="1">
      <c r="B190" s="665" t="s">
        <v>351</v>
      </c>
      <c r="C190" s="665" t="s">
        <v>351</v>
      </c>
      <c r="D190" s="665"/>
      <c r="E190" s="665"/>
      <c r="F190" s="681" t="s">
        <v>262</v>
      </c>
      <c r="G190" s="708">
        <f>SUBTOTAL(9,G191:G192)</f>
        <v>0</v>
      </c>
      <c r="H190" s="709">
        <f>SUBTOTAL(9,H191:H192)</f>
        <v>1</v>
      </c>
      <c r="I190" s="626"/>
      <c r="J190" s="751"/>
      <c r="K190" s="416"/>
      <c r="L190" s="665"/>
      <c r="M190" s="665"/>
      <c r="N190" s="665"/>
      <c r="O190" s="665"/>
      <c r="P190" s="665"/>
      <c r="Q190" s="665"/>
      <c r="R190" s="665"/>
      <c r="S190" s="416"/>
      <c r="T190" s="751"/>
      <c r="U190" s="416"/>
      <c r="V190" s="708">
        <f>SUBTOTAL(9,V191:V192)</f>
        <v>0</v>
      </c>
      <c r="W190" s="709">
        <f>SUBTOTAL(9,W191:W192)</f>
        <v>0</v>
      </c>
    </row>
    <row r="191" spans="2:23" outlineLevel="2">
      <c r="B191" s="684" t="s">
        <v>351</v>
      </c>
      <c r="C191" s="684" t="s">
        <v>351</v>
      </c>
      <c r="D191" s="684" t="s">
        <v>25</v>
      </c>
      <c r="E191" s="684"/>
      <c r="F191" s="685" t="s">
        <v>352</v>
      </c>
      <c r="G191" s="686">
        <f>SUBTOTAL(9,G192)</f>
        <v>0</v>
      </c>
      <c r="H191" s="691">
        <f>SUBTOTAL(9,H192)</f>
        <v>1</v>
      </c>
      <c r="I191" s="626"/>
      <c r="J191" s="751"/>
      <c r="K191" s="416"/>
      <c r="L191" s="684"/>
      <c r="M191" s="684"/>
      <c r="N191" s="684"/>
      <c r="O191" s="684"/>
      <c r="P191" s="684"/>
      <c r="Q191" s="684"/>
      <c r="R191" s="684"/>
      <c r="S191" s="416"/>
      <c r="T191" s="751"/>
      <c r="U191" s="416"/>
      <c r="V191" s="686">
        <f>SUBTOTAL(9,V192)</f>
        <v>0</v>
      </c>
      <c r="W191" s="691">
        <f>SUBTOTAL(9,W192)</f>
        <v>0</v>
      </c>
    </row>
    <row r="192" spans="2:23" outlineLevel="3">
      <c r="B192" s="376" t="s">
        <v>351</v>
      </c>
      <c r="C192" s="376" t="s">
        <v>351</v>
      </c>
      <c r="D192" s="376" t="s">
        <v>25</v>
      </c>
      <c r="E192" s="376" t="s">
        <v>26</v>
      </c>
      <c r="F192" s="608" t="s">
        <v>236</v>
      </c>
      <c r="G192" s="609"/>
      <c r="H192" s="692">
        <v>1</v>
      </c>
      <c r="I192" s="626"/>
      <c r="J192" s="751"/>
      <c r="K192" s="416"/>
      <c r="L192" s="376" t="s">
        <v>26</v>
      </c>
      <c r="M192" s="376" t="s">
        <v>1454</v>
      </c>
      <c r="N192" s="376" t="s">
        <v>1202</v>
      </c>
      <c r="O192" s="376" t="s">
        <v>1500</v>
      </c>
      <c r="P192" s="376" t="s">
        <v>1326</v>
      </c>
      <c r="Q192" s="376"/>
      <c r="R192" s="376">
        <v>0</v>
      </c>
      <c r="S192" s="416"/>
      <c r="T192" s="751"/>
      <c r="U192" s="416"/>
      <c r="V192" s="609"/>
      <c r="W192" s="692"/>
    </row>
    <row r="193" spans="2:23" outlineLevel="1">
      <c r="B193" s="665" t="s">
        <v>353</v>
      </c>
      <c r="C193" s="665" t="s">
        <v>354</v>
      </c>
      <c r="D193" s="665"/>
      <c r="E193" s="665"/>
      <c r="F193" s="681" t="s">
        <v>262</v>
      </c>
      <c r="G193" s="708">
        <f>SUBTOTAL(9,G194:G195)</f>
        <v>0.19</v>
      </c>
      <c r="H193" s="709">
        <f>SUBTOTAL(9,H194:H195)</f>
        <v>1</v>
      </c>
      <c r="I193" s="626"/>
      <c r="J193" s="751"/>
      <c r="K193" s="416"/>
      <c r="L193" s="665"/>
      <c r="M193" s="665"/>
      <c r="N193" s="665"/>
      <c r="O193" s="665"/>
      <c r="P193" s="665"/>
      <c r="Q193" s="665"/>
      <c r="R193" s="665"/>
      <c r="S193" s="416"/>
      <c r="T193" s="751"/>
      <c r="U193" s="416"/>
      <c r="V193" s="708">
        <f>SUBTOTAL(9,V194:V195)</f>
        <v>0</v>
      </c>
      <c r="W193" s="709">
        <f>SUBTOTAL(9,W194:W195)</f>
        <v>0</v>
      </c>
    </row>
    <row r="194" spans="2:23" outlineLevel="2">
      <c r="B194" s="684" t="s">
        <v>353</v>
      </c>
      <c r="C194" s="684" t="s">
        <v>354</v>
      </c>
      <c r="D194" s="684" t="s">
        <v>25</v>
      </c>
      <c r="E194" s="684"/>
      <c r="F194" s="685" t="s">
        <v>1542</v>
      </c>
      <c r="G194" s="686">
        <f>SUBTOTAL(9,G195)</f>
        <v>0.19</v>
      </c>
      <c r="H194" s="691">
        <f>SUBTOTAL(9,H195)</f>
        <v>1</v>
      </c>
      <c r="I194" s="626"/>
      <c r="J194" s="751"/>
      <c r="K194" s="416"/>
      <c r="L194" s="684"/>
      <c r="M194" s="684"/>
      <c r="N194" s="684"/>
      <c r="O194" s="684"/>
      <c r="P194" s="684"/>
      <c r="Q194" s="684"/>
      <c r="R194" s="684"/>
      <c r="S194" s="416"/>
      <c r="T194" s="751"/>
      <c r="U194" s="416"/>
      <c r="V194" s="686">
        <f>SUBTOTAL(9,V195)</f>
        <v>0</v>
      </c>
      <c r="W194" s="691">
        <f>SUBTOTAL(9,W195)</f>
        <v>0</v>
      </c>
    </row>
    <row r="195" spans="2:23" outlineLevel="3">
      <c r="B195" s="376" t="s">
        <v>353</v>
      </c>
      <c r="C195" s="376" t="s">
        <v>354</v>
      </c>
      <c r="D195" s="376" t="s">
        <v>25</v>
      </c>
      <c r="E195" s="376" t="s">
        <v>26</v>
      </c>
      <c r="F195" s="608" t="s">
        <v>236</v>
      </c>
      <c r="G195" s="609">
        <v>0.19</v>
      </c>
      <c r="H195" s="692">
        <v>1</v>
      </c>
      <c r="I195" s="626"/>
      <c r="J195" s="751"/>
      <c r="K195" s="416"/>
      <c r="L195" s="376" t="s">
        <v>26</v>
      </c>
      <c r="M195" s="376" t="s">
        <v>1272</v>
      </c>
      <c r="N195" s="376" t="s">
        <v>1452</v>
      </c>
      <c r="O195" s="376" t="s">
        <v>72</v>
      </c>
      <c r="P195" s="376" t="s">
        <v>1312</v>
      </c>
      <c r="Q195" s="376"/>
      <c r="R195" s="376">
        <v>0</v>
      </c>
      <c r="S195" s="416"/>
      <c r="T195" s="751"/>
      <c r="U195" s="416"/>
      <c r="V195" s="609">
        <f>IF(W195=1,G195,0)</f>
        <v>0</v>
      </c>
      <c r="W195" s="692"/>
    </row>
    <row r="196" spans="2:23" outlineLevel="1">
      <c r="B196" s="682" t="s">
        <v>355</v>
      </c>
      <c r="C196" s="682" t="s">
        <v>356</v>
      </c>
      <c r="D196" s="682"/>
      <c r="E196" s="682"/>
      <c r="F196" s="681" t="s">
        <v>262</v>
      </c>
      <c r="G196" s="708">
        <f>SUBTOTAL(9,G197:G198)</f>
        <v>2.0043571200000002E-2</v>
      </c>
      <c r="H196" s="709">
        <f>SUBTOTAL(9,H197:H198)</f>
        <v>1</v>
      </c>
      <c r="I196" s="626"/>
      <c r="J196" s="751"/>
      <c r="K196" s="416"/>
      <c r="L196" s="682"/>
      <c r="M196" s="682"/>
      <c r="N196" s="682"/>
      <c r="O196" s="682"/>
      <c r="P196" s="682"/>
      <c r="Q196" s="682"/>
      <c r="R196" s="682"/>
      <c r="S196" s="416"/>
      <c r="T196" s="751"/>
      <c r="U196" s="416"/>
      <c r="V196" s="708">
        <f>SUBTOTAL(9,V197:V198)</f>
        <v>0</v>
      </c>
      <c r="W196" s="709">
        <f>SUBTOTAL(9,W197:W198)</f>
        <v>0</v>
      </c>
    </row>
    <row r="197" spans="2:23" outlineLevel="2">
      <c r="B197" s="688" t="s">
        <v>356</v>
      </c>
      <c r="C197" s="688" t="s">
        <v>356</v>
      </c>
      <c r="D197" s="688" t="s">
        <v>25</v>
      </c>
      <c r="E197" s="688"/>
      <c r="F197" s="712" t="s">
        <v>1436</v>
      </c>
      <c r="G197" s="686">
        <f>SUBTOTAL(9,G198)</f>
        <v>2.0043571200000002E-2</v>
      </c>
      <c r="H197" s="691">
        <f>SUBTOTAL(9,H198)</f>
        <v>1</v>
      </c>
      <c r="I197" s="626"/>
      <c r="J197" s="751"/>
      <c r="K197" s="416"/>
      <c r="L197" s="688"/>
      <c r="M197" s="688"/>
      <c r="N197" s="688"/>
      <c r="O197" s="688"/>
      <c r="P197" s="688"/>
      <c r="Q197" s="688"/>
      <c r="R197" s="688"/>
      <c r="S197" s="416"/>
      <c r="T197" s="751"/>
      <c r="U197" s="416"/>
      <c r="V197" s="686">
        <f>SUBTOTAL(9,V198)</f>
        <v>0</v>
      </c>
      <c r="W197" s="691">
        <f>SUBTOTAL(9,W198)</f>
        <v>0</v>
      </c>
    </row>
    <row r="198" spans="2:23" outlineLevel="3">
      <c r="B198" s="456" t="s">
        <v>356</v>
      </c>
      <c r="C198" s="456" t="s">
        <v>356</v>
      </c>
      <c r="D198" s="456" t="s">
        <v>25</v>
      </c>
      <c r="E198" s="456" t="s">
        <v>26</v>
      </c>
      <c r="F198" s="623" t="s">
        <v>236</v>
      </c>
      <c r="G198" s="744">
        <v>2.0043571200000002E-2</v>
      </c>
      <c r="H198" s="745">
        <v>1</v>
      </c>
      <c r="I198" s="626"/>
      <c r="J198" s="751"/>
      <c r="K198" s="416"/>
      <c r="L198" s="456" t="s">
        <v>26</v>
      </c>
      <c r="M198" s="456" t="s">
        <v>1435</v>
      </c>
      <c r="N198" s="456" t="s">
        <v>72</v>
      </c>
      <c r="O198" s="456"/>
      <c r="P198" s="456" t="s">
        <v>1381</v>
      </c>
      <c r="Q198" s="456"/>
      <c r="R198" s="456">
        <v>0</v>
      </c>
      <c r="S198" s="416"/>
      <c r="T198" s="751"/>
      <c r="U198" s="416"/>
      <c r="V198" s="609">
        <f>IF(W198=1,G198,0)</f>
        <v>0</v>
      </c>
      <c r="W198" s="745"/>
    </row>
    <row r="199" spans="2:23" s="795" customFormat="1" outlineLevel="1">
      <c r="B199" s="682" t="s">
        <v>1546</v>
      </c>
      <c r="C199" s="682" t="s">
        <v>1547</v>
      </c>
      <c r="D199" s="682"/>
      <c r="E199" s="682"/>
      <c r="F199" s="681" t="s">
        <v>262</v>
      </c>
      <c r="G199" s="708">
        <f>SUBTOTAL(9,G200:G202)</f>
        <v>2.5364152</v>
      </c>
      <c r="H199" s="709">
        <f>SUBTOTAL(9,H200:H202)</f>
        <v>2</v>
      </c>
      <c r="I199" s="746"/>
      <c r="J199" s="758"/>
      <c r="K199" s="747"/>
      <c r="L199" s="682"/>
      <c r="M199" s="682"/>
      <c r="N199" s="682"/>
      <c r="O199" s="682"/>
      <c r="P199" s="682"/>
      <c r="Q199" s="682"/>
      <c r="R199" s="682"/>
      <c r="S199" s="747"/>
      <c r="T199" s="758"/>
      <c r="U199" s="747"/>
      <c r="V199" s="708">
        <f>SUBTOTAL(9,V200:V202)</f>
        <v>0</v>
      </c>
      <c r="W199" s="709">
        <f>SUBTOTAL(9,W200:W202)</f>
        <v>0</v>
      </c>
    </row>
    <row r="200" spans="2:23" outlineLevel="2">
      <c r="B200" s="684" t="s">
        <v>1546</v>
      </c>
      <c r="C200" s="684" t="s">
        <v>1547</v>
      </c>
      <c r="D200" s="684" t="s">
        <v>25</v>
      </c>
      <c r="E200" s="684"/>
      <c r="F200" s="685" t="s">
        <v>1212</v>
      </c>
      <c r="G200" s="686">
        <f>SUBTOTAL(9,G201:G202)</f>
        <v>2.5364152</v>
      </c>
      <c r="H200" s="691">
        <f>SUBTOTAL(9,H201:H202)</f>
        <v>2</v>
      </c>
      <c r="I200" s="626"/>
      <c r="J200" s="751"/>
      <c r="K200" s="416"/>
      <c r="L200" s="684"/>
      <c r="M200" s="684"/>
      <c r="N200" s="684"/>
      <c r="O200" s="684"/>
      <c r="P200" s="684"/>
      <c r="Q200" s="684"/>
      <c r="R200" s="684"/>
      <c r="S200" s="416"/>
      <c r="T200" s="751"/>
      <c r="U200" s="416"/>
      <c r="V200" s="686">
        <f>SUBTOTAL(9,V201:V202)</f>
        <v>0</v>
      </c>
      <c r="W200" s="691">
        <f>SUBTOTAL(9,W201:W202)</f>
        <v>0</v>
      </c>
    </row>
    <row r="201" spans="2:23" outlineLevel="3" collapsed="1">
      <c r="B201" s="376" t="s">
        <v>1546</v>
      </c>
      <c r="C201" s="376" t="s">
        <v>1547</v>
      </c>
      <c r="D201" s="376" t="s">
        <v>25</v>
      </c>
      <c r="E201" s="376" t="s">
        <v>26</v>
      </c>
      <c r="F201" s="608" t="s">
        <v>1549</v>
      </c>
      <c r="G201" s="609">
        <v>1.0864152</v>
      </c>
      <c r="H201" s="692">
        <v>1</v>
      </c>
      <c r="I201" s="626"/>
      <c r="J201" s="751"/>
      <c r="K201" s="416"/>
      <c r="L201" s="376" t="s">
        <v>26</v>
      </c>
      <c r="M201" s="376" t="s">
        <v>1272</v>
      </c>
      <c r="N201" s="376" t="s">
        <v>1273</v>
      </c>
      <c r="O201" s="376" t="s">
        <v>72</v>
      </c>
      <c r="P201" s="376" t="s">
        <v>1274</v>
      </c>
      <c r="Q201" s="376"/>
      <c r="R201" s="376">
        <v>0</v>
      </c>
      <c r="S201" s="416"/>
      <c r="T201" s="751"/>
      <c r="U201" s="416"/>
      <c r="V201" s="609">
        <f>IF(W201=1,G201,0)</f>
        <v>0</v>
      </c>
      <c r="W201" s="692"/>
    </row>
    <row r="202" spans="2:23" outlineLevel="3">
      <c r="B202" s="376" t="s">
        <v>1546</v>
      </c>
      <c r="C202" s="376" t="s">
        <v>1547</v>
      </c>
      <c r="D202" s="376" t="s">
        <v>25</v>
      </c>
      <c r="E202" s="376" t="s">
        <v>26</v>
      </c>
      <c r="F202" s="608" t="s">
        <v>1498</v>
      </c>
      <c r="G202" s="609">
        <v>1.45</v>
      </c>
      <c r="H202" s="692">
        <v>1</v>
      </c>
      <c r="I202" s="626"/>
      <c r="J202" s="751"/>
      <c r="K202" s="416"/>
      <c r="L202" s="376" t="s">
        <v>26</v>
      </c>
      <c r="M202" s="376" t="s">
        <v>1272</v>
      </c>
      <c r="N202" s="376" t="s">
        <v>1273</v>
      </c>
      <c r="O202" s="376" t="s">
        <v>72</v>
      </c>
      <c r="P202" s="376" t="s">
        <v>1274</v>
      </c>
      <c r="Q202" s="376"/>
      <c r="R202" s="376">
        <v>0</v>
      </c>
      <c r="S202" s="416"/>
      <c r="T202" s="751"/>
      <c r="U202" s="416"/>
      <c r="V202" s="609">
        <f>IF(W202=1,G202,0)</f>
        <v>0</v>
      </c>
      <c r="W202" s="692"/>
    </row>
    <row r="203" spans="2:23" outlineLevel="1">
      <c r="B203" s="666" t="s">
        <v>360</v>
      </c>
      <c r="C203" s="666" t="s">
        <v>361</v>
      </c>
      <c r="D203" s="667"/>
      <c r="E203" s="665"/>
      <c r="F203" s="681" t="s">
        <v>262</v>
      </c>
      <c r="G203" s="708">
        <f>SUBTOTAL(9,G204:G205)</f>
        <v>4.0201798335435006</v>
      </c>
      <c r="H203" s="709">
        <f>SUBTOTAL(9,H204:H205)</f>
        <v>1</v>
      </c>
      <c r="I203" s="626"/>
      <c r="J203" s="751"/>
      <c r="K203" s="416"/>
      <c r="L203" s="665"/>
      <c r="M203" s="665"/>
      <c r="N203" s="665"/>
      <c r="O203" s="665"/>
      <c r="P203" s="665"/>
      <c r="Q203" s="665"/>
      <c r="R203" s="665"/>
      <c r="S203" s="416"/>
      <c r="T203" s="751"/>
      <c r="U203" s="416"/>
      <c r="V203" s="708">
        <f>SUBTOTAL(9,V204:V205)</f>
        <v>0</v>
      </c>
      <c r="W203" s="709">
        <f>SUBTOTAL(9,W204:W205)</f>
        <v>0</v>
      </c>
    </row>
    <row r="204" spans="2:23" outlineLevel="2">
      <c r="B204" s="684" t="s">
        <v>360</v>
      </c>
      <c r="C204" s="687" t="s">
        <v>361</v>
      </c>
      <c r="D204" s="684" t="s">
        <v>25</v>
      </c>
      <c r="E204" s="684"/>
      <c r="F204" s="685" t="s">
        <v>236</v>
      </c>
      <c r="G204" s="686">
        <f>SUBTOTAL(9,G205)</f>
        <v>4.0201798335435006</v>
      </c>
      <c r="H204" s="691">
        <f>SUBTOTAL(9,H205)</f>
        <v>1</v>
      </c>
      <c r="I204" s="626"/>
      <c r="J204" s="751"/>
      <c r="K204" s="416"/>
      <c r="L204" s="684"/>
      <c r="M204" s="684"/>
      <c r="N204" s="684"/>
      <c r="O204" s="684"/>
      <c r="P204" s="684"/>
      <c r="Q204" s="684"/>
      <c r="R204" s="684"/>
      <c r="S204" s="416"/>
      <c r="T204" s="751"/>
      <c r="U204" s="416"/>
      <c r="V204" s="686">
        <f>SUBTOTAL(9,V205)</f>
        <v>0</v>
      </c>
      <c r="W204" s="691">
        <f>SUBTOTAL(9,W205)</f>
        <v>0</v>
      </c>
    </row>
    <row r="205" spans="2:23" outlineLevel="3">
      <c r="B205" s="376" t="s">
        <v>360</v>
      </c>
      <c r="C205" s="387" t="s">
        <v>361</v>
      </c>
      <c r="D205" s="376" t="s">
        <v>25</v>
      </c>
      <c r="E205" s="376" t="s">
        <v>26</v>
      </c>
      <c r="F205" s="608" t="s">
        <v>236</v>
      </c>
      <c r="G205" s="609">
        <v>4.0201798335435006</v>
      </c>
      <c r="H205" s="692">
        <v>1</v>
      </c>
      <c r="I205" s="626"/>
      <c r="J205" s="751"/>
      <c r="K205" s="416"/>
      <c r="L205" s="376" t="s">
        <v>26</v>
      </c>
      <c r="M205" s="376" t="s">
        <v>1454</v>
      </c>
      <c r="N205" s="376" t="s">
        <v>1202</v>
      </c>
      <c r="O205" s="376" t="s">
        <v>1500</v>
      </c>
      <c r="P205" s="376" t="s">
        <v>1274</v>
      </c>
      <c r="Q205" s="376"/>
      <c r="R205" s="376">
        <v>0</v>
      </c>
      <c r="S205" s="416"/>
      <c r="T205" s="751"/>
      <c r="U205" s="416"/>
      <c r="V205" s="609">
        <f>IF(W205=1,G205,0)</f>
        <v>0</v>
      </c>
      <c r="W205" s="692"/>
    </row>
    <row r="206" spans="2:23">
      <c r="B206" s="416"/>
      <c r="C206" s="416"/>
      <c r="D206" s="416"/>
      <c r="E206" s="416"/>
      <c r="F206" s="749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</row>
  </sheetData>
  <autoFilter ref="B4:W20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51E6-5309-4D02-8166-A632DCE7D9E0}">
  <sheetPr>
    <outlinePr summaryBelow="0" summaryRight="0"/>
    <pageSetUpPr fitToPage="1"/>
  </sheetPr>
  <dimension ref="A2:AA50"/>
  <sheetViews>
    <sheetView zoomScale="90" zoomScaleNormal="90" workbookViewId="0">
      <pane xSplit="2" ySplit="4" topLeftCell="C34" activePane="bottomRight" state="frozen"/>
      <selection pane="topRight" activeCell="F211" sqref="F211"/>
      <selection pane="bottomLeft" activeCell="F211" sqref="F211"/>
      <selection pane="bottomRight" activeCell="F211" sqref="F211"/>
    </sheetView>
  </sheetViews>
  <sheetFormatPr defaultColWidth="9.44140625" defaultRowHeight="13.2" outlineLevelRow="3" outlineLevelCol="1"/>
  <cols>
    <col min="1" max="1" width="0.5546875" style="416" customWidth="1"/>
    <col min="2" max="2" width="22.6640625" style="416" customWidth="1"/>
    <col min="3" max="3" width="17.6640625" style="416" bestFit="1" customWidth="1"/>
    <col min="4" max="4" width="16.33203125" style="416" customWidth="1"/>
    <col min="5" max="5" width="14.44140625" style="416" customWidth="1"/>
    <col min="6" max="6" width="53.6640625" style="749" customWidth="1"/>
    <col min="7" max="7" width="13.33203125" style="416" bestFit="1" customWidth="1"/>
    <col min="8" max="8" width="9.5546875" style="416" customWidth="1" outlineLevel="1"/>
    <col min="9" max="11" width="0.5546875" style="416" customWidth="1"/>
    <col min="12" max="12" width="14.44140625" style="416" customWidth="1"/>
    <col min="13" max="13" width="14.44140625" style="416" customWidth="1" collapsed="1"/>
    <col min="14" max="18" width="14.44140625" style="416" hidden="1" customWidth="1" outlineLevel="1"/>
    <col min="19" max="21" width="0.5546875" style="416" customWidth="1"/>
    <col min="22" max="22" width="16.33203125" style="416" customWidth="1" collapsed="1"/>
    <col min="23" max="23" width="14.33203125" style="416" hidden="1" customWidth="1" outlineLevel="1"/>
    <col min="24" max="26" width="9.44140625" style="416"/>
    <col min="27" max="27" width="9.44140625" style="416" bestFit="1" customWidth="1"/>
    <col min="28" max="16384" width="9.44140625" style="416"/>
  </cols>
  <sheetData>
    <row r="2" spans="1:27" ht="17.399999999999999">
      <c r="A2" s="376"/>
      <c r="B2" s="418" t="s">
        <v>1694</v>
      </c>
      <c r="C2" s="418"/>
      <c r="D2" s="418"/>
      <c r="E2" s="418"/>
      <c r="F2" s="423"/>
      <c r="G2" s="689">
        <f>SUBTOTAL(9,G6:G50)</f>
        <v>0.349304</v>
      </c>
      <c r="H2" s="690">
        <f>SUBTOTAL(9,H6:H50)</f>
        <v>29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SUBTOTAL(9,V6:V45)</f>
        <v>0</v>
      </c>
      <c r="W2" s="764">
        <f>SUBTOTAL(9,W6:W45)</f>
        <v>0</v>
      </c>
      <c r="X2" s="610">
        <f>G2-V2</f>
        <v>0.349304</v>
      </c>
      <c r="Y2" s="610">
        <f>H2-W2</f>
        <v>29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13</v>
      </c>
      <c r="C6" s="430"/>
      <c r="D6" s="430"/>
      <c r="E6" s="430"/>
      <c r="F6" s="697"/>
      <c r="G6" s="698">
        <f>SUBTOTAL(9,G8:G50)</f>
        <v>0.349304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outlineLevel="1">
      <c r="A8" s="376"/>
      <c r="B8" s="665" t="s">
        <v>260</v>
      </c>
      <c r="C8" s="666" t="s">
        <v>261</v>
      </c>
      <c r="D8" s="666"/>
      <c r="E8" s="666"/>
      <c r="F8" s="681" t="s">
        <v>262</v>
      </c>
      <c r="G8" s="724">
        <f>SUBTOTAL(9,G9:G44)</f>
        <v>0</v>
      </c>
      <c r="H8" s="725">
        <f>SUBTOTAL(9,H9:H44)</f>
        <v>25</v>
      </c>
      <c r="I8" s="626"/>
      <c r="J8" s="751"/>
      <c r="L8" s="666"/>
      <c r="M8" s="666"/>
      <c r="N8" s="666"/>
      <c r="O8" s="666"/>
      <c r="P8" s="666"/>
      <c r="Q8" s="666"/>
      <c r="R8" s="666"/>
      <c r="T8" s="751"/>
      <c r="V8" s="724">
        <f>SUBTOTAL(9,V9:V44)</f>
        <v>0</v>
      </c>
      <c r="W8" s="725">
        <f>SUBTOTAL(9,W9:W44)</f>
        <v>0</v>
      </c>
      <c r="X8" s="610"/>
      <c r="Y8" s="610"/>
      <c r="Z8" s="610"/>
    </row>
    <row r="9" spans="1:27" outlineLevel="2">
      <c r="A9" s="376"/>
      <c r="B9" s="684" t="s">
        <v>173</v>
      </c>
      <c r="C9" s="684" t="s">
        <v>1437</v>
      </c>
      <c r="D9" s="684" t="s">
        <v>17</v>
      </c>
      <c r="E9" s="684"/>
      <c r="F9" s="685" t="s">
        <v>1437</v>
      </c>
      <c r="G9" s="691">
        <f>SUBTOTAL(9,G10:G11)</f>
        <v>0</v>
      </c>
      <c r="H9" s="714">
        <f>SUBTOTAL(9,H10:H11)</f>
        <v>2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91">
        <f>SUBTOTAL(9,V10:V11)</f>
        <v>0</v>
      </c>
      <c r="W9" s="714">
        <f>SUBTOTAL(9,W10:W11)</f>
        <v>0</v>
      </c>
      <c r="X9" s="610"/>
      <c r="Y9" s="610"/>
      <c r="Z9" s="610"/>
    </row>
    <row r="10" spans="1:27" outlineLevel="3">
      <c r="A10" s="376"/>
      <c r="B10" s="376" t="s">
        <v>173</v>
      </c>
      <c r="C10" s="387" t="s">
        <v>261</v>
      </c>
      <c r="D10" s="376" t="s">
        <v>17</v>
      </c>
      <c r="E10" s="376" t="s">
        <v>263</v>
      </c>
      <c r="F10" s="705" t="s">
        <v>1439</v>
      </c>
      <c r="H10" s="768">
        <v>1</v>
      </c>
      <c r="I10" s="626"/>
      <c r="J10" s="751"/>
      <c r="L10" s="376" t="s">
        <v>263</v>
      </c>
      <c r="M10" s="376"/>
      <c r="N10" s="376"/>
      <c r="O10" s="376"/>
      <c r="P10" s="376"/>
      <c r="Q10" s="376"/>
      <c r="R10" s="376"/>
      <c r="T10" s="751"/>
      <c r="W10" s="696"/>
      <c r="X10" s="610"/>
      <c r="Y10" s="610"/>
      <c r="Z10" s="610"/>
    </row>
    <row r="11" spans="1:27" outlineLevel="3">
      <c r="A11" s="376"/>
      <c r="B11" s="376" t="s">
        <v>173</v>
      </c>
      <c r="C11" s="387" t="s">
        <v>261</v>
      </c>
      <c r="D11" s="376" t="s">
        <v>17</v>
      </c>
      <c r="E11" s="376" t="s">
        <v>263</v>
      </c>
      <c r="F11" s="705" t="s">
        <v>1440</v>
      </c>
      <c r="H11" s="768">
        <v>1</v>
      </c>
      <c r="I11" s="626"/>
      <c r="J11" s="751"/>
      <c r="L11" s="376" t="s">
        <v>263</v>
      </c>
      <c r="M11" s="376"/>
      <c r="N11" s="376"/>
      <c r="O11" s="376"/>
      <c r="P11" s="376"/>
      <c r="Q11" s="376"/>
      <c r="R11" s="376"/>
      <c r="T11" s="751"/>
      <c r="W11" s="696"/>
      <c r="X11" s="610"/>
      <c r="Y11" s="610"/>
      <c r="Z11" s="610"/>
    </row>
    <row r="12" spans="1:27" outlineLevel="2">
      <c r="A12" s="376"/>
      <c r="B12" s="684" t="s">
        <v>173</v>
      </c>
      <c r="C12" s="684" t="s">
        <v>1441</v>
      </c>
      <c r="D12" s="684" t="s">
        <v>17</v>
      </c>
      <c r="E12" s="684"/>
      <c r="F12" s="685" t="s">
        <v>1441</v>
      </c>
      <c r="G12" s="691"/>
      <c r="H12" s="714">
        <f>SUBTOTAL(9,H13:H15)</f>
        <v>3</v>
      </c>
      <c r="I12" s="626"/>
      <c r="J12" s="751"/>
      <c r="L12" s="684"/>
      <c r="M12" s="684"/>
      <c r="N12" s="684"/>
      <c r="O12" s="684"/>
      <c r="P12" s="684"/>
      <c r="Q12" s="684"/>
      <c r="R12" s="684"/>
      <c r="T12" s="751"/>
      <c r="V12" s="691"/>
      <c r="W12" s="714">
        <f>SUBTOTAL(9,W13:W15)</f>
        <v>0</v>
      </c>
      <c r="X12" s="610"/>
      <c r="Y12" s="610"/>
      <c r="Z12" s="610"/>
    </row>
    <row r="13" spans="1:27" outlineLevel="3">
      <c r="A13" s="376"/>
      <c r="B13" s="376" t="s">
        <v>173</v>
      </c>
      <c r="C13" s="387" t="s">
        <v>261</v>
      </c>
      <c r="D13" s="376" t="s">
        <v>17</v>
      </c>
      <c r="E13" s="376" t="s">
        <v>263</v>
      </c>
      <c r="F13" s="705" t="s">
        <v>1438</v>
      </c>
      <c r="G13" s="695"/>
      <c r="H13" s="768">
        <v>1</v>
      </c>
      <c r="I13" s="626"/>
      <c r="J13" s="751"/>
      <c r="L13" s="376" t="s">
        <v>263</v>
      </c>
      <c r="M13" s="376"/>
      <c r="N13" s="376"/>
      <c r="O13" s="376"/>
      <c r="P13" s="376"/>
      <c r="Q13" s="376"/>
      <c r="R13" s="376"/>
      <c r="T13" s="751"/>
      <c r="V13" s="695"/>
      <c r="W13" s="696"/>
      <c r="X13" s="610"/>
      <c r="Y13" s="610"/>
      <c r="Z13" s="610"/>
    </row>
    <row r="14" spans="1:27" outlineLevel="3">
      <c r="A14" s="376"/>
      <c r="B14" s="376" t="s">
        <v>173</v>
      </c>
      <c r="C14" s="387" t="s">
        <v>261</v>
      </c>
      <c r="D14" s="376" t="s">
        <v>17</v>
      </c>
      <c r="E14" s="376" t="s">
        <v>263</v>
      </c>
      <c r="F14" s="705" t="s">
        <v>1439</v>
      </c>
      <c r="G14" s="695"/>
      <c r="H14" s="768">
        <v>1</v>
      </c>
      <c r="I14" s="626"/>
      <c r="J14" s="751"/>
      <c r="L14" s="376" t="s">
        <v>263</v>
      </c>
      <c r="M14" s="376"/>
      <c r="N14" s="376"/>
      <c r="O14" s="376"/>
      <c r="P14" s="376"/>
      <c r="Q14" s="376"/>
      <c r="R14" s="376"/>
      <c r="T14" s="751"/>
      <c r="V14" s="695"/>
      <c r="W14" s="696"/>
      <c r="X14" s="610"/>
      <c r="Y14" s="610"/>
      <c r="Z14" s="610"/>
    </row>
    <row r="15" spans="1:27" outlineLevel="3">
      <c r="A15" s="376"/>
      <c r="B15" s="376" t="s">
        <v>173</v>
      </c>
      <c r="C15" s="387" t="s">
        <v>261</v>
      </c>
      <c r="D15" s="376" t="s">
        <v>17</v>
      </c>
      <c r="E15" s="376" t="s">
        <v>263</v>
      </c>
      <c r="F15" s="705" t="s">
        <v>1440</v>
      </c>
      <c r="G15" s="695"/>
      <c r="H15" s="768">
        <v>1</v>
      </c>
      <c r="I15" s="626"/>
      <c r="J15" s="751"/>
      <c r="L15" s="376" t="s">
        <v>263</v>
      </c>
      <c r="M15" s="376"/>
      <c r="N15" s="376"/>
      <c r="O15" s="376"/>
      <c r="P15" s="376"/>
      <c r="Q15" s="376"/>
      <c r="R15" s="376"/>
      <c r="T15" s="751"/>
      <c r="V15" s="695"/>
      <c r="W15" s="696"/>
      <c r="X15" s="610"/>
      <c r="Y15" s="610"/>
      <c r="Z15" s="610"/>
    </row>
    <row r="16" spans="1:27" outlineLevel="2">
      <c r="A16" s="376"/>
      <c r="B16" s="684" t="s">
        <v>173</v>
      </c>
      <c r="C16" s="684" t="s">
        <v>1442</v>
      </c>
      <c r="D16" s="684" t="s">
        <v>17</v>
      </c>
      <c r="E16" s="684"/>
      <c r="F16" s="685" t="s">
        <v>1442</v>
      </c>
      <c r="G16" s="691"/>
      <c r="H16" s="714">
        <f>SUBTOTAL(9,H17:H19)</f>
        <v>3</v>
      </c>
      <c r="I16" s="626"/>
      <c r="J16" s="751"/>
      <c r="L16" s="684"/>
      <c r="M16" s="684"/>
      <c r="N16" s="684"/>
      <c r="O16" s="684"/>
      <c r="P16" s="684"/>
      <c r="Q16" s="684"/>
      <c r="R16" s="684"/>
      <c r="T16" s="751"/>
      <c r="V16" s="691"/>
      <c r="W16" s="714">
        <f>SUBTOTAL(9,W17:W19)</f>
        <v>0</v>
      </c>
      <c r="X16" s="610"/>
      <c r="Y16" s="610"/>
      <c r="Z16" s="610"/>
    </row>
    <row r="17" spans="2:23" outlineLevel="3">
      <c r="B17" s="376" t="s">
        <v>173</v>
      </c>
      <c r="C17" s="387" t="s">
        <v>261</v>
      </c>
      <c r="D17" s="376" t="s">
        <v>17</v>
      </c>
      <c r="E17" s="376" t="s">
        <v>263</v>
      </c>
      <c r="F17" s="705" t="s">
        <v>1438</v>
      </c>
      <c r="G17" s="695"/>
      <c r="H17" s="768">
        <v>1</v>
      </c>
      <c r="I17" s="626"/>
      <c r="J17" s="751"/>
      <c r="L17" s="376" t="s">
        <v>263</v>
      </c>
      <c r="M17" s="376"/>
      <c r="N17" s="376"/>
      <c r="O17" s="376"/>
      <c r="P17" s="376"/>
      <c r="Q17" s="376"/>
      <c r="R17" s="376"/>
      <c r="T17" s="751"/>
      <c r="V17" s="695"/>
      <c r="W17" s="696"/>
    </row>
    <row r="18" spans="2:23" outlineLevel="3">
      <c r="B18" s="376" t="s">
        <v>173</v>
      </c>
      <c r="C18" s="387" t="s">
        <v>261</v>
      </c>
      <c r="D18" s="376" t="s">
        <v>17</v>
      </c>
      <c r="E18" s="376" t="s">
        <v>263</v>
      </c>
      <c r="F18" s="705" t="s">
        <v>1439</v>
      </c>
      <c r="G18" s="695"/>
      <c r="H18" s="768">
        <v>1</v>
      </c>
      <c r="I18" s="626"/>
      <c r="J18" s="751"/>
      <c r="L18" s="376" t="s">
        <v>263</v>
      </c>
      <c r="M18" s="376"/>
      <c r="N18" s="376"/>
      <c r="O18" s="376"/>
      <c r="P18" s="376"/>
      <c r="Q18" s="376"/>
      <c r="R18" s="376"/>
      <c r="T18" s="751"/>
      <c r="V18" s="695"/>
      <c r="W18" s="696"/>
    </row>
    <row r="19" spans="2:23" outlineLevel="3">
      <c r="B19" s="376" t="s">
        <v>173</v>
      </c>
      <c r="C19" s="387" t="s">
        <v>261</v>
      </c>
      <c r="D19" s="376" t="s">
        <v>17</v>
      </c>
      <c r="E19" s="376" t="s">
        <v>263</v>
      </c>
      <c r="F19" s="705" t="s">
        <v>1440</v>
      </c>
      <c r="G19" s="695"/>
      <c r="H19" s="768">
        <v>1</v>
      </c>
      <c r="I19" s="626"/>
      <c r="J19" s="751"/>
      <c r="L19" s="376" t="s">
        <v>263</v>
      </c>
      <c r="M19" s="376"/>
      <c r="N19" s="376"/>
      <c r="O19" s="376"/>
      <c r="P19" s="376"/>
      <c r="Q19" s="376"/>
      <c r="R19" s="376"/>
      <c r="T19" s="751"/>
      <c r="V19" s="695"/>
      <c r="W19" s="696"/>
    </row>
    <row r="20" spans="2:23" outlineLevel="2">
      <c r="B20" s="684" t="s">
        <v>265</v>
      </c>
      <c r="C20" s="685" t="s">
        <v>1443</v>
      </c>
      <c r="D20" s="684" t="s">
        <v>17</v>
      </c>
      <c r="E20" s="684"/>
      <c r="F20" s="685" t="s">
        <v>1443</v>
      </c>
      <c r="G20" s="691">
        <f>SUBTOTAL(9,G21:G22)</f>
        <v>0</v>
      </c>
      <c r="H20" s="714">
        <f>SUBTOTAL(9,H21:H22)</f>
        <v>2</v>
      </c>
      <c r="I20" s="626"/>
      <c r="J20" s="751"/>
      <c r="L20" s="684"/>
      <c r="M20" s="684"/>
      <c r="N20" s="684"/>
      <c r="O20" s="684"/>
      <c r="P20" s="684"/>
      <c r="Q20" s="684"/>
      <c r="R20" s="684"/>
      <c r="T20" s="751"/>
      <c r="V20" s="691">
        <f>SUBTOTAL(9,V21:V22)</f>
        <v>0</v>
      </c>
      <c r="W20" s="714">
        <f>SUBTOTAL(9,W21:W22)</f>
        <v>0</v>
      </c>
    </row>
    <row r="21" spans="2:23" outlineLevel="3">
      <c r="B21" s="376" t="s">
        <v>265</v>
      </c>
      <c r="C21" s="387" t="s">
        <v>261</v>
      </c>
      <c r="D21" s="376" t="s">
        <v>17</v>
      </c>
      <c r="E21" s="376" t="s">
        <v>263</v>
      </c>
      <c r="F21" s="705" t="s">
        <v>1438</v>
      </c>
      <c r="H21" s="768">
        <v>1</v>
      </c>
      <c r="I21" s="626"/>
      <c r="J21" s="751"/>
      <c r="L21" s="376" t="s">
        <v>263</v>
      </c>
      <c r="M21" s="376"/>
      <c r="N21" s="376"/>
      <c r="O21" s="376"/>
      <c r="P21" s="376"/>
      <c r="Q21" s="376"/>
      <c r="R21" s="376"/>
      <c r="T21" s="751"/>
      <c r="W21" s="696"/>
    </row>
    <row r="22" spans="2:23" outlineLevel="3">
      <c r="B22" s="376" t="s">
        <v>265</v>
      </c>
      <c r="C22" s="387" t="s">
        <v>261</v>
      </c>
      <c r="D22" s="376" t="s">
        <v>17</v>
      </c>
      <c r="E22" s="376" t="s">
        <v>263</v>
      </c>
      <c r="F22" s="705" t="s">
        <v>1439</v>
      </c>
      <c r="H22" s="768">
        <v>1</v>
      </c>
      <c r="I22" s="626"/>
      <c r="J22" s="751"/>
      <c r="L22" s="376" t="s">
        <v>263</v>
      </c>
      <c r="M22" s="376"/>
      <c r="N22" s="376"/>
      <c r="O22" s="376"/>
      <c r="P22" s="376"/>
      <c r="Q22" s="376"/>
      <c r="R22" s="376"/>
      <c r="T22" s="751"/>
      <c r="W22" s="696"/>
    </row>
    <row r="23" spans="2:23" outlineLevel="2">
      <c r="B23" s="684" t="s">
        <v>265</v>
      </c>
      <c r="C23" s="685" t="s">
        <v>1444</v>
      </c>
      <c r="D23" s="684" t="s">
        <v>17</v>
      </c>
      <c r="E23" s="684"/>
      <c r="F23" s="685" t="s">
        <v>1444</v>
      </c>
      <c r="G23" s="691"/>
      <c r="H23" s="714">
        <f>SUBTOTAL(9,H24:H25)</f>
        <v>2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91"/>
      <c r="W23" s="714">
        <f>SUBTOTAL(9,W24:W25)</f>
        <v>0</v>
      </c>
    </row>
    <row r="24" spans="2:23" outlineLevel="3">
      <c r="B24" s="376" t="s">
        <v>265</v>
      </c>
      <c r="C24" s="387" t="s">
        <v>261</v>
      </c>
      <c r="D24" s="376" t="s">
        <v>17</v>
      </c>
      <c r="E24" s="376" t="s">
        <v>263</v>
      </c>
      <c r="F24" s="705" t="s">
        <v>1438</v>
      </c>
      <c r="G24" s="695"/>
      <c r="H24" s="768">
        <v>1</v>
      </c>
      <c r="I24" s="626"/>
      <c r="J24" s="751"/>
      <c r="L24" s="376" t="s">
        <v>263</v>
      </c>
      <c r="M24" s="376"/>
      <c r="N24" s="376"/>
      <c r="O24" s="376"/>
      <c r="P24" s="376"/>
      <c r="Q24" s="376"/>
      <c r="R24" s="376"/>
      <c r="T24" s="751"/>
      <c r="V24" s="695"/>
      <c r="W24" s="696"/>
    </row>
    <row r="25" spans="2:23" outlineLevel="3">
      <c r="B25" s="376" t="s">
        <v>265</v>
      </c>
      <c r="C25" s="387" t="s">
        <v>261</v>
      </c>
      <c r="D25" s="376" t="s">
        <v>17</v>
      </c>
      <c r="E25" s="376" t="s">
        <v>263</v>
      </c>
      <c r="F25" s="705" t="s">
        <v>1439</v>
      </c>
      <c r="G25" s="695"/>
      <c r="H25" s="768">
        <v>1</v>
      </c>
      <c r="I25" s="626"/>
      <c r="J25" s="751"/>
      <c r="L25" s="376" t="s">
        <v>263</v>
      </c>
      <c r="M25" s="376"/>
      <c r="N25" s="376"/>
      <c r="O25" s="376"/>
      <c r="P25" s="376"/>
      <c r="Q25" s="376"/>
      <c r="R25" s="376"/>
      <c r="T25" s="751"/>
      <c r="V25" s="695"/>
      <c r="W25" s="696"/>
    </row>
    <row r="26" spans="2:23" outlineLevel="2">
      <c r="B26" s="684" t="s">
        <v>265</v>
      </c>
      <c r="C26" s="685" t="s">
        <v>1445</v>
      </c>
      <c r="D26" s="684" t="s">
        <v>17</v>
      </c>
      <c r="E26" s="684"/>
      <c r="F26" s="685" t="s">
        <v>1445</v>
      </c>
      <c r="G26" s="691"/>
      <c r="H26" s="714">
        <f>SUBTOTAL(9,H27:H28)</f>
        <v>2</v>
      </c>
      <c r="I26" s="626"/>
      <c r="J26" s="751"/>
      <c r="L26" s="684"/>
      <c r="M26" s="684"/>
      <c r="N26" s="684"/>
      <c r="O26" s="684"/>
      <c r="P26" s="684"/>
      <c r="Q26" s="684"/>
      <c r="R26" s="684"/>
      <c r="T26" s="751"/>
      <c r="V26" s="691"/>
      <c r="W26" s="714">
        <f>SUBTOTAL(9,W27:W28)</f>
        <v>0</v>
      </c>
    </row>
    <row r="27" spans="2:23" outlineLevel="3">
      <c r="B27" s="376" t="s">
        <v>265</v>
      </c>
      <c r="C27" s="387" t="s">
        <v>261</v>
      </c>
      <c r="D27" s="376" t="s">
        <v>17</v>
      </c>
      <c r="E27" s="376" t="s">
        <v>263</v>
      </c>
      <c r="F27" s="705" t="s">
        <v>1438</v>
      </c>
      <c r="G27" s="695"/>
      <c r="H27" s="768">
        <v>1</v>
      </c>
      <c r="I27" s="626"/>
      <c r="J27" s="751"/>
      <c r="L27" s="376" t="s">
        <v>263</v>
      </c>
      <c r="M27" s="376"/>
      <c r="N27" s="376"/>
      <c r="O27" s="376"/>
      <c r="P27" s="376"/>
      <c r="Q27" s="376"/>
      <c r="R27" s="376"/>
      <c r="T27" s="751"/>
      <c r="V27" s="695"/>
      <c r="W27" s="696"/>
    </row>
    <row r="28" spans="2:23" outlineLevel="3">
      <c r="B28" s="376" t="s">
        <v>265</v>
      </c>
      <c r="C28" s="387" t="s">
        <v>261</v>
      </c>
      <c r="D28" s="376" t="s">
        <v>17</v>
      </c>
      <c r="E28" s="376" t="s">
        <v>263</v>
      </c>
      <c r="F28" s="705" t="s">
        <v>1439</v>
      </c>
      <c r="G28" s="695"/>
      <c r="H28" s="768">
        <v>1</v>
      </c>
      <c r="I28" s="626"/>
      <c r="J28" s="751"/>
      <c r="L28" s="376" t="s">
        <v>263</v>
      </c>
      <c r="M28" s="376"/>
      <c r="N28" s="376"/>
      <c r="O28" s="376"/>
      <c r="P28" s="376"/>
      <c r="Q28" s="376"/>
      <c r="R28" s="376"/>
      <c r="T28" s="751"/>
      <c r="V28" s="695"/>
      <c r="W28" s="696"/>
    </row>
    <row r="29" spans="2:23" outlineLevel="2">
      <c r="B29" s="684" t="s">
        <v>267</v>
      </c>
      <c r="C29" s="685" t="s">
        <v>1446</v>
      </c>
      <c r="D29" s="684" t="s">
        <v>17</v>
      </c>
      <c r="E29" s="684"/>
      <c r="F29" s="685" t="s">
        <v>1446</v>
      </c>
      <c r="G29" s="691"/>
      <c r="H29" s="714">
        <f>SUBTOTAL(9,H30:H32)</f>
        <v>3</v>
      </c>
      <c r="I29" s="626"/>
      <c r="J29" s="751"/>
      <c r="L29" s="684"/>
      <c r="M29" s="684"/>
      <c r="N29" s="684"/>
      <c r="O29" s="684"/>
      <c r="P29" s="684"/>
      <c r="Q29" s="684"/>
      <c r="R29" s="684"/>
      <c r="T29" s="751"/>
      <c r="V29" s="691"/>
      <c r="W29" s="714">
        <f>SUBTOTAL(9,W30:W32)</f>
        <v>0</v>
      </c>
    </row>
    <row r="30" spans="2:23" outlineLevel="3">
      <c r="B30" s="376" t="s">
        <v>267</v>
      </c>
      <c r="C30" s="387" t="s">
        <v>261</v>
      </c>
      <c r="D30" s="376" t="s">
        <v>17</v>
      </c>
      <c r="E30" s="376" t="s">
        <v>263</v>
      </c>
      <c r="F30" s="705" t="s">
        <v>1438</v>
      </c>
      <c r="G30" s="695"/>
      <c r="H30" s="768">
        <v>1</v>
      </c>
      <c r="I30" s="626"/>
      <c r="J30" s="751"/>
      <c r="L30" s="376" t="s">
        <v>263</v>
      </c>
      <c r="M30" s="376"/>
      <c r="N30" s="376"/>
      <c r="O30" s="376"/>
      <c r="P30" s="376"/>
      <c r="Q30" s="376"/>
      <c r="R30" s="376"/>
      <c r="T30" s="751"/>
      <c r="V30" s="695"/>
      <c r="W30" s="696"/>
    </row>
    <row r="31" spans="2:23" outlineLevel="3">
      <c r="B31" s="376" t="s">
        <v>267</v>
      </c>
      <c r="C31" s="387" t="s">
        <v>261</v>
      </c>
      <c r="D31" s="376" t="s">
        <v>17</v>
      </c>
      <c r="E31" s="376" t="s">
        <v>263</v>
      </c>
      <c r="F31" s="705" t="s">
        <v>1439</v>
      </c>
      <c r="G31" s="695"/>
      <c r="H31" s="768">
        <v>1</v>
      </c>
      <c r="I31" s="626"/>
      <c r="J31" s="751"/>
      <c r="L31" s="376" t="s">
        <v>263</v>
      </c>
      <c r="M31" s="376"/>
      <c r="N31" s="376"/>
      <c r="O31" s="376"/>
      <c r="P31" s="376"/>
      <c r="Q31" s="376"/>
      <c r="R31" s="376"/>
      <c r="T31" s="751"/>
      <c r="V31" s="695"/>
      <c r="W31" s="696"/>
    </row>
    <row r="32" spans="2:23" s="731" customFormat="1" outlineLevel="3">
      <c r="B32" s="376" t="s">
        <v>267</v>
      </c>
      <c r="C32" s="387" t="s">
        <v>261</v>
      </c>
      <c r="D32" s="376" t="s">
        <v>17</v>
      </c>
      <c r="E32" s="376" t="s">
        <v>263</v>
      </c>
      <c r="F32" s="705" t="s">
        <v>1440</v>
      </c>
      <c r="G32" s="609"/>
      <c r="H32" s="769">
        <v>1</v>
      </c>
      <c r="I32" s="626"/>
      <c r="J32" s="751"/>
      <c r="K32" s="416"/>
      <c r="L32" s="376" t="s">
        <v>263</v>
      </c>
      <c r="M32" s="376"/>
      <c r="N32" s="376"/>
      <c r="O32" s="376"/>
      <c r="P32" s="376"/>
      <c r="Q32" s="376"/>
      <c r="R32" s="376"/>
      <c r="S32" s="416"/>
      <c r="T32" s="751"/>
      <c r="U32" s="416"/>
      <c r="V32" s="609"/>
      <c r="W32" s="726"/>
    </row>
    <row r="33" spans="2:23" outlineLevel="2">
      <c r="B33" s="684" t="s">
        <v>267</v>
      </c>
      <c r="C33" s="685" t="s">
        <v>1447</v>
      </c>
      <c r="D33" s="684" t="s">
        <v>17</v>
      </c>
      <c r="E33" s="684"/>
      <c r="F33" s="685" t="s">
        <v>1447</v>
      </c>
      <c r="G33" s="691"/>
      <c r="H33" s="714">
        <f>SUBTOTAL(9,H34:H36)</f>
        <v>3</v>
      </c>
      <c r="I33" s="626"/>
      <c r="J33" s="751"/>
      <c r="L33" s="684"/>
      <c r="M33" s="684"/>
      <c r="N33" s="684"/>
      <c r="O33" s="684"/>
      <c r="P33" s="684"/>
      <c r="Q33" s="684"/>
      <c r="R33" s="684"/>
      <c r="T33" s="751"/>
      <c r="V33" s="691"/>
      <c r="W33" s="714">
        <f>SUBTOTAL(9,W34:W36)</f>
        <v>0</v>
      </c>
    </row>
    <row r="34" spans="2:23" outlineLevel="3">
      <c r="B34" s="376" t="s">
        <v>267</v>
      </c>
      <c r="C34" s="387" t="s">
        <v>261</v>
      </c>
      <c r="D34" s="376" t="s">
        <v>17</v>
      </c>
      <c r="E34" s="376" t="s">
        <v>263</v>
      </c>
      <c r="F34" s="705" t="s">
        <v>1438</v>
      </c>
      <c r="G34" s="695"/>
      <c r="H34" s="768">
        <v>1</v>
      </c>
      <c r="I34" s="626"/>
      <c r="J34" s="751"/>
      <c r="L34" s="376" t="s">
        <v>263</v>
      </c>
      <c r="M34" s="376"/>
      <c r="N34" s="376"/>
      <c r="O34" s="376"/>
      <c r="P34" s="376"/>
      <c r="Q34" s="376"/>
      <c r="R34" s="376"/>
      <c r="T34" s="751"/>
      <c r="V34" s="695"/>
      <c r="W34" s="696"/>
    </row>
    <row r="35" spans="2:23" outlineLevel="3">
      <c r="B35" s="376" t="s">
        <v>267</v>
      </c>
      <c r="C35" s="387" t="s">
        <v>261</v>
      </c>
      <c r="D35" s="376" t="s">
        <v>17</v>
      </c>
      <c r="E35" s="376" t="s">
        <v>263</v>
      </c>
      <c r="F35" s="705" t="s">
        <v>1439</v>
      </c>
      <c r="G35" s="695"/>
      <c r="H35" s="768">
        <v>1</v>
      </c>
      <c r="I35" s="626"/>
      <c r="J35" s="751"/>
      <c r="L35" s="376" t="s">
        <v>263</v>
      </c>
      <c r="M35" s="376"/>
      <c r="N35" s="376"/>
      <c r="O35" s="376"/>
      <c r="P35" s="376"/>
      <c r="Q35" s="376"/>
      <c r="R35" s="376"/>
      <c r="T35" s="751"/>
      <c r="V35" s="695"/>
      <c r="W35" s="696"/>
    </row>
    <row r="36" spans="2:23" s="731" customFormat="1" outlineLevel="3">
      <c r="B36" s="376" t="s">
        <v>267</v>
      </c>
      <c r="C36" s="387" t="s">
        <v>261</v>
      </c>
      <c r="D36" s="376" t="s">
        <v>17</v>
      </c>
      <c r="E36" s="376" t="s">
        <v>263</v>
      </c>
      <c r="F36" s="705" t="s">
        <v>1440</v>
      </c>
      <c r="G36" s="609"/>
      <c r="H36" s="769">
        <v>1</v>
      </c>
      <c r="I36" s="626"/>
      <c r="J36" s="751"/>
      <c r="K36" s="416"/>
      <c r="L36" s="376" t="s">
        <v>263</v>
      </c>
      <c r="M36" s="376"/>
      <c r="N36" s="376"/>
      <c r="O36" s="376"/>
      <c r="P36" s="376"/>
      <c r="Q36" s="376"/>
      <c r="R36" s="376"/>
      <c r="S36" s="416"/>
      <c r="T36" s="751"/>
      <c r="U36" s="416"/>
      <c r="V36" s="609"/>
      <c r="W36" s="726"/>
    </row>
    <row r="37" spans="2:23" ht="18" customHeight="1" outlineLevel="2">
      <c r="B37" s="684" t="s">
        <v>269</v>
      </c>
      <c r="C37" s="685" t="s">
        <v>1448</v>
      </c>
      <c r="D37" s="684" t="s">
        <v>17</v>
      </c>
      <c r="E37" s="684"/>
      <c r="F37" s="685" t="s">
        <v>1448</v>
      </c>
      <c r="G37" s="691"/>
      <c r="H37" s="730">
        <f>SUBTOTAL(9,H38)</f>
        <v>1</v>
      </c>
      <c r="I37" s="626"/>
      <c r="J37" s="751"/>
      <c r="L37" s="684"/>
      <c r="M37" s="684"/>
      <c r="N37" s="684"/>
      <c r="O37" s="684"/>
      <c r="P37" s="684"/>
      <c r="Q37" s="684"/>
      <c r="R37" s="684"/>
      <c r="T37" s="751"/>
      <c r="V37" s="691"/>
      <c r="W37" s="730">
        <f>SUBTOTAL(9,W38)</f>
        <v>0</v>
      </c>
    </row>
    <row r="38" spans="2:23" outlineLevel="3">
      <c r="B38" s="376" t="s">
        <v>269</v>
      </c>
      <c r="C38" s="387" t="s">
        <v>261</v>
      </c>
      <c r="D38" s="376" t="s">
        <v>17</v>
      </c>
      <c r="E38" s="376" t="s">
        <v>263</v>
      </c>
      <c r="F38" s="705" t="s">
        <v>1438</v>
      </c>
      <c r="G38" s="695"/>
      <c r="H38" s="768">
        <v>1</v>
      </c>
      <c r="I38" s="626"/>
      <c r="J38" s="751"/>
      <c r="L38" s="376" t="s">
        <v>263</v>
      </c>
      <c r="M38" s="376"/>
      <c r="N38" s="376"/>
      <c r="O38" s="376"/>
      <c r="P38" s="376"/>
      <c r="Q38" s="376"/>
      <c r="R38" s="376"/>
      <c r="T38" s="751"/>
      <c r="V38" s="695"/>
      <c r="W38" s="696"/>
    </row>
    <row r="39" spans="2:23" outlineLevel="2">
      <c r="B39" s="684" t="s">
        <v>271</v>
      </c>
      <c r="C39" s="684" t="s">
        <v>1449</v>
      </c>
      <c r="D39" s="684" t="s">
        <v>17</v>
      </c>
      <c r="E39" s="684"/>
      <c r="F39" s="685" t="s">
        <v>1449</v>
      </c>
      <c r="G39" s="686"/>
      <c r="H39" s="714">
        <f>SUBTOTAL(9,H40:H41)</f>
        <v>2</v>
      </c>
      <c r="I39" s="626"/>
      <c r="J39" s="751"/>
      <c r="L39" s="684"/>
      <c r="M39" s="684"/>
      <c r="N39" s="684"/>
      <c r="O39" s="684"/>
      <c r="P39" s="684"/>
      <c r="Q39" s="684"/>
      <c r="R39" s="684"/>
      <c r="T39" s="751"/>
      <c r="V39" s="686"/>
      <c r="W39" s="714">
        <f>SUBTOTAL(9,W40:W41)</f>
        <v>0</v>
      </c>
    </row>
    <row r="40" spans="2:23" outlineLevel="3">
      <c r="B40" s="376" t="s">
        <v>271</v>
      </c>
      <c r="C40" s="387" t="s">
        <v>261</v>
      </c>
      <c r="D40" s="376" t="s">
        <v>17</v>
      </c>
      <c r="E40" s="376" t="s">
        <v>263</v>
      </c>
      <c r="F40" s="705" t="s">
        <v>1438</v>
      </c>
      <c r="H40" s="769">
        <v>1</v>
      </c>
      <c r="I40" s="626"/>
      <c r="J40" s="751"/>
      <c r="L40" s="376" t="s">
        <v>263</v>
      </c>
      <c r="M40" s="376"/>
      <c r="N40" s="376"/>
      <c r="O40" s="376"/>
      <c r="P40" s="376"/>
      <c r="Q40" s="376"/>
      <c r="R40" s="376"/>
      <c r="T40" s="751"/>
      <c r="W40" s="726"/>
    </row>
    <row r="41" spans="2:23" outlineLevel="3">
      <c r="B41" s="376" t="s">
        <v>271</v>
      </c>
      <c r="C41" s="387" t="s">
        <v>261</v>
      </c>
      <c r="D41" s="376" t="s">
        <v>17</v>
      </c>
      <c r="E41" s="376" t="s">
        <v>263</v>
      </c>
      <c r="F41" s="705" t="s">
        <v>1439</v>
      </c>
      <c r="H41" s="769">
        <v>1</v>
      </c>
      <c r="I41" s="626"/>
      <c r="J41" s="751"/>
      <c r="L41" s="376" t="s">
        <v>263</v>
      </c>
      <c r="M41" s="376"/>
      <c r="N41" s="376"/>
      <c r="O41" s="376"/>
      <c r="P41" s="376"/>
      <c r="Q41" s="376"/>
      <c r="R41" s="376"/>
      <c r="T41" s="751"/>
      <c r="W41" s="726"/>
    </row>
    <row r="42" spans="2:23" outlineLevel="2">
      <c r="B42" s="684" t="s">
        <v>271</v>
      </c>
      <c r="C42" s="684" t="s">
        <v>1450</v>
      </c>
      <c r="D42" s="684" t="s">
        <v>17</v>
      </c>
      <c r="E42" s="684"/>
      <c r="F42" s="685" t="s">
        <v>1450</v>
      </c>
      <c r="G42" s="686"/>
      <c r="H42" s="714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/>
      <c r="W42" s="714">
        <f>SUBTOTAL(9,W43:W44)</f>
        <v>0</v>
      </c>
    </row>
    <row r="43" spans="2:23" outlineLevel="3">
      <c r="B43" s="376" t="s">
        <v>271</v>
      </c>
      <c r="C43" s="387" t="s">
        <v>261</v>
      </c>
      <c r="D43" s="376" t="s">
        <v>17</v>
      </c>
      <c r="E43" s="376" t="s">
        <v>263</v>
      </c>
      <c r="F43" s="705" t="s">
        <v>1438</v>
      </c>
      <c r="G43" s="609"/>
      <c r="H43" s="769">
        <v>1</v>
      </c>
      <c r="I43" s="626"/>
      <c r="J43" s="751"/>
      <c r="L43" s="376" t="s">
        <v>263</v>
      </c>
      <c r="M43" s="376"/>
      <c r="N43" s="376"/>
      <c r="O43" s="376"/>
      <c r="P43" s="376"/>
      <c r="Q43" s="376"/>
      <c r="R43" s="376"/>
      <c r="T43" s="751"/>
      <c r="V43" s="609"/>
      <c r="W43" s="726"/>
    </row>
    <row r="44" spans="2:23" outlineLevel="3">
      <c r="B44" s="376" t="s">
        <v>271</v>
      </c>
      <c r="C44" s="387" t="s">
        <v>261</v>
      </c>
      <c r="D44" s="376" t="s">
        <v>17</v>
      </c>
      <c r="E44" s="376" t="s">
        <v>263</v>
      </c>
      <c r="F44" s="705" t="s">
        <v>1439</v>
      </c>
      <c r="G44" s="609"/>
      <c r="H44" s="769">
        <v>1</v>
      </c>
      <c r="I44" s="626"/>
      <c r="J44" s="751"/>
      <c r="L44" s="376" t="s">
        <v>263</v>
      </c>
      <c r="M44" s="376"/>
      <c r="N44" s="376"/>
      <c r="O44" s="376"/>
      <c r="P44" s="376"/>
      <c r="Q44" s="376"/>
      <c r="R44" s="376"/>
      <c r="T44" s="751"/>
      <c r="V44" s="609"/>
      <c r="W44" s="726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1633</v>
      </c>
      <c r="C46" s="430"/>
      <c r="D46" s="430"/>
      <c r="E46" s="430"/>
      <c r="F46" s="697"/>
      <c r="G46" s="738">
        <f>SUBTOTAL(9,G48:G315)</f>
        <v>0.349304</v>
      </c>
      <c r="H46" s="739">
        <f>SUBTOTAL(9,H48:H315)</f>
        <v>4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SUBTOTAL(9,V51:V315)</f>
        <v>0</v>
      </c>
      <c r="W46" s="739">
        <f>SUBTOTAL(9,W51:W315)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6" t="s">
        <v>897</v>
      </c>
      <c r="C48" s="666" t="s">
        <v>1634</v>
      </c>
      <c r="D48" s="667"/>
      <c r="E48" s="665"/>
      <c r="F48" s="681" t="s">
        <v>262</v>
      </c>
      <c r="G48" s="802">
        <f>SUBTOTAL(9,G49:G50)</f>
        <v>0.349304</v>
      </c>
      <c r="H48" s="725">
        <f>SUBTOTAL(9,H49:H50)</f>
        <v>4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SUBTOTAL(9,V49:V50)</f>
        <v>0</v>
      </c>
      <c r="W48" s="725">
        <f>SUBTOTAL(9,W49:W50)</f>
        <v>0</v>
      </c>
    </row>
    <row r="49" spans="2:23" outlineLevel="2">
      <c r="B49" s="684" t="s">
        <v>1640</v>
      </c>
      <c r="C49" s="687" t="s">
        <v>1641</v>
      </c>
      <c r="D49" s="684" t="s">
        <v>897</v>
      </c>
      <c r="E49" s="684"/>
      <c r="F49" s="685"/>
      <c r="G49" s="686">
        <f>SUBTOTAL(9,G50:G50)</f>
        <v>0.349304</v>
      </c>
      <c r="H49" s="691">
        <f>SUBTOTAL(9,H50:H50)</f>
        <v>4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SUBTOTAL(9,V50:V50)</f>
        <v>0</v>
      </c>
      <c r="W49" s="691">
        <f>SUBTOTAL(9,W50:W50)</f>
        <v>0</v>
      </c>
    </row>
    <row r="50" spans="2:23" outlineLevel="3">
      <c r="B50" s="376" t="s">
        <v>1640</v>
      </c>
      <c r="C50" s="803" t="s">
        <v>1641</v>
      </c>
      <c r="D50" s="376" t="s">
        <v>897</v>
      </c>
      <c r="E50" s="376" t="s">
        <v>263</v>
      </c>
      <c r="F50" s="608" t="s">
        <v>1642</v>
      </c>
      <c r="G50" s="706">
        <v>0.349304</v>
      </c>
      <c r="H50" s="692">
        <v>4</v>
      </c>
      <c r="I50" s="626"/>
      <c r="J50" s="751"/>
      <c r="L50" s="376"/>
      <c r="M50" s="376"/>
      <c r="N50" s="376"/>
      <c r="O50" s="376"/>
      <c r="P50" s="376"/>
      <c r="Q50" s="376"/>
      <c r="R50" s="376"/>
      <c r="T50" s="751"/>
      <c r="V50" s="609">
        <f t="shared" ref="V50" si="0">IF(W50=1,G50,0)</f>
        <v>0</v>
      </c>
      <c r="W50" s="692"/>
    </row>
  </sheetData>
  <autoFilter ref="B4:W4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D3-BA0E-4F73-84A6-ED99DCC57154}">
  <sheetPr codeName="Sheet7">
    <outlinePr summaryBelow="0" summaryRight="0"/>
  </sheetPr>
  <dimension ref="B3:K453"/>
  <sheetViews>
    <sheetView zoomScaleNormal="100" workbookViewId="0">
      <selection activeCell="D11" sqref="D11"/>
    </sheetView>
  </sheetViews>
  <sheetFormatPr defaultRowHeight="13.2" outlineLevelRow="1"/>
  <cols>
    <col min="2" max="2" width="18.6640625" customWidth="1"/>
    <col min="3" max="3" width="18.33203125" bestFit="1" customWidth="1"/>
    <col min="4" max="4" width="13.6640625" bestFit="1" customWidth="1"/>
    <col min="5" max="5" width="2" bestFit="1" customWidth="1"/>
    <col min="6" max="6" width="14.5546875" bestFit="1" customWidth="1"/>
    <col min="7" max="7" width="26.6640625" bestFit="1" customWidth="1"/>
    <col min="8" max="8" width="57.33203125" bestFit="1" customWidth="1"/>
    <col min="9" max="9" width="37.33203125" bestFit="1" customWidth="1"/>
    <col min="10" max="10" width="55.6640625" bestFit="1" customWidth="1"/>
    <col min="11" max="11" width="26.6640625" bestFit="1" customWidth="1"/>
    <col min="12" max="12" width="52.33203125" bestFit="1" customWidth="1"/>
    <col min="13" max="13" width="51.33203125" bestFit="1" customWidth="1"/>
    <col min="14" max="14" width="59.6640625" bestFit="1" customWidth="1"/>
    <col min="15" max="15" width="32.6640625" bestFit="1" customWidth="1"/>
    <col min="16" max="16" width="19.6640625" bestFit="1" customWidth="1"/>
    <col min="17" max="17" width="20.44140625" bestFit="1" customWidth="1"/>
    <col min="18" max="18" width="47.6640625" bestFit="1" customWidth="1"/>
    <col min="19" max="20" width="28.6640625" bestFit="1" customWidth="1"/>
    <col min="21" max="21" width="26" bestFit="1" customWidth="1"/>
    <col min="22" max="22" width="62" bestFit="1" customWidth="1"/>
    <col min="23" max="23" width="68.6640625" bestFit="1" customWidth="1"/>
    <col min="24" max="24" width="41.44140625" bestFit="1" customWidth="1"/>
    <col min="25" max="25" width="26" bestFit="1" customWidth="1"/>
    <col min="26" max="26" width="31.6640625" bestFit="1" customWidth="1"/>
    <col min="27" max="27" width="32.6640625" bestFit="1" customWidth="1"/>
    <col min="28" max="28" width="44.33203125" bestFit="1" customWidth="1"/>
    <col min="29" max="29" width="21.6640625" bestFit="1" customWidth="1"/>
    <col min="30" max="30" width="19.6640625" bestFit="1" customWidth="1"/>
    <col min="31" max="31" width="23.6640625" bestFit="1" customWidth="1"/>
    <col min="32" max="32" width="31.6640625" bestFit="1" customWidth="1"/>
    <col min="33" max="33" width="29.33203125" bestFit="1" customWidth="1"/>
    <col min="34" max="34" width="27.6640625" bestFit="1" customWidth="1"/>
    <col min="35" max="35" width="32.5546875" bestFit="1" customWidth="1"/>
    <col min="36" max="36" width="40" bestFit="1" customWidth="1"/>
    <col min="37" max="37" width="57.44140625" bestFit="1" customWidth="1"/>
    <col min="38" max="38" width="103.6640625" bestFit="1" customWidth="1"/>
    <col min="39" max="39" width="29.33203125" bestFit="1" customWidth="1"/>
    <col min="40" max="40" width="29.6640625" bestFit="1" customWidth="1"/>
    <col min="41" max="41" width="30.44140625" bestFit="1" customWidth="1"/>
    <col min="42" max="42" width="34.33203125" bestFit="1" customWidth="1"/>
    <col min="43" max="43" width="28.5546875" bestFit="1" customWidth="1"/>
    <col min="44" max="44" width="29.33203125" bestFit="1" customWidth="1"/>
    <col min="45" max="45" width="95.6640625" bestFit="1" customWidth="1"/>
    <col min="46" max="46" width="37" bestFit="1" customWidth="1"/>
    <col min="47" max="47" width="68.5546875" bestFit="1" customWidth="1"/>
    <col min="48" max="48" width="51.5546875" bestFit="1" customWidth="1"/>
    <col min="49" max="50" width="27.6640625" bestFit="1" customWidth="1"/>
    <col min="51" max="51" width="27.5546875" bestFit="1" customWidth="1"/>
    <col min="52" max="52" width="54.5546875" bestFit="1" customWidth="1"/>
    <col min="53" max="53" width="39.6640625" bestFit="1" customWidth="1"/>
    <col min="54" max="54" width="46.33203125" bestFit="1" customWidth="1"/>
    <col min="55" max="55" width="28.33203125" bestFit="1" customWidth="1"/>
    <col min="56" max="56" width="66" bestFit="1" customWidth="1"/>
    <col min="57" max="57" width="82.6640625" bestFit="1" customWidth="1"/>
    <col min="58" max="58" width="50.5546875" bestFit="1" customWidth="1"/>
    <col min="59" max="59" width="37.33203125" bestFit="1" customWidth="1"/>
    <col min="60" max="60" width="45.33203125" bestFit="1" customWidth="1"/>
    <col min="61" max="61" width="43" bestFit="1" customWidth="1"/>
    <col min="62" max="62" width="42.6640625" bestFit="1" customWidth="1"/>
    <col min="63" max="63" width="45.5546875" bestFit="1" customWidth="1"/>
    <col min="64" max="64" width="42.6640625" bestFit="1" customWidth="1"/>
    <col min="65" max="65" width="43.44140625" bestFit="1" customWidth="1"/>
    <col min="66" max="66" width="58.33203125" bestFit="1" customWidth="1"/>
    <col min="67" max="67" width="51.5546875" bestFit="1" customWidth="1"/>
    <col min="68" max="68" width="45.6640625" bestFit="1" customWidth="1"/>
    <col min="69" max="69" width="34" bestFit="1" customWidth="1"/>
    <col min="70" max="70" width="25.6640625" bestFit="1" customWidth="1"/>
    <col min="71" max="71" width="39" bestFit="1" customWidth="1"/>
    <col min="72" max="73" width="53.33203125" bestFit="1" customWidth="1"/>
    <col min="74" max="74" width="37.6640625" bestFit="1" customWidth="1"/>
    <col min="75" max="75" width="53.6640625" bestFit="1" customWidth="1"/>
    <col min="76" max="76" width="28.33203125" bestFit="1" customWidth="1"/>
    <col min="77" max="77" width="24.33203125" bestFit="1" customWidth="1"/>
    <col min="78" max="78" width="21.33203125" bestFit="1" customWidth="1"/>
    <col min="79" max="79" width="43.33203125" bestFit="1" customWidth="1"/>
    <col min="80" max="80" width="18.44140625" bestFit="1" customWidth="1"/>
    <col min="81" max="81" width="40.33203125" bestFit="1" customWidth="1"/>
    <col min="82" max="82" width="27.5546875" bestFit="1" customWidth="1"/>
    <col min="83" max="83" width="30.44140625" bestFit="1" customWidth="1"/>
    <col min="84" max="84" width="55.5546875" bestFit="1" customWidth="1"/>
    <col min="85" max="85" width="32" bestFit="1" customWidth="1"/>
    <col min="86" max="86" width="52.6640625" bestFit="1" customWidth="1"/>
    <col min="87" max="87" width="29.33203125" bestFit="1" customWidth="1"/>
    <col min="88" max="88" width="46.33203125" bestFit="1" customWidth="1"/>
    <col min="89" max="89" width="26.6640625" bestFit="1" customWidth="1"/>
    <col min="90" max="90" width="42" bestFit="1" customWidth="1"/>
    <col min="91" max="91" width="31.33203125" bestFit="1" customWidth="1"/>
    <col min="92" max="92" width="47.33203125" bestFit="1" customWidth="1"/>
    <col min="93" max="93" width="90.33203125" bestFit="1" customWidth="1"/>
    <col min="94" max="94" width="62.33203125" bestFit="1" customWidth="1"/>
    <col min="95" max="95" width="35.33203125" bestFit="1" customWidth="1"/>
    <col min="96" max="96" width="34.6640625" bestFit="1" customWidth="1"/>
    <col min="97" max="97" width="39.6640625" bestFit="1" customWidth="1"/>
    <col min="98" max="98" width="32.33203125" bestFit="1" customWidth="1"/>
    <col min="99" max="99" width="35.44140625" bestFit="1" customWidth="1"/>
    <col min="100" max="100" width="39.6640625" bestFit="1" customWidth="1"/>
    <col min="101" max="101" width="32" bestFit="1" customWidth="1"/>
    <col min="102" max="102" width="34" bestFit="1" customWidth="1"/>
    <col min="103" max="103" width="34.44140625" bestFit="1" customWidth="1"/>
    <col min="104" max="104" width="34" bestFit="1" customWidth="1"/>
    <col min="105" max="105" width="39.33203125" bestFit="1" customWidth="1"/>
    <col min="106" max="106" width="31.33203125" bestFit="1" customWidth="1"/>
    <col min="107" max="107" width="20.5546875" bestFit="1" customWidth="1"/>
    <col min="108" max="108" width="41" bestFit="1" customWidth="1"/>
    <col min="109" max="109" width="25.6640625" bestFit="1" customWidth="1"/>
    <col min="110" max="110" width="27.5546875" bestFit="1" customWidth="1"/>
    <col min="111" max="111" width="54" bestFit="1" customWidth="1"/>
    <col min="112" max="113" width="26.6640625" bestFit="1" customWidth="1"/>
    <col min="114" max="114" width="43.33203125" bestFit="1" customWidth="1"/>
    <col min="115" max="115" width="19" bestFit="1" customWidth="1"/>
    <col min="116" max="116" width="27.33203125" bestFit="1" customWidth="1"/>
    <col min="117" max="117" width="26.33203125" bestFit="1" customWidth="1"/>
    <col min="118" max="118" width="43" bestFit="1" customWidth="1"/>
    <col min="119" max="119" width="47.6640625" bestFit="1" customWidth="1"/>
    <col min="120" max="120" width="56.44140625" bestFit="1" customWidth="1"/>
    <col min="121" max="122" width="25.6640625" bestFit="1" customWidth="1"/>
    <col min="123" max="123" width="93.44140625" bestFit="1" customWidth="1"/>
    <col min="124" max="124" width="71.5546875" bestFit="1" customWidth="1"/>
    <col min="125" max="125" width="32.6640625" bestFit="1" customWidth="1"/>
    <col min="126" max="126" width="33.44140625" bestFit="1" customWidth="1"/>
    <col min="127" max="127" width="44.6640625" bestFit="1" customWidth="1"/>
    <col min="128" max="128" width="46.5546875" bestFit="1" customWidth="1"/>
    <col min="129" max="129" width="42.33203125" bestFit="1" customWidth="1"/>
    <col min="130" max="130" width="41.44140625" bestFit="1" customWidth="1"/>
    <col min="131" max="131" width="33.44140625" bestFit="1" customWidth="1"/>
    <col min="132" max="132" width="44.6640625" bestFit="1" customWidth="1"/>
    <col min="133" max="133" width="40.6640625" bestFit="1" customWidth="1"/>
    <col min="134" max="134" width="40" bestFit="1" customWidth="1"/>
    <col min="135" max="135" width="36.6640625" bestFit="1" customWidth="1"/>
    <col min="136" max="137" width="42.33203125" bestFit="1" customWidth="1"/>
    <col min="138" max="138" width="41.44140625" bestFit="1" customWidth="1"/>
    <col min="139" max="139" width="33.44140625" bestFit="1" customWidth="1"/>
    <col min="140" max="140" width="31.6640625" bestFit="1" customWidth="1"/>
    <col min="141" max="141" width="45.33203125" bestFit="1" customWidth="1"/>
    <col min="142" max="142" width="42.6640625" bestFit="1" customWidth="1"/>
    <col min="143" max="143" width="48.44140625" bestFit="1" customWidth="1"/>
    <col min="144" max="145" width="92.6640625" bestFit="1" customWidth="1"/>
    <col min="146" max="146" width="39.5546875" bestFit="1" customWidth="1"/>
    <col min="147" max="147" width="92.6640625" bestFit="1" customWidth="1"/>
    <col min="148" max="148" width="39.5546875" bestFit="1" customWidth="1"/>
    <col min="149" max="149" width="39.33203125" bestFit="1" customWidth="1"/>
    <col min="150" max="150" width="38.5546875" bestFit="1" customWidth="1"/>
    <col min="151" max="151" width="39.44140625" bestFit="1" customWidth="1"/>
    <col min="152" max="152" width="38.6640625" bestFit="1" customWidth="1"/>
    <col min="153" max="153" width="35.6640625" bestFit="1" customWidth="1"/>
    <col min="154" max="154" width="39.44140625" bestFit="1" customWidth="1"/>
    <col min="155" max="155" width="38.6640625" bestFit="1" customWidth="1"/>
    <col min="156" max="156" width="35.6640625" bestFit="1" customWidth="1"/>
    <col min="157" max="157" width="39.44140625" bestFit="1" customWidth="1"/>
    <col min="158" max="158" width="38.6640625" bestFit="1" customWidth="1"/>
    <col min="159" max="159" width="35.6640625" bestFit="1" customWidth="1"/>
    <col min="160" max="160" width="39.44140625" bestFit="1" customWidth="1"/>
    <col min="161" max="161" width="38.6640625" bestFit="1" customWidth="1"/>
    <col min="162" max="162" width="35.6640625" bestFit="1" customWidth="1"/>
    <col min="163" max="163" width="33.6640625" bestFit="1" customWidth="1"/>
    <col min="164" max="164" width="58" bestFit="1" customWidth="1"/>
    <col min="165" max="165" width="36.6640625" bestFit="1" customWidth="1"/>
    <col min="166" max="166" width="62" bestFit="1" customWidth="1"/>
    <col min="167" max="167" width="60.33203125" bestFit="1" customWidth="1"/>
    <col min="168" max="168" width="60.6640625" bestFit="1" customWidth="1"/>
    <col min="169" max="169" width="41.44140625" bestFit="1" customWidth="1"/>
    <col min="170" max="170" width="62" bestFit="1" customWidth="1"/>
    <col min="171" max="171" width="60.33203125" bestFit="1" customWidth="1"/>
    <col min="172" max="172" width="60.6640625" bestFit="1" customWidth="1"/>
    <col min="173" max="173" width="41.44140625" bestFit="1" customWidth="1"/>
    <col min="174" max="174" width="61.6640625" bestFit="1" customWidth="1"/>
    <col min="175" max="175" width="62" bestFit="1" customWidth="1"/>
    <col min="176" max="176" width="60.33203125" bestFit="1" customWidth="1"/>
    <col min="177" max="177" width="62" bestFit="1" customWidth="1"/>
    <col min="178" max="178" width="60.33203125" bestFit="1" customWidth="1"/>
    <col min="179" max="179" width="60.6640625" bestFit="1" customWidth="1"/>
    <col min="180" max="180" width="41.44140625" bestFit="1" customWidth="1"/>
    <col min="181" max="181" width="33.44140625" bestFit="1" customWidth="1"/>
    <col min="182" max="182" width="67.33203125" bestFit="1" customWidth="1"/>
    <col min="183" max="183" width="48.33203125" bestFit="1" customWidth="1"/>
    <col min="184" max="184" width="54.5546875" bestFit="1" customWidth="1"/>
    <col min="185" max="185" width="79.6640625" bestFit="1" customWidth="1"/>
    <col min="186" max="186" width="65.6640625" bestFit="1" customWidth="1"/>
    <col min="187" max="187" width="17.5546875" bestFit="1" customWidth="1"/>
    <col min="188" max="188" width="43.33203125" bestFit="1" customWidth="1"/>
    <col min="189" max="189" width="41.44140625" bestFit="1" customWidth="1"/>
    <col min="190" max="190" width="44.33203125" bestFit="1" customWidth="1"/>
    <col min="191" max="191" width="56.6640625" bestFit="1" customWidth="1"/>
    <col min="192" max="192" width="45.44140625" bestFit="1" customWidth="1"/>
    <col min="193" max="193" width="36.33203125" bestFit="1" customWidth="1"/>
    <col min="194" max="194" width="52.33203125" bestFit="1" customWidth="1"/>
    <col min="195" max="195" width="26.44140625" bestFit="1" customWidth="1"/>
    <col min="196" max="196" width="37.33203125" bestFit="1" customWidth="1"/>
    <col min="197" max="197" width="27.33203125" bestFit="1" customWidth="1"/>
    <col min="198" max="198" width="49.6640625" bestFit="1" customWidth="1"/>
    <col min="199" max="200" width="38.6640625" bestFit="1" customWidth="1"/>
    <col min="201" max="201" width="48.33203125" bestFit="1" customWidth="1"/>
    <col min="202" max="202" width="45.33203125" bestFit="1" customWidth="1"/>
    <col min="203" max="203" width="36" bestFit="1" customWidth="1"/>
    <col min="204" max="204" width="20.6640625" bestFit="1" customWidth="1"/>
    <col min="205" max="205" width="36.33203125" bestFit="1" customWidth="1"/>
    <col min="206" max="206" width="19" bestFit="1" customWidth="1"/>
    <col min="207" max="207" width="20.33203125" bestFit="1" customWidth="1"/>
    <col min="208" max="208" width="33" bestFit="1" customWidth="1"/>
    <col min="209" max="209" width="30" bestFit="1" customWidth="1"/>
    <col min="210" max="210" width="52.6640625" bestFit="1" customWidth="1"/>
    <col min="211" max="211" width="25.6640625" bestFit="1" customWidth="1"/>
    <col min="212" max="213" width="37.6640625" bestFit="1" customWidth="1"/>
    <col min="214" max="214" width="25.5546875" bestFit="1" customWidth="1"/>
    <col min="215" max="215" width="17.6640625" bestFit="1" customWidth="1"/>
    <col min="216" max="216" width="26" bestFit="1" customWidth="1"/>
    <col min="217" max="217" width="44.5546875" bestFit="1" customWidth="1"/>
    <col min="218" max="218" width="42.33203125" bestFit="1" customWidth="1"/>
    <col min="219" max="219" width="32" bestFit="1" customWidth="1"/>
    <col min="220" max="220" width="45.5546875" bestFit="1" customWidth="1"/>
    <col min="221" max="221" width="21.5546875" bestFit="1" customWidth="1"/>
    <col min="222" max="222" width="52" bestFit="1" customWidth="1"/>
    <col min="223" max="223" width="41.5546875" bestFit="1" customWidth="1"/>
    <col min="224" max="224" width="52.33203125" bestFit="1" customWidth="1"/>
    <col min="225" max="225" width="50.6640625" bestFit="1" customWidth="1"/>
    <col min="226" max="226" width="36.33203125" bestFit="1" customWidth="1"/>
    <col min="227" max="227" width="33.6640625" bestFit="1" customWidth="1"/>
    <col min="228" max="228" width="59.6640625" bestFit="1" customWidth="1"/>
    <col min="229" max="229" width="49.6640625" bestFit="1" customWidth="1"/>
    <col min="230" max="230" width="18.44140625" bestFit="1" customWidth="1"/>
    <col min="231" max="231" width="20.6640625" bestFit="1" customWidth="1"/>
    <col min="232" max="232" width="15.6640625" bestFit="1" customWidth="1"/>
    <col min="233" max="233" width="80" bestFit="1" customWidth="1"/>
    <col min="234" max="234" width="42.33203125" bestFit="1" customWidth="1"/>
    <col min="235" max="235" width="48" bestFit="1" customWidth="1"/>
    <col min="236" max="237" width="43.33203125" bestFit="1" customWidth="1"/>
    <col min="238" max="238" width="41" bestFit="1" customWidth="1"/>
    <col min="239" max="239" width="46.44140625" bestFit="1" customWidth="1"/>
    <col min="240" max="240" width="86.33203125" bestFit="1" customWidth="1"/>
    <col min="241" max="241" width="54.33203125" bestFit="1" customWidth="1"/>
    <col min="242" max="242" width="79.6640625" bestFit="1" customWidth="1"/>
    <col min="243" max="244" width="46.33203125" bestFit="1" customWidth="1"/>
    <col min="245" max="247" width="43.33203125" bestFit="1" customWidth="1"/>
    <col min="248" max="248" width="36.6640625" bestFit="1" customWidth="1"/>
    <col min="249" max="249" width="53.6640625" bestFit="1" customWidth="1"/>
    <col min="250" max="250" width="90.6640625" bestFit="1" customWidth="1"/>
    <col min="251" max="251" width="54.33203125" bestFit="1" customWidth="1"/>
    <col min="252" max="252" width="51.5546875" bestFit="1" customWidth="1"/>
    <col min="253" max="253" width="59.5546875" bestFit="1" customWidth="1"/>
    <col min="254" max="254" width="69.33203125" bestFit="1" customWidth="1"/>
    <col min="255" max="255" width="43.6640625" bestFit="1" customWidth="1"/>
    <col min="256" max="256" width="86.6640625" bestFit="1" customWidth="1"/>
    <col min="257" max="257" width="34.33203125" bestFit="1" customWidth="1"/>
    <col min="258" max="258" width="70" bestFit="1" customWidth="1"/>
    <col min="259" max="260" width="78.33203125" bestFit="1" customWidth="1"/>
    <col min="261" max="261" width="25.44140625" bestFit="1" customWidth="1"/>
    <col min="262" max="262" width="40.33203125" bestFit="1" customWidth="1"/>
    <col min="263" max="263" width="48.33203125" bestFit="1" customWidth="1"/>
    <col min="264" max="264" width="49.6640625" bestFit="1" customWidth="1"/>
    <col min="265" max="265" width="63.5546875" bestFit="1" customWidth="1"/>
    <col min="266" max="266" width="68.33203125" bestFit="1" customWidth="1"/>
    <col min="267" max="267" width="49.33203125" bestFit="1" customWidth="1"/>
    <col min="268" max="268" width="53.33203125" bestFit="1" customWidth="1"/>
    <col min="269" max="269" width="7.33203125" bestFit="1" customWidth="1"/>
    <col min="270" max="270" width="77.33203125" bestFit="1" customWidth="1"/>
    <col min="271" max="271" width="67.5546875" bestFit="1" customWidth="1"/>
    <col min="272" max="272" width="56.33203125" bestFit="1" customWidth="1"/>
    <col min="273" max="273" width="21.33203125" bestFit="1" customWidth="1"/>
    <col min="274" max="274" width="9.6640625" bestFit="1" customWidth="1"/>
    <col min="275" max="275" width="10.5546875" bestFit="1" customWidth="1"/>
    <col min="276" max="276" width="14.5546875" bestFit="1" customWidth="1"/>
    <col min="277" max="277" width="33.6640625" bestFit="1" customWidth="1"/>
    <col min="278" max="278" width="25.33203125" bestFit="1" customWidth="1"/>
    <col min="279" max="279" width="39" bestFit="1" customWidth="1"/>
    <col min="280" max="280" width="46.6640625" bestFit="1" customWidth="1"/>
    <col min="281" max="281" width="26.6640625" bestFit="1" customWidth="1"/>
    <col min="282" max="282" width="57.33203125" bestFit="1" customWidth="1"/>
    <col min="283" max="283" width="37.33203125" bestFit="1" customWidth="1"/>
    <col min="284" max="284" width="55.6640625" bestFit="1" customWidth="1"/>
    <col min="285" max="285" width="26.6640625" bestFit="1" customWidth="1"/>
    <col min="286" max="286" width="52.33203125" bestFit="1" customWidth="1"/>
    <col min="287" max="287" width="51.33203125" bestFit="1" customWidth="1"/>
    <col min="288" max="288" width="59.6640625" bestFit="1" customWidth="1"/>
    <col min="289" max="289" width="32.6640625" bestFit="1" customWidth="1"/>
    <col min="290" max="290" width="19.6640625" bestFit="1" customWidth="1"/>
    <col min="291" max="291" width="20.44140625" bestFit="1" customWidth="1"/>
    <col min="292" max="292" width="47.6640625" bestFit="1" customWidth="1"/>
    <col min="293" max="294" width="28.6640625" bestFit="1" customWidth="1"/>
    <col min="295" max="295" width="26" bestFit="1" customWidth="1"/>
    <col min="296" max="296" width="62" bestFit="1" customWidth="1"/>
    <col min="297" max="297" width="68.6640625" bestFit="1" customWidth="1"/>
    <col min="298" max="298" width="41.44140625" bestFit="1" customWidth="1"/>
    <col min="299" max="299" width="26" bestFit="1" customWidth="1"/>
    <col min="300" max="300" width="31.6640625" bestFit="1" customWidth="1"/>
    <col min="301" max="301" width="32.6640625" bestFit="1" customWidth="1"/>
    <col min="302" max="302" width="44.33203125" bestFit="1" customWidth="1"/>
    <col min="303" max="303" width="21.6640625" bestFit="1" customWidth="1"/>
    <col min="304" max="304" width="19.6640625" bestFit="1" customWidth="1"/>
    <col min="305" max="305" width="23.6640625" bestFit="1" customWidth="1"/>
    <col min="306" max="306" width="31.6640625" bestFit="1" customWidth="1"/>
    <col min="307" max="307" width="29.33203125" bestFit="1" customWidth="1"/>
    <col min="308" max="308" width="27.6640625" bestFit="1" customWidth="1"/>
    <col min="309" max="309" width="32.5546875" bestFit="1" customWidth="1"/>
    <col min="310" max="310" width="40" bestFit="1" customWidth="1"/>
    <col min="311" max="311" width="57.44140625" bestFit="1" customWidth="1"/>
    <col min="312" max="312" width="103.6640625" bestFit="1" customWidth="1"/>
    <col min="313" max="313" width="29.33203125" bestFit="1" customWidth="1"/>
    <col min="314" max="314" width="29.6640625" bestFit="1" customWidth="1"/>
    <col min="315" max="315" width="30.44140625" bestFit="1" customWidth="1"/>
    <col min="316" max="316" width="34.33203125" bestFit="1" customWidth="1"/>
    <col min="317" max="317" width="28.5546875" bestFit="1" customWidth="1"/>
    <col min="318" max="318" width="29.33203125" bestFit="1" customWidth="1"/>
    <col min="319" max="319" width="95.6640625" bestFit="1" customWidth="1"/>
    <col min="320" max="320" width="37" bestFit="1" customWidth="1"/>
    <col min="321" max="321" width="68.5546875" bestFit="1" customWidth="1"/>
    <col min="322" max="322" width="51.5546875" bestFit="1" customWidth="1"/>
    <col min="323" max="324" width="27.6640625" bestFit="1" customWidth="1"/>
    <col min="325" max="325" width="27.5546875" bestFit="1" customWidth="1"/>
    <col min="326" max="326" width="54.5546875" bestFit="1" customWidth="1"/>
    <col min="327" max="327" width="39.6640625" bestFit="1" customWidth="1"/>
    <col min="328" max="328" width="46.33203125" bestFit="1" customWidth="1"/>
    <col min="329" max="329" width="28.33203125" bestFit="1" customWidth="1"/>
    <col min="330" max="330" width="66" bestFit="1" customWidth="1"/>
    <col min="331" max="331" width="82.6640625" bestFit="1" customWidth="1"/>
    <col min="332" max="332" width="50.5546875" bestFit="1" customWidth="1"/>
    <col min="333" max="333" width="37.33203125" bestFit="1" customWidth="1"/>
    <col min="334" max="334" width="45.33203125" bestFit="1" customWidth="1"/>
    <col min="335" max="335" width="43" bestFit="1" customWidth="1"/>
    <col min="336" max="336" width="42.6640625" bestFit="1" customWidth="1"/>
    <col min="337" max="337" width="45.5546875" bestFit="1" customWidth="1"/>
    <col min="338" max="338" width="42.6640625" bestFit="1" customWidth="1"/>
    <col min="339" max="339" width="43.44140625" bestFit="1" customWidth="1"/>
    <col min="340" max="340" width="58.33203125" bestFit="1" customWidth="1"/>
    <col min="341" max="341" width="51.5546875" bestFit="1" customWidth="1"/>
    <col min="342" max="342" width="45.6640625" bestFit="1" customWidth="1"/>
    <col min="343" max="343" width="34" bestFit="1" customWidth="1"/>
    <col min="344" max="344" width="25.6640625" bestFit="1" customWidth="1"/>
    <col min="345" max="345" width="39" bestFit="1" customWidth="1"/>
    <col min="346" max="347" width="53.33203125" bestFit="1" customWidth="1"/>
    <col min="348" max="348" width="37.6640625" bestFit="1" customWidth="1"/>
    <col min="349" max="349" width="53.6640625" bestFit="1" customWidth="1"/>
    <col min="350" max="350" width="28.33203125" bestFit="1" customWidth="1"/>
    <col min="351" max="351" width="24.33203125" bestFit="1" customWidth="1"/>
    <col min="352" max="352" width="21.33203125" bestFit="1" customWidth="1"/>
    <col min="353" max="353" width="43.33203125" bestFit="1" customWidth="1"/>
    <col min="354" max="354" width="18.44140625" bestFit="1" customWidth="1"/>
    <col min="355" max="355" width="40.33203125" bestFit="1" customWidth="1"/>
    <col min="356" max="356" width="27.5546875" bestFit="1" customWidth="1"/>
    <col min="357" max="357" width="30.44140625" bestFit="1" customWidth="1"/>
    <col min="358" max="358" width="55.5546875" bestFit="1" customWidth="1"/>
    <col min="359" max="359" width="32" bestFit="1" customWidth="1"/>
    <col min="360" max="360" width="52.6640625" bestFit="1" customWidth="1"/>
    <col min="361" max="361" width="29.33203125" bestFit="1" customWidth="1"/>
    <col min="362" max="362" width="46.33203125" bestFit="1" customWidth="1"/>
    <col min="363" max="363" width="26.6640625" bestFit="1" customWidth="1"/>
    <col min="364" max="364" width="42" bestFit="1" customWidth="1"/>
    <col min="365" max="365" width="31.33203125" bestFit="1" customWidth="1"/>
    <col min="366" max="366" width="47.33203125" bestFit="1" customWidth="1"/>
    <col min="367" max="367" width="90.33203125" bestFit="1" customWidth="1"/>
    <col min="368" max="368" width="62.33203125" bestFit="1" customWidth="1"/>
    <col min="369" max="369" width="35.33203125" bestFit="1" customWidth="1"/>
    <col min="370" max="370" width="34.6640625" bestFit="1" customWidth="1"/>
    <col min="371" max="371" width="39.6640625" bestFit="1" customWidth="1"/>
    <col min="372" max="372" width="32.33203125" bestFit="1" customWidth="1"/>
    <col min="373" max="373" width="35.44140625" bestFit="1" customWidth="1"/>
    <col min="374" max="374" width="39.6640625" bestFit="1" customWidth="1"/>
    <col min="375" max="375" width="32" bestFit="1" customWidth="1"/>
    <col min="376" max="376" width="34" bestFit="1" customWidth="1"/>
    <col min="377" max="377" width="34.44140625" bestFit="1" customWidth="1"/>
    <col min="378" max="378" width="34" bestFit="1" customWidth="1"/>
    <col min="379" max="379" width="39.33203125" bestFit="1" customWidth="1"/>
    <col min="380" max="380" width="31.33203125" bestFit="1" customWidth="1"/>
    <col min="381" max="381" width="20.5546875" bestFit="1" customWidth="1"/>
    <col min="382" max="382" width="41" bestFit="1" customWidth="1"/>
    <col min="383" max="383" width="25.6640625" bestFit="1" customWidth="1"/>
    <col min="384" max="384" width="27.5546875" bestFit="1" customWidth="1"/>
    <col min="385" max="385" width="54" bestFit="1" customWidth="1"/>
    <col min="386" max="387" width="26.6640625" bestFit="1" customWidth="1"/>
    <col min="388" max="388" width="43.33203125" bestFit="1" customWidth="1"/>
    <col min="389" max="389" width="19" bestFit="1" customWidth="1"/>
    <col min="390" max="390" width="27.33203125" bestFit="1" customWidth="1"/>
    <col min="391" max="391" width="26.33203125" bestFit="1" customWidth="1"/>
    <col min="392" max="392" width="43" bestFit="1" customWidth="1"/>
    <col min="393" max="393" width="47.6640625" bestFit="1" customWidth="1"/>
    <col min="394" max="394" width="56.44140625" bestFit="1" customWidth="1"/>
    <col min="395" max="396" width="25.6640625" bestFit="1" customWidth="1"/>
    <col min="397" max="397" width="93.44140625" bestFit="1" customWidth="1"/>
    <col min="398" max="398" width="71.5546875" bestFit="1" customWidth="1"/>
    <col min="399" max="399" width="32.6640625" bestFit="1" customWidth="1"/>
    <col min="400" max="400" width="33.44140625" bestFit="1" customWidth="1"/>
    <col min="401" max="401" width="44.6640625" bestFit="1" customWidth="1"/>
    <col min="402" max="402" width="46.5546875" bestFit="1" customWidth="1"/>
    <col min="403" max="403" width="42.33203125" bestFit="1" customWidth="1"/>
    <col min="404" max="404" width="41.44140625" bestFit="1" customWidth="1"/>
    <col min="405" max="405" width="33.44140625" bestFit="1" customWidth="1"/>
    <col min="406" max="406" width="44.6640625" bestFit="1" customWidth="1"/>
    <col min="407" max="407" width="40.6640625" bestFit="1" customWidth="1"/>
    <col min="408" max="408" width="40" bestFit="1" customWidth="1"/>
    <col min="409" max="409" width="36.6640625" bestFit="1" customWidth="1"/>
    <col min="410" max="411" width="42.33203125" bestFit="1" customWidth="1"/>
    <col min="412" max="412" width="41.44140625" bestFit="1" customWidth="1"/>
    <col min="413" max="413" width="33.44140625" bestFit="1" customWidth="1"/>
    <col min="414" max="414" width="31.6640625" bestFit="1" customWidth="1"/>
    <col min="415" max="415" width="45.33203125" bestFit="1" customWidth="1"/>
    <col min="416" max="416" width="42.6640625" bestFit="1" customWidth="1"/>
    <col min="417" max="417" width="48.44140625" bestFit="1" customWidth="1"/>
    <col min="418" max="419" width="92.6640625" bestFit="1" customWidth="1"/>
    <col min="420" max="420" width="39.5546875" bestFit="1" customWidth="1"/>
    <col min="421" max="421" width="92.6640625" bestFit="1" customWidth="1"/>
    <col min="422" max="422" width="39.5546875" bestFit="1" customWidth="1"/>
    <col min="423" max="423" width="39.33203125" bestFit="1" customWidth="1"/>
    <col min="424" max="424" width="38.5546875" bestFit="1" customWidth="1"/>
    <col min="425" max="425" width="39.44140625" bestFit="1" customWidth="1"/>
    <col min="426" max="426" width="38.6640625" bestFit="1" customWidth="1"/>
    <col min="427" max="427" width="35.6640625" bestFit="1" customWidth="1"/>
    <col min="428" max="428" width="39.44140625" bestFit="1" customWidth="1"/>
    <col min="429" max="429" width="38.6640625" bestFit="1" customWidth="1"/>
    <col min="430" max="430" width="35.6640625" bestFit="1" customWidth="1"/>
    <col min="431" max="431" width="39.44140625" bestFit="1" customWidth="1"/>
    <col min="432" max="432" width="38.6640625" bestFit="1" customWidth="1"/>
    <col min="433" max="433" width="35.6640625" bestFit="1" customWidth="1"/>
    <col min="434" max="434" width="39.44140625" bestFit="1" customWidth="1"/>
    <col min="435" max="435" width="38.6640625" bestFit="1" customWidth="1"/>
    <col min="436" max="436" width="35.6640625" bestFit="1" customWidth="1"/>
    <col min="437" max="437" width="33.6640625" bestFit="1" customWidth="1"/>
    <col min="438" max="438" width="58" bestFit="1" customWidth="1"/>
    <col min="439" max="439" width="36.6640625" bestFit="1" customWidth="1"/>
    <col min="440" max="440" width="62" bestFit="1" customWidth="1"/>
    <col min="441" max="441" width="60.33203125" bestFit="1" customWidth="1"/>
    <col min="442" max="442" width="60.6640625" bestFit="1" customWidth="1"/>
    <col min="443" max="443" width="41.44140625" bestFit="1" customWidth="1"/>
    <col min="444" max="444" width="62" bestFit="1" customWidth="1"/>
    <col min="445" max="445" width="60.33203125" bestFit="1" customWidth="1"/>
    <col min="446" max="446" width="60.6640625" bestFit="1" customWidth="1"/>
    <col min="447" max="447" width="41.44140625" bestFit="1" customWidth="1"/>
    <col min="448" max="448" width="61.6640625" bestFit="1" customWidth="1"/>
    <col min="449" max="449" width="62" bestFit="1" customWidth="1"/>
    <col min="450" max="450" width="60.33203125" bestFit="1" customWidth="1"/>
    <col min="451" max="451" width="62" bestFit="1" customWidth="1"/>
    <col min="452" max="452" width="60.33203125" bestFit="1" customWidth="1"/>
    <col min="453" max="453" width="60.6640625" bestFit="1" customWidth="1"/>
    <col min="454" max="454" width="41.44140625" bestFit="1" customWidth="1"/>
    <col min="455" max="455" width="33.44140625" bestFit="1" customWidth="1"/>
    <col min="456" max="456" width="67.33203125" bestFit="1" customWidth="1"/>
    <col min="457" max="457" width="48.33203125" bestFit="1" customWidth="1"/>
    <col min="458" max="458" width="54.5546875" bestFit="1" customWidth="1"/>
    <col min="459" max="459" width="79.6640625" bestFit="1" customWidth="1"/>
    <col min="460" max="460" width="65.6640625" bestFit="1" customWidth="1"/>
    <col min="461" max="461" width="17.5546875" bestFit="1" customWidth="1"/>
    <col min="462" max="462" width="43.33203125" bestFit="1" customWidth="1"/>
    <col min="463" max="463" width="41.44140625" bestFit="1" customWidth="1"/>
    <col min="464" max="464" width="44.33203125" bestFit="1" customWidth="1"/>
    <col min="465" max="465" width="56.6640625" bestFit="1" customWidth="1"/>
    <col min="466" max="466" width="45.44140625" bestFit="1" customWidth="1"/>
    <col min="467" max="467" width="36.33203125" bestFit="1" customWidth="1"/>
    <col min="468" max="468" width="52.33203125" bestFit="1" customWidth="1"/>
    <col min="469" max="469" width="26.44140625" bestFit="1" customWidth="1"/>
    <col min="470" max="470" width="37.33203125" bestFit="1" customWidth="1"/>
    <col min="471" max="471" width="27.33203125" bestFit="1" customWidth="1"/>
    <col min="472" max="472" width="49.6640625" bestFit="1" customWidth="1"/>
    <col min="473" max="474" width="38.6640625" bestFit="1" customWidth="1"/>
    <col min="475" max="475" width="48.33203125" bestFit="1" customWidth="1"/>
    <col min="476" max="476" width="45.33203125" bestFit="1" customWidth="1"/>
    <col min="477" max="477" width="36" bestFit="1" customWidth="1"/>
    <col min="478" max="478" width="20.6640625" bestFit="1" customWidth="1"/>
    <col min="479" max="479" width="36.33203125" bestFit="1" customWidth="1"/>
    <col min="480" max="480" width="19" bestFit="1" customWidth="1"/>
    <col min="481" max="481" width="20.33203125" bestFit="1" customWidth="1"/>
    <col min="482" max="482" width="33" bestFit="1" customWidth="1"/>
    <col min="483" max="483" width="30" bestFit="1" customWidth="1"/>
    <col min="484" max="484" width="52.6640625" bestFit="1" customWidth="1"/>
    <col min="485" max="485" width="25.6640625" bestFit="1" customWidth="1"/>
    <col min="486" max="487" width="37.6640625" bestFit="1" customWidth="1"/>
    <col min="488" max="488" width="25.5546875" bestFit="1" customWidth="1"/>
    <col min="489" max="489" width="17.6640625" bestFit="1" customWidth="1"/>
    <col min="490" max="490" width="26" bestFit="1" customWidth="1"/>
    <col min="491" max="491" width="44.5546875" bestFit="1" customWidth="1"/>
    <col min="492" max="492" width="42.33203125" bestFit="1" customWidth="1"/>
    <col min="493" max="493" width="32" bestFit="1" customWidth="1"/>
    <col min="494" max="494" width="45.5546875" bestFit="1" customWidth="1"/>
    <col min="495" max="495" width="21.5546875" bestFit="1" customWidth="1"/>
    <col min="496" max="496" width="52" bestFit="1" customWidth="1"/>
    <col min="497" max="497" width="41.5546875" bestFit="1" customWidth="1"/>
    <col min="498" max="498" width="52.33203125" bestFit="1" customWidth="1"/>
    <col min="499" max="499" width="50.6640625" bestFit="1" customWidth="1"/>
    <col min="500" max="500" width="36.33203125" bestFit="1" customWidth="1"/>
    <col min="501" max="501" width="33.6640625" bestFit="1" customWidth="1"/>
    <col min="502" max="502" width="59.6640625" bestFit="1" customWidth="1"/>
    <col min="503" max="503" width="49.6640625" bestFit="1" customWidth="1"/>
    <col min="504" max="504" width="18.44140625" bestFit="1" customWidth="1"/>
    <col min="505" max="505" width="20.6640625" bestFit="1" customWidth="1"/>
    <col min="506" max="506" width="15.6640625" bestFit="1" customWidth="1"/>
    <col min="507" max="507" width="80" bestFit="1" customWidth="1"/>
    <col min="508" max="508" width="42.33203125" bestFit="1" customWidth="1"/>
    <col min="509" max="509" width="48" bestFit="1" customWidth="1"/>
    <col min="510" max="511" width="43.33203125" bestFit="1" customWidth="1"/>
    <col min="512" max="512" width="41" bestFit="1" customWidth="1"/>
    <col min="513" max="513" width="46.44140625" bestFit="1" customWidth="1"/>
    <col min="514" max="514" width="86.33203125" bestFit="1" customWidth="1"/>
    <col min="515" max="515" width="54.33203125" bestFit="1" customWidth="1"/>
    <col min="516" max="516" width="79.6640625" bestFit="1" customWidth="1"/>
    <col min="517" max="518" width="46.33203125" bestFit="1" customWidth="1"/>
    <col min="519" max="521" width="43.33203125" bestFit="1" customWidth="1"/>
    <col min="522" max="522" width="36.6640625" bestFit="1" customWidth="1"/>
    <col min="523" max="523" width="53.6640625" bestFit="1" customWidth="1"/>
    <col min="524" max="524" width="90.6640625" bestFit="1" customWidth="1"/>
    <col min="525" max="525" width="54.33203125" bestFit="1" customWidth="1"/>
    <col min="526" max="526" width="51.5546875" bestFit="1" customWidth="1"/>
    <col min="527" max="527" width="59.5546875" bestFit="1" customWidth="1"/>
    <col min="528" max="528" width="69.33203125" bestFit="1" customWidth="1"/>
    <col min="529" max="529" width="43.6640625" bestFit="1" customWidth="1"/>
    <col min="530" max="530" width="86.6640625" bestFit="1" customWidth="1"/>
    <col min="531" max="531" width="34.33203125" bestFit="1" customWidth="1"/>
    <col min="532" max="532" width="70" bestFit="1" customWidth="1"/>
    <col min="533" max="534" width="78.33203125" bestFit="1" customWidth="1"/>
    <col min="535" max="535" width="25.44140625" bestFit="1" customWidth="1"/>
    <col min="536" max="536" width="40.33203125" bestFit="1" customWidth="1"/>
    <col min="537" max="537" width="48.33203125" bestFit="1" customWidth="1"/>
    <col min="538" max="538" width="49.6640625" bestFit="1" customWidth="1"/>
    <col min="539" max="539" width="63.5546875" bestFit="1" customWidth="1"/>
    <col min="540" max="540" width="68.33203125" bestFit="1" customWidth="1"/>
    <col min="541" max="541" width="49.33203125" bestFit="1" customWidth="1"/>
    <col min="542" max="542" width="53.33203125" bestFit="1" customWidth="1"/>
    <col min="543" max="543" width="7.33203125" bestFit="1" customWidth="1"/>
    <col min="544" max="544" width="25" bestFit="1" customWidth="1"/>
    <col min="545" max="545" width="18.6640625" bestFit="1" customWidth="1"/>
  </cols>
  <sheetData>
    <row r="3" spans="2:11">
      <c r="B3" s="657" t="s">
        <v>1670</v>
      </c>
      <c r="C3" t="s">
        <v>1671</v>
      </c>
      <c r="D3" t="s">
        <v>1672</v>
      </c>
      <c r="H3">
        <f>57000/4024</f>
        <v>14.165009940357853</v>
      </c>
      <c r="I3" s="679" t="s">
        <v>547</v>
      </c>
      <c r="J3" s="680">
        <f>SUM(J5:J8,J12:J15)</f>
        <v>181.83008701037372</v>
      </c>
      <c r="K3" s="680">
        <f>SUM(K5:K8,K12:K15)</f>
        <v>467</v>
      </c>
    </row>
    <row r="4" spans="2:11">
      <c r="B4" s="658" t="s">
        <v>263</v>
      </c>
      <c r="D4">
        <v>26</v>
      </c>
      <c r="I4" s="668"/>
      <c r="J4" s="674" t="s">
        <v>1665</v>
      </c>
      <c r="K4" s="674" t="s">
        <v>1695</v>
      </c>
    </row>
    <row r="5" spans="2:11">
      <c r="B5" s="658" t="s">
        <v>127</v>
      </c>
      <c r="C5" s="770">
        <v>40.647977761675314</v>
      </c>
      <c r="D5">
        <v>39</v>
      </c>
      <c r="I5" s="678" t="s">
        <v>263</v>
      </c>
      <c r="J5" s="669"/>
      <c r="K5" s="669">
        <v>25</v>
      </c>
    </row>
    <row r="6" spans="2:11">
      <c r="B6" s="658" t="s">
        <v>28</v>
      </c>
      <c r="C6" s="770">
        <v>33.445203007903963</v>
      </c>
      <c r="D6">
        <v>133</v>
      </c>
      <c r="I6" s="678" t="s">
        <v>127</v>
      </c>
      <c r="J6" s="670">
        <v>40.647977761675314</v>
      </c>
      <c r="K6" s="669">
        <v>39</v>
      </c>
    </row>
    <row r="7" spans="2:11">
      <c r="B7" s="658" t="s">
        <v>241</v>
      </c>
      <c r="C7" s="770">
        <v>1.4242604669999994</v>
      </c>
      <c r="D7">
        <v>20</v>
      </c>
      <c r="I7" s="678" t="s">
        <v>241</v>
      </c>
      <c r="J7" s="670">
        <v>1.4242604669999994</v>
      </c>
      <c r="K7" s="669">
        <v>20</v>
      </c>
    </row>
    <row r="8" spans="2:11">
      <c r="B8" s="658" t="s">
        <v>64</v>
      </c>
      <c r="C8" s="770">
        <v>29.731544429549601</v>
      </c>
      <c r="D8">
        <v>25</v>
      </c>
      <c r="I8" s="678" t="s">
        <v>28</v>
      </c>
      <c r="J8" s="670">
        <v>36.304088012300603</v>
      </c>
      <c r="K8" s="670">
        <v>147</v>
      </c>
    </row>
    <row r="9" spans="2:11">
      <c r="B9" s="658" t="s">
        <v>177</v>
      </c>
      <c r="C9" s="770">
        <v>11.571288093812013</v>
      </c>
      <c r="D9">
        <v>38</v>
      </c>
      <c r="I9" s="678" t="s">
        <v>793</v>
      </c>
      <c r="J9" s="670">
        <v>22.171611822839047</v>
      </c>
      <c r="K9" s="669">
        <v>23</v>
      </c>
    </row>
    <row r="10" spans="2:11">
      <c r="B10" s="658" t="s">
        <v>26</v>
      </c>
      <c r="C10" s="770">
        <v>24.51600849931819</v>
      </c>
      <c r="D10">
        <v>124</v>
      </c>
      <c r="I10" s="678" t="s">
        <v>27</v>
      </c>
      <c r="J10" s="670">
        <v>9.0164274088537439</v>
      </c>
      <c r="K10" s="669">
        <v>76</v>
      </c>
    </row>
    <row r="11" spans="2:11">
      <c r="B11" s="658" t="s">
        <v>19</v>
      </c>
      <c r="C11" s="770">
        <v>36.505592206741035</v>
      </c>
      <c r="D11">
        <v>47</v>
      </c>
      <c r="I11" s="678" t="s">
        <v>766</v>
      </c>
      <c r="J11" s="670">
        <v>5.1160487806077635</v>
      </c>
      <c r="K11" s="669">
        <v>48</v>
      </c>
    </row>
    <row r="12" spans="2:11">
      <c r="B12" s="658" t="s">
        <v>1681</v>
      </c>
      <c r="C12" s="770">
        <v>177.84187446600006</v>
      </c>
      <c r="D12">
        <v>452</v>
      </c>
      <c r="I12" s="678" t="s">
        <v>64</v>
      </c>
      <c r="J12" s="670">
        <v>29.731544429549594</v>
      </c>
      <c r="K12" s="669">
        <v>25</v>
      </c>
    </row>
    <row r="13" spans="2:11">
      <c r="I13" s="678" t="s">
        <v>177</v>
      </c>
      <c r="J13" s="670">
        <v>11.39</v>
      </c>
      <c r="K13" s="669">
        <v>38</v>
      </c>
    </row>
    <row r="14" spans="2:11">
      <c r="I14" s="678" t="s">
        <v>26</v>
      </c>
      <c r="J14" s="670">
        <v>25.826624133107178</v>
      </c>
      <c r="K14" s="669">
        <v>126</v>
      </c>
    </row>
    <row r="15" spans="2:11">
      <c r="I15" s="678" t="s">
        <v>19</v>
      </c>
      <c r="J15" s="670">
        <v>36.505592206741035</v>
      </c>
      <c r="K15" s="669">
        <v>47</v>
      </c>
    </row>
    <row r="18" spans="9:11">
      <c r="I18" s="679" t="s">
        <v>897</v>
      </c>
      <c r="J18" s="676">
        <f>SUM(J20,J22,J26)</f>
        <v>2.98</v>
      </c>
      <c r="K18" s="677">
        <f>SUM(K20,K22,K26)</f>
        <v>107</v>
      </c>
    </row>
    <row r="19" spans="9:11">
      <c r="I19" s="674"/>
      <c r="J19" s="674" t="s">
        <v>1696</v>
      </c>
      <c r="K19" s="674" t="s">
        <v>1697</v>
      </c>
    </row>
    <row r="20" spans="9:11">
      <c r="I20" s="678" t="s">
        <v>263</v>
      </c>
      <c r="J20" s="675">
        <f>SUM(J21:J21)</f>
        <v>0.26</v>
      </c>
      <c r="K20" s="675">
        <f>SUM(K21:K21)</f>
        <v>3</v>
      </c>
    </row>
    <row r="21" spans="9:11">
      <c r="I21" s="673" t="s">
        <v>1666</v>
      </c>
      <c r="J21" s="669">
        <v>0.26</v>
      </c>
      <c r="K21" s="672">
        <v>3</v>
      </c>
    </row>
    <row r="22" spans="9:11">
      <c r="I22" s="678" t="s">
        <v>898</v>
      </c>
      <c r="J22" s="675">
        <f>SUM(J23:J25)</f>
        <v>1.04</v>
      </c>
      <c r="K22" s="675">
        <f>SUM(K23:K25)</f>
        <v>90</v>
      </c>
    </row>
    <row r="23" spans="9:11">
      <c r="I23" s="673" t="s">
        <v>1667</v>
      </c>
      <c r="J23" s="672" t="s">
        <v>72</v>
      </c>
      <c r="K23" s="669">
        <v>14</v>
      </c>
    </row>
    <row r="24" spans="9:11">
      <c r="I24" s="673" t="s">
        <v>1680</v>
      </c>
      <c r="J24" s="670">
        <v>0.53</v>
      </c>
      <c r="K24" s="669">
        <v>69</v>
      </c>
    </row>
    <row r="25" spans="9:11">
      <c r="I25" s="673" t="s">
        <v>1666</v>
      </c>
      <c r="J25" s="670">
        <v>0.51</v>
      </c>
      <c r="K25" s="669">
        <v>7</v>
      </c>
    </row>
    <row r="26" spans="9:11">
      <c r="I26" s="678" t="s">
        <v>407</v>
      </c>
      <c r="J26" s="675">
        <f>SUM(J27:J29)</f>
        <v>1.68</v>
      </c>
      <c r="K26" s="675">
        <f>SUM(K27:K29)</f>
        <v>14</v>
      </c>
    </row>
    <row r="27" spans="9:11">
      <c r="I27" s="673" t="s">
        <v>1666</v>
      </c>
      <c r="J27" s="670">
        <v>1.68</v>
      </c>
      <c r="K27" s="669">
        <v>14</v>
      </c>
    </row>
    <row r="32" spans="9:11" outlineLevel="1"/>
    <row r="34" outlineLevel="1"/>
    <row r="35" outlineLevel="1"/>
    <row r="36" outlineLevel="1"/>
    <row r="38" outlineLevel="1"/>
    <row r="252" spans="5:5">
      <c r="E252" t="s">
        <v>1698</v>
      </c>
    </row>
    <row r="253" spans="5:5">
      <c r="E253" t="s">
        <v>1698</v>
      </c>
    </row>
    <row r="254" spans="5:5">
      <c r="E254" t="s">
        <v>1698</v>
      </c>
    </row>
    <row r="255" spans="5:5">
      <c r="E255" t="s">
        <v>1698</v>
      </c>
    </row>
    <row r="256" spans="5:5">
      <c r="E256" t="s">
        <v>1698</v>
      </c>
    </row>
    <row r="453" spans="5:5">
      <c r="E453" t="s">
        <v>1698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4E-80E3-4830-9794-823D76050E77}">
  <sheetPr codeName="Sheet11"/>
  <dimension ref="B1:G66"/>
  <sheetViews>
    <sheetView workbookViewId="0">
      <selection activeCell="D11" sqref="D11"/>
    </sheetView>
  </sheetViews>
  <sheetFormatPr defaultColWidth="8.6640625" defaultRowHeight="13.2"/>
  <cols>
    <col min="1" max="1" width="8.6640625" style="369"/>
    <col min="2" max="2" width="19.5546875" style="369" bestFit="1" customWidth="1"/>
    <col min="3" max="3" width="14.33203125" style="369" bestFit="1" customWidth="1"/>
    <col min="4" max="4" width="65.6640625" style="369" customWidth="1"/>
    <col min="5" max="16384" width="8.6640625" style="369"/>
  </cols>
  <sheetData>
    <row r="1" spans="2:7">
      <c r="E1" s="659">
        <f>SUM(E2,E33)</f>
        <v>181.85006628881246</v>
      </c>
      <c r="F1" s="659">
        <f>SUM(F2,F33)</f>
        <v>447</v>
      </c>
    </row>
    <row r="2" spans="2:7">
      <c r="E2" s="659">
        <f>SUM(E4:E31)</f>
        <v>38.440737151572542</v>
      </c>
      <c r="F2" s="659">
        <f>SUM(F4:F31)</f>
        <v>269</v>
      </c>
      <c r="G2" s="369" t="e">
        <f>IF(E2=#REF!,IF(F2=#REF!,"T","F"))</f>
        <v>#REF!</v>
      </c>
    </row>
    <row r="3" spans="2:7" ht="15">
      <c r="B3" s="621" t="s">
        <v>7</v>
      </c>
      <c r="C3" s="621" t="s">
        <v>8</v>
      </c>
      <c r="D3" s="621" t="s">
        <v>11</v>
      </c>
      <c r="E3" s="621" t="s">
        <v>1665</v>
      </c>
      <c r="F3" s="621" t="s">
        <v>6</v>
      </c>
    </row>
    <row r="4" spans="2:7">
      <c r="B4" s="376" t="s">
        <v>14</v>
      </c>
      <c r="C4" s="376" t="s">
        <v>15</v>
      </c>
      <c r="D4" s="622" t="s">
        <v>1699</v>
      </c>
      <c r="E4" s="659">
        <v>0.43271940249580965</v>
      </c>
      <c r="F4" s="369">
        <v>8</v>
      </c>
    </row>
    <row r="5" spans="2:7">
      <c r="B5" s="376" t="s">
        <v>14</v>
      </c>
      <c r="C5" s="622" t="s">
        <v>29</v>
      </c>
      <c r="D5" s="622" t="s">
        <v>1700</v>
      </c>
      <c r="E5" s="659">
        <v>1.7289022996610155</v>
      </c>
      <c r="F5" s="369">
        <v>32</v>
      </c>
    </row>
    <row r="6" spans="2:7">
      <c r="B6" s="376" t="s">
        <v>14</v>
      </c>
      <c r="C6" s="622" t="s">
        <v>29</v>
      </c>
      <c r="D6" s="622" t="s">
        <v>1701</v>
      </c>
      <c r="E6" s="659"/>
    </row>
    <row r="7" spans="2:7">
      <c r="B7" s="376" t="s">
        <v>14</v>
      </c>
      <c r="C7" s="376" t="s">
        <v>1702</v>
      </c>
      <c r="D7" s="622" t="s">
        <v>1699</v>
      </c>
      <c r="E7" s="659">
        <v>0.81650520351452471</v>
      </c>
      <c r="F7" s="369">
        <v>8</v>
      </c>
    </row>
    <row r="8" spans="2:7">
      <c r="B8" s="376" t="s">
        <v>74</v>
      </c>
      <c r="C8" s="622" t="s">
        <v>1703</v>
      </c>
      <c r="D8" s="623" t="s">
        <v>1261</v>
      </c>
      <c r="E8" s="659">
        <v>4.1291744999999995</v>
      </c>
      <c r="F8" s="369">
        <v>15</v>
      </c>
    </row>
    <row r="9" spans="2:7">
      <c r="B9" s="376" t="s">
        <v>74</v>
      </c>
      <c r="C9" s="622" t="s">
        <v>1703</v>
      </c>
      <c r="D9" s="623" t="s">
        <v>1704</v>
      </c>
      <c r="E9" s="659"/>
    </row>
    <row r="10" spans="2:7" ht="26.4">
      <c r="B10" s="376" t="s">
        <v>74</v>
      </c>
      <c r="C10" s="622" t="s">
        <v>1703</v>
      </c>
      <c r="D10" s="624" t="s">
        <v>1705</v>
      </c>
      <c r="E10" s="659"/>
    </row>
    <row r="11" spans="2:7">
      <c r="B11" s="622" t="s">
        <v>74</v>
      </c>
      <c r="C11" s="622" t="s">
        <v>1706</v>
      </c>
      <c r="D11" s="622" t="s">
        <v>1707</v>
      </c>
      <c r="E11" s="659">
        <v>9.699329999999998</v>
      </c>
      <c r="F11" s="369">
        <v>39</v>
      </c>
    </row>
    <row r="12" spans="2:7">
      <c r="B12" s="622" t="s">
        <v>74</v>
      </c>
      <c r="C12" s="622" t="s">
        <v>1706</v>
      </c>
      <c r="D12" s="622" t="s">
        <v>1708</v>
      </c>
      <c r="E12" s="659"/>
    </row>
    <row r="13" spans="2:7">
      <c r="B13" s="622" t="s">
        <v>1709</v>
      </c>
      <c r="C13" s="622" t="s">
        <v>1630</v>
      </c>
      <c r="D13" s="622" t="s">
        <v>1710</v>
      </c>
      <c r="E13" s="659">
        <v>8.4072167695988034E-2</v>
      </c>
      <c r="F13" s="369">
        <v>3</v>
      </c>
    </row>
    <row r="14" spans="2:7">
      <c r="B14" s="622" t="s">
        <v>1709</v>
      </c>
      <c r="C14" s="622" t="s">
        <v>1711</v>
      </c>
      <c r="D14" s="608" t="s">
        <v>1712</v>
      </c>
      <c r="E14" s="659"/>
    </row>
    <row r="15" spans="2:7">
      <c r="B15" s="622" t="s">
        <v>1709</v>
      </c>
      <c r="C15" s="622" t="s">
        <v>1711</v>
      </c>
      <c r="D15" s="622" t="s">
        <v>1699</v>
      </c>
      <c r="E15" s="659">
        <v>0.41918995130000003</v>
      </c>
      <c r="F15" s="369">
        <v>5</v>
      </c>
    </row>
    <row r="16" spans="2:7">
      <c r="B16" s="622" t="s">
        <v>1709</v>
      </c>
      <c r="C16" s="622" t="s">
        <v>1713</v>
      </c>
      <c r="D16" s="622" t="s">
        <v>1714</v>
      </c>
      <c r="E16" s="659">
        <v>3.02</v>
      </c>
      <c r="F16" s="369">
        <v>21</v>
      </c>
    </row>
    <row r="17" spans="2:6">
      <c r="B17" s="622" t="s">
        <v>1709</v>
      </c>
      <c r="C17" s="622" t="s">
        <v>1713</v>
      </c>
      <c r="D17" s="622" t="s">
        <v>1715</v>
      </c>
    </row>
    <row r="18" spans="2:6">
      <c r="B18" s="622" t="s">
        <v>1709</v>
      </c>
      <c r="C18" s="622" t="s">
        <v>1716</v>
      </c>
      <c r="D18" s="622" t="s">
        <v>1717</v>
      </c>
      <c r="E18" s="659">
        <v>0.63298114171514985</v>
      </c>
      <c r="F18" s="369">
        <v>9</v>
      </c>
    </row>
    <row r="19" spans="2:6">
      <c r="B19" s="622" t="s">
        <v>576</v>
      </c>
      <c r="C19" s="622" t="s">
        <v>1630</v>
      </c>
      <c r="D19" s="622" t="s">
        <v>1699</v>
      </c>
      <c r="E19" s="659">
        <v>0.87000000000000011</v>
      </c>
      <c r="F19" s="369">
        <v>10</v>
      </c>
    </row>
    <row r="20" spans="2:6">
      <c r="B20" s="622" t="s">
        <v>173</v>
      </c>
      <c r="C20" s="622"/>
      <c r="D20" s="622" t="s">
        <v>1699</v>
      </c>
      <c r="E20" s="659">
        <v>2.4295570698446993</v>
      </c>
      <c r="F20" s="369">
        <v>10</v>
      </c>
    </row>
    <row r="21" spans="2:6">
      <c r="B21" s="369" t="s">
        <v>179</v>
      </c>
      <c r="C21" s="369" t="s">
        <v>70</v>
      </c>
      <c r="D21" s="622" t="s">
        <v>1699</v>
      </c>
      <c r="E21" s="659">
        <v>0.03</v>
      </c>
      <c r="F21" s="369">
        <v>1</v>
      </c>
    </row>
    <row r="22" spans="2:6">
      <c r="B22" s="625" t="s">
        <v>908</v>
      </c>
      <c r="C22" s="625"/>
      <c r="D22" s="625" t="s">
        <v>1699</v>
      </c>
      <c r="E22" s="659">
        <v>8.8226275250591328</v>
      </c>
      <c r="F22" s="369">
        <v>15</v>
      </c>
    </row>
    <row r="23" spans="2:6">
      <c r="B23" s="625" t="s">
        <v>222</v>
      </c>
      <c r="C23" s="625"/>
      <c r="D23" s="625" t="s">
        <v>1699</v>
      </c>
      <c r="E23" s="659">
        <v>1.2186362892862301</v>
      </c>
      <c r="F23" s="369">
        <v>17</v>
      </c>
    </row>
    <row r="24" spans="2:6">
      <c r="B24" s="622" t="s">
        <v>233</v>
      </c>
      <c r="C24" s="622"/>
      <c r="D24" s="622" t="s">
        <v>1718</v>
      </c>
      <c r="E24" s="659">
        <v>0.47795692392</v>
      </c>
      <c r="F24" s="369">
        <v>5</v>
      </c>
    </row>
    <row r="25" spans="2:6">
      <c r="B25" s="369" t="s">
        <v>243</v>
      </c>
      <c r="C25" s="369" t="s">
        <v>243</v>
      </c>
      <c r="D25" s="622" t="s">
        <v>1718</v>
      </c>
      <c r="E25" s="659">
        <v>1.2668018749999996</v>
      </c>
      <c r="F25" s="369">
        <v>13</v>
      </c>
    </row>
    <row r="26" spans="2:6">
      <c r="B26" s="622" t="s">
        <v>245</v>
      </c>
      <c r="C26" s="622"/>
      <c r="D26" s="622" t="s">
        <v>1719</v>
      </c>
      <c r="E26" s="659">
        <v>0.14100000000000001</v>
      </c>
      <c r="F26" s="369">
        <v>6</v>
      </c>
    </row>
    <row r="27" spans="2:6">
      <c r="B27" s="376" t="s">
        <v>248</v>
      </c>
      <c r="C27" s="622"/>
      <c r="D27" s="622" t="s">
        <v>1720</v>
      </c>
      <c r="E27" s="659">
        <v>1.2144779999999999</v>
      </c>
      <c r="F27" s="369">
        <v>14</v>
      </c>
    </row>
    <row r="28" spans="2:6">
      <c r="B28" s="622" t="s">
        <v>1721</v>
      </c>
      <c r="C28" s="622"/>
      <c r="D28" s="622" t="s">
        <v>1722</v>
      </c>
      <c r="E28" s="659">
        <v>4.9130000000000007E-3</v>
      </c>
      <c r="F28" s="369">
        <v>6</v>
      </c>
    </row>
    <row r="29" spans="2:6">
      <c r="B29" s="622" t="s">
        <v>1723</v>
      </c>
      <c r="C29" s="622"/>
      <c r="D29" s="622" t="s">
        <v>1718</v>
      </c>
      <c r="E29" s="659">
        <v>0.56189180207999989</v>
      </c>
      <c r="F29" s="369">
        <v>5</v>
      </c>
    </row>
    <row r="30" spans="2:6">
      <c r="B30" s="622" t="s">
        <v>1724</v>
      </c>
      <c r="C30" s="622"/>
      <c r="D30" s="622"/>
      <c r="E30" s="659"/>
      <c r="F30" s="369">
        <v>25</v>
      </c>
    </row>
    <row r="31" spans="2:6">
      <c r="B31" s="369" t="s">
        <v>274</v>
      </c>
      <c r="C31" s="369" t="s">
        <v>275</v>
      </c>
      <c r="E31" s="659">
        <v>0.44</v>
      </c>
      <c r="F31" s="369">
        <v>2</v>
      </c>
    </row>
    <row r="33" spans="2:7" ht="13.8">
      <c r="B33" s="663" t="s">
        <v>280</v>
      </c>
      <c r="C33" s="662"/>
      <c r="D33" s="662"/>
      <c r="E33" s="664">
        <f>SUM(E34:E66)</f>
        <v>143.40932913723992</v>
      </c>
      <c r="F33" s="664">
        <f>SUM(F34:F66)</f>
        <v>178</v>
      </c>
      <c r="G33" s="369" t="e">
        <f>IF(E33=#REF!,IF(F33=#REF!,"T","F"))</f>
        <v>#REF!</v>
      </c>
    </row>
    <row r="34" spans="2:7">
      <c r="B34" s="369" t="s">
        <v>281</v>
      </c>
      <c r="C34" s="369" t="s">
        <v>70</v>
      </c>
      <c r="D34" s="369" t="s">
        <v>1725</v>
      </c>
      <c r="E34" s="659">
        <v>1.6885800000000002</v>
      </c>
      <c r="F34" s="369">
        <v>10</v>
      </c>
    </row>
    <row r="35" spans="2:7">
      <c r="B35" s="369" t="s">
        <v>289</v>
      </c>
      <c r="C35" s="369" t="s">
        <v>29</v>
      </c>
      <c r="D35" s="369" t="s">
        <v>1726</v>
      </c>
      <c r="E35" s="659">
        <v>0.62685480000000016</v>
      </c>
      <c r="F35" s="369">
        <v>5</v>
      </c>
    </row>
    <row r="36" spans="2:7">
      <c r="B36" s="369" t="s">
        <v>296</v>
      </c>
      <c r="C36" s="369" t="s">
        <v>297</v>
      </c>
      <c r="D36" s="369" t="s">
        <v>1466</v>
      </c>
      <c r="E36" s="659">
        <v>14.203906041162936</v>
      </c>
      <c r="F36" s="369">
        <v>10</v>
      </c>
    </row>
    <row r="37" spans="2:7">
      <c r="B37" s="369" t="s">
        <v>300</v>
      </c>
      <c r="C37" s="369" t="s">
        <v>301</v>
      </c>
      <c r="D37" s="369" t="s">
        <v>1727</v>
      </c>
      <c r="E37" s="659">
        <v>18.105283200000006</v>
      </c>
      <c r="F37" s="369">
        <v>13</v>
      </c>
    </row>
    <row r="38" spans="2:7">
      <c r="B38" s="369" t="s">
        <v>307</v>
      </c>
      <c r="C38" s="369" t="s">
        <v>308</v>
      </c>
      <c r="D38" s="369" t="s">
        <v>1728</v>
      </c>
      <c r="E38" s="659">
        <v>15.691759513499999</v>
      </c>
      <c r="F38" s="369">
        <v>8</v>
      </c>
    </row>
    <row r="39" spans="2:7">
      <c r="B39" s="369" t="s">
        <v>311</v>
      </c>
      <c r="C39" s="369" t="s">
        <v>312</v>
      </c>
      <c r="D39" s="369" t="s">
        <v>1728</v>
      </c>
      <c r="E39" s="659">
        <v>5.2305865045000006</v>
      </c>
      <c r="F39" s="369">
        <v>8</v>
      </c>
    </row>
    <row r="40" spans="2:7">
      <c r="B40" s="369" t="s">
        <v>271</v>
      </c>
      <c r="C40" s="369" t="s">
        <v>271</v>
      </c>
      <c r="D40" s="369" t="s">
        <v>1729</v>
      </c>
      <c r="E40" s="659">
        <v>3.8583000000000003</v>
      </c>
      <c r="F40" s="369">
        <v>18</v>
      </c>
    </row>
    <row r="41" spans="2:7">
      <c r="B41" s="369" t="s">
        <v>328</v>
      </c>
      <c r="C41" s="369" t="s">
        <v>265</v>
      </c>
      <c r="D41" s="369" t="s">
        <v>1730</v>
      </c>
      <c r="E41" s="659">
        <v>7.01722</v>
      </c>
      <c r="F41" s="369">
        <v>14</v>
      </c>
    </row>
    <row r="42" spans="2:7">
      <c r="B42" s="369" t="s">
        <v>1513</v>
      </c>
      <c r="C42" s="369" t="s">
        <v>121</v>
      </c>
      <c r="D42" s="369" t="s">
        <v>1532</v>
      </c>
      <c r="E42" s="659">
        <v>4.1961274774552741</v>
      </c>
      <c r="F42" s="369">
        <v>13</v>
      </c>
    </row>
    <row r="43" spans="2:7">
      <c r="B43" s="369" t="s">
        <v>1517</v>
      </c>
      <c r="C43" s="369" t="s">
        <v>121</v>
      </c>
      <c r="D43" s="369" t="s">
        <v>1518</v>
      </c>
      <c r="E43" s="659">
        <v>1.5429082353553014</v>
      </c>
      <c r="F43" s="369">
        <v>24</v>
      </c>
    </row>
    <row r="44" spans="2:7">
      <c r="B44" s="369" t="s">
        <v>1531</v>
      </c>
      <c r="C44" s="369" t="s">
        <v>70</v>
      </c>
      <c r="D44" s="369" t="s">
        <v>1532</v>
      </c>
      <c r="E44" s="659">
        <v>1.4611508182026358</v>
      </c>
      <c r="F44" s="369">
        <v>12</v>
      </c>
    </row>
    <row r="45" spans="2:7">
      <c r="B45" s="369" t="s">
        <v>1533</v>
      </c>
      <c r="C45" s="369" t="s">
        <v>1534</v>
      </c>
      <c r="D45" s="369" t="s">
        <v>1731</v>
      </c>
      <c r="E45" s="659">
        <v>1.6141000000000003</v>
      </c>
      <c r="F45" s="369">
        <v>1</v>
      </c>
    </row>
    <row r="46" spans="2:7">
      <c r="B46" s="369" t="s">
        <v>348</v>
      </c>
      <c r="C46" s="369" t="s">
        <v>349</v>
      </c>
      <c r="D46" s="369" t="s">
        <v>1732</v>
      </c>
      <c r="E46" s="659">
        <v>5.9650000000000007</v>
      </c>
      <c r="F46" s="369">
        <v>1</v>
      </c>
    </row>
    <row r="47" spans="2:7">
      <c r="B47" s="369" t="s">
        <v>351</v>
      </c>
      <c r="C47" s="369" t="s">
        <v>351</v>
      </c>
      <c r="D47" s="369" t="s">
        <v>234</v>
      </c>
      <c r="E47" s="659">
        <v>0</v>
      </c>
      <c r="F47" s="369">
        <v>8</v>
      </c>
    </row>
    <row r="48" spans="2:7">
      <c r="B48" s="369" t="s">
        <v>353</v>
      </c>
      <c r="C48" s="369" t="s">
        <v>354</v>
      </c>
      <c r="D48" s="369" t="s">
        <v>1733</v>
      </c>
      <c r="E48" s="659">
        <v>1.49</v>
      </c>
      <c r="F48" s="369">
        <v>6</v>
      </c>
    </row>
    <row r="49" spans="2:6">
      <c r="B49" s="369" t="s">
        <v>355</v>
      </c>
      <c r="C49" s="369" t="s">
        <v>356</v>
      </c>
      <c r="D49" s="369" t="s">
        <v>1725</v>
      </c>
      <c r="E49" s="659">
        <v>0.19417209600000002</v>
      </c>
      <c r="F49" s="369">
        <v>8</v>
      </c>
    </row>
    <row r="50" spans="2:6">
      <c r="B50" s="369" t="s">
        <v>364</v>
      </c>
      <c r="C50" s="369" t="s">
        <v>365</v>
      </c>
      <c r="D50" s="369" t="s">
        <v>1734</v>
      </c>
      <c r="E50" s="659">
        <v>7.2666827999999999</v>
      </c>
      <c r="F50" s="369">
        <v>9</v>
      </c>
    </row>
    <row r="51" spans="2:6">
      <c r="B51" s="369" t="s">
        <v>378</v>
      </c>
      <c r="C51" s="369" t="s">
        <v>378</v>
      </c>
      <c r="D51" s="369" t="s">
        <v>1732</v>
      </c>
      <c r="E51" s="659">
        <v>18.399999999999999</v>
      </c>
      <c r="F51" s="369">
        <v>1</v>
      </c>
    </row>
    <row r="52" spans="2:6">
      <c r="B52" s="369" t="s">
        <v>360</v>
      </c>
      <c r="C52" s="369" t="s">
        <v>361</v>
      </c>
      <c r="D52" s="369" t="s">
        <v>236</v>
      </c>
      <c r="E52" s="659">
        <v>34.856697651063755</v>
      </c>
      <c r="F52" s="369">
        <v>9</v>
      </c>
    </row>
    <row r="53" spans="2:6">
      <c r="B53" s="660" t="s">
        <v>358</v>
      </c>
      <c r="C53" s="660" t="s">
        <v>359</v>
      </c>
      <c r="D53" s="660" t="s">
        <v>1735</v>
      </c>
      <c r="E53" s="661">
        <v>0</v>
      </c>
      <c r="F53" s="660">
        <v>0</v>
      </c>
    </row>
    <row r="54" spans="2:6">
      <c r="B54" s="660" t="s">
        <v>373</v>
      </c>
      <c r="C54" s="660" t="s">
        <v>374</v>
      </c>
      <c r="D54" s="660" t="s">
        <v>375</v>
      </c>
      <c r="E54" s="661">
        <v>0</v>
      </c>
      <c r="F54" s="660">
        <v>0</v>
      </c>
    </row>
    <row r="55" spans="2:6">
      <c r="B55" s="660" t="s">
        <v>376</v>
      </c>
      <c r="C55" s="660" t="s">
        <v>377</v>
      </c>
      <c r="D55" s="660" t="s">
        <v>1736</v>
      </c>
      <c r="E55" s="661">
        <v>0</v>
      </c>
      <c r="F55" s="660">
        <v>0</v>
      </c>
    </row>
    <row r="56" spans="2:6">
      <c r="B56" s="660" t="s">
        <v>379</v>
      </c>
      <c r="C56" s="660" t="s">
        <v>379</v>
      </c>
      <c r="D56" s="660" t="s">
        <v>380</v>
      </c>
      <c r="E56" s="661">
        <v>0</v>
      </c>
      <c r="F56" s="660">
        <v>0</v>
      </c>
    </row>
    <row r="57" spans="2:6">
      <c r="B57" s="660" t="s">
        <v>381</v>
      </c>
      <c r="C57" s="660" t="s">
        <v>382</v>
      </c>
      <c r="D57" s="660" t="s">
        <v>383</v>
      </c>
      <c r="E57" s="661">
        <v>0</v>
      </c>
      <c r="F57" s="660">
        <v>0</v>
      </c>
    </row>
    <row r="58" spans="2:6">
      <c r="B58" s="660" t="s">
        <v>384</v>
      </c>
      <c r="C58" s="660" t="s">
        <v>385</v>
      </c>
      <c r="D58" s="660" t="s">
        <v>383</v>
      </c>
      <c r="E58" s="661">
        <v>0</v>
      </c>
      <c r="F58" s="660">
        <v>0</v>
      </c>
    </row>
    <row r="59" spans="2:6">
      <c r="B59" s="660" t="s">
        <v>386</v>
      </c>
      <c r="C59" s="660" t="s">
        <v>386</v>
      </c>
      <c r="D59" s="660" t="s">
        <v>383</v>
      </c>
      <c r="E59" s="661">
        <v>0</v>
      </c>
      <c r="F59" s="660">
        <v>0</v>
      </c>
    </row>
    <row r="60" spans="2:6">
      <c r="B60" s="660" t="s">
        <v>387</v>
      </c>
      <c r="C60" s="660" t="s">
        <v>387</v>
      </c>
      <c r="D60" s="660" t="s">
        <v>383</v>
      </c>
      <c r="E60" s="661">
        <v>0</v>
      </c>
      <c r="F60" s="660">
        <v>0</v>
      </c>
    </row>
    <row r="61" spans="2:6">
      <c r="B61" s="660" t="s">
        <v>388</v>
      </c>
      <c r="C61" s="660" t="s">
        <v>389</v>
      </c>
      <c r="D61" s="660" t="s">
        <v>383</v>
      </c>
      <c r="E61" s="661">
        <v>0</v>
      </c>
      <c r="F61" s="660">
        <v>0</v>
      </c>
    </row>
    <row r="62" spans="2:6">
      <c r="B62" s="660" t="s">
        <v>390</v>
      </c>
      <c r="C62" s="660" t="s">
        <v>391</v>
      </c>
      <c r="D62" s="660" t="s">
        <v>380</v>
      </c>
      <c r="E62" s="661">
        <v>0</v>
      </c>
      <c r="F62" s="660">
        <v>0</v>
      </c>
    </row>
    <row r="63" spans="2:6">
      <c r="B63" s="660" t="s">
        <v>273</v>
      </c>
      <c r="C63" s="660" t="s">
        <v>273</v>
      </c>
      <c r="D63" s="660" t="s">
        <v>392</v>
      </c>
      <c r="E63" s="661">
        <v>0</v>
      </c>
      <c r="F63" s="660">
        <v>0</v>
      </c>
    </row>
    <row r="64" spans="2:6">
      <c r="B64" s="660" t="s">
        <v>393</v>
      </c>
      <c r="C64" s="660" t="s">
        <v>393</v>
      </c>
      <c r="D64" s="660" t="s">
        <v>394</v>
      </c>
      <c r="E64" s="661">
        <v>0</v>
      </c>
      <c r="F64" s="660">
        <v>0</v>
      </c>
    </row>
    <row r="65" spans="2:6">
      <c r="B65" s="660" t="s">
        <v>396</v>
      </c>
      <c r="C65" s="660" t="s">
        <v>397</v>
      </c>
      <c r="D65" s="660" t="s">
        <v>398</v>
      </c>
      <c r="E65" s="661">
        <v>0</v>
      </c>
      <c r="F65" s="660">
        <v>0</v>
      </c>
    </row>
    <row r="66" spans="2:6">
      <c r="B66" s="660" t="s">
        <v>399</v>
      </c>
      <c r="C66" s="660" t="s">
        <v>400</v>
      </c>
      <c r="D66" s="660" t="s">
        <v>401</v>
      </c>
      <c r="E66" s="661">
        <v>0</v>
      </c>
      <c r="F66" s="660">
        <v>0</v>
      </c>
    </row>
  </sheetData>
  <printOptions horizontalCentered="1"/>
  <pageMargins left="0.31496062992125984" right="0.31496062992125984" top="0.55118110236220474" bottom="0.7480314960629921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14B-BF4A-4E56-8C20-5497676CEDA1}">
  <sheetPr codeName="Sheet23"/>
  <dimension ref="B2:E33"/>
  <sheetViews>
    <sheetView topLeftCell="A10" zoomScaleNormal="100" workbookViewId="0">
      <selection activeCell="D11" sqref="D11"/>
    </sheetView>
  </sheetViews>
  <sheetFormatPr defaultColWidth="8.6640625" defaultRowHeight="13.2"/>
  <cols>
    <col min="1" max="1" width="2.6640625" style="369" customWidth="1"/>
    <col min="2" max="16384" width="8.6640625" style="369"/>
  </cols>
  <sheetData>
    <row r="2" spans="2:4">
      <c r="B2" s="369" t="s">
        <v>1737</v>
      </c>
    </row>
    <row r="3" spans="2:4">
      <c r="B3" s="369" t="s">
        <v>1738</v>
      </c>
    </row>
    <row r="4" spans="2:4">
      <c r="B4" s="369" t="s">
        <v>1739</v>
      </c>
    </row>
    <row r="6" spans="2:4">
      <c r="B6" s="369" t="s">
        <v>571</v>
      </c>
    </row>
    <row r="7" spans="2:4">
      <c r="B7" s="369" t="s">
        <v>1740</v>
      </c>
    </row>
    <row r="8" spans="2:4">
      <c r="B8" s="369" t="s">
        <v>1741</v>
      </c>
    </row>
    <row r="9" spans="2:4">
      <c r="B9" s="369" t="s">
        <v>1742</v>
      </c>
    </row>
    <row r="11" spans="2:4">
      <c r="B11" s="369" t="s">
        <v>1164</v>
      </c>
    </row>
    <row r="12" spans="2:4">
      <c r="B12" s="369" t="s">
        <v>1743</v>
      </c>
    </row>
    <row r="14" spans="2:4">
      <c r="B14" s="369" t="s">
        <v>1744</v>
      </c>
      <c r="D14" s="369" t="s">
        <v>1745</v>
      </c>
    </row>
    <row r="15" spans="2:4">
      <c r="B15" s="369" t="s">
        <v>1746</v>
      </c>
      <c r="D15" s="369" t="s">
        <v>1747</v>
      </c>
    </row>
    <row r="16" spans="2:4">
      <c r="B16" s="369" t="s">
        <v>1748</v>
      </c>
    </row>
    <row r="17" spans="2:5">
      <c r="B17" s="369" t="s">
        <v>1749</v>
      </c>
      <c r="D17" s="369" t="s">
        <v>1750</v>
      </c>
    </row>
    <row r="19" spans="2:5">
      <c r="B19" s="369" t="s">
        <v>1751</v>
      </c>
      <c r="E19" s="369" t="s">
        <v>1752</v>
      </c>
    </row>
    <row r="21" spans="2:5">
      <c r="B21" s="369" t="s">
        <v>1753</v>
      </c>
      <c r="D21" s="369" t="s">
        <v>1754</v>
      </c>
    </row>
    <row r="23" spans="2:5">
      <c r="B23" s="369" t="s">
        <v>1755</v>
      </c>
      <c r="D23" s="369" t="s">
        <v>1756</v>
      </c>
    </row>
    <row r="25" spans="2:5">
      <c r="B25" s="369" t="s">
        <v>1757</v>
      </c>
    </row>
    <row r="26" spans="2:5">
      <c r="B26" s="369" t="s">
        <v>1758</v>
      </c>
    </row>
    <row r="27" spans="2:5">
      <c r="B27" s="369" t="s">
        <v>1759</v>
      </c>
    </row>
    <row r="28" spans="2:5">
      <c r="B28" s="369" t="s">
        <v>1760</v>
      </c>
    </row>
    <row r="29" spans="2:5">
      <c r="B29" s="369" t="s">
        <v>1761</v>
      </c>
    </row>
    <row r="30" spans="2:5">
      <c r="B30" s="369" t="s">
        <v>1762</v>
      </c>
    </row>
    <row r="31" spans="2:5">
      <c r="B31" s="369" t="s">
        <v>1763</v>
      </c>
    </row>
    <row r="32" spans="2:5">
      <c r="B32" s="369" t="s">
        <v>1764</v>
      </c>
    </row>
    <row r="33" spans="2:2">
      <c r="B33" s="369" t="s">
        <v>1765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B60-DF4C-48FF-8633-B3C120B11F67}">
  <sheetPr codeName="Sheet24">
    <tabColor theme="7" tint="0.59999389629810485"/>
    <outlinePr summaryBelow="0" summaryRight="0"/>
    <pageSetUpPr fitToPage="1"/>
  </sheetPr>
  <dimension ref="A1:AG688"/>
  <sheetViews>
    <sheetView zoomScale="91" zoomScaleNormal="100" workbookViewId="0">
      <pane xSplit="2" ySplit="4" topLeftCell="C5" activePane="bottomRight" state="frozen"/>
      <selection pane="topRight" activeCell="D11" sqref="D11"/>
      <selection pane="bottomLeft" activeCell="D11" sqref="D11"/>
      <selection pane="bottomRight" activeCell="D11" sqref="D11"/>
    </sheetView>
  </sheetViews>
  <sheetFormatPr defaultColWidth="9.44140625" defaultRowHeight="13.2" outlineLevelRow="4"/>
  <cols>
    <col min="1" max="1" width="0.5546875" style="373" customWidth="1"/>
    <col min="2" max="2" width="32.33203125" style="373" bestFit="1" customWidth="1"/>
    <col min="3" max="3" width="16.33203125" style="373" bestFit="1" customWidth="1"/>
    <col min="4" max="4" width="12.5546875" style="373" customWidth="1"/>
    <col min="5" max="5" width="14.44140625" style="373" customWidth="1"/>
    <col min="6" max="6" width="61.6640625" style="427" customWidth="1"/>
    <col min="7" max="7" width="0.5546875" style="373" customWidth="1"/>
    <col min="8" max="8" width="13.33203125" style="373" customWidth="1"/>
    <col min="9" max="9" width="9.44140625" style="373" customWidth="1"/>
    <col min="10" max="10" width="0.5546875" style="373" customWidth="1"/>
    <col min="11" max="11" width="13.33203125" style="373" customWidth="1"/>
    <col min="12" max="12" width="9.44140625" style="373" customWidth="1"/>
    <col min="13" max="13" width="0.5546875" style="373" customWidth="1"/>
    <col min="14" max="15" width="9.44140625" style="373"/>
    <col min="16" max="16" width="25.6640625" style="373" bestFit="1" customWidth="1"/>
    <col min="17" max="18" width="9.5546875" style="373" bestFit="1" customWidth="1"/>
    <col min="19" max="19" width="7" style="373" bestFit="1" customWidth="1"/>
    <col min="20" max="20" width="8.5546875" style="373" bestFit="1" customWidth="1"/>
    <col min="21" max="21" width="12.5546875" style="373" customWidth="1"/>
    <col min="22" max="22" width="7.5546875" style="373" bestFit="1" customWidth="1"/>
    <col min="23" max="23" width="5.5546875" style="373" bestFit="1" customWidth="1"/>
    <col min="24" max="24" width="9.44140625" style="373" bestFit="1" customWidth="1"/>
    <col min="25" max="28" width="9.44140625" style="373"/>
    <col min="29" max="29" width="9.44140625" style="373" bestFit="1" customWidth="1"/>
    <col min="30" max="16384" width="9.441406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67" t="s">
        <v>1766</v>
      </c>
      <c r="I1" s="868"/>
      <c r="J1" s="372"/>
      <c r="K1" s="867" t="s">
        <v>1767</v>
      </c>
      <c r="L1" s="868"/>
      <c r="M1" s="372"/>
      <c r="O1" s="442" t="s">
        <v>1768</v>
      </c>
      <c r="P1" s="442" t="s">
        <v>1769</v>
      </c>
      <c r="Q1" s="615" t="s">
        <v>27</v>
      </c>
      <c r="R1" s="442" t="s">
        <v>1770</v>
      </c>
    </row>
    <row r="2" spans="1:33" s="416" customFormat="1" ht="17.399999999999999">
      <c r="A2" s="376"/>
      <c r="B2" s="418" t="s">
        <v>0</v>
      </c>
      <c r="C2" s="418"/>
      <c r="D2" s="418"/>
      <c r="E2" s="418"/>
      <c r="F2" s="423"/>
      <c r="G2" s="376"/>
      <c r="H2" s="419" t="s">
        <v>1</v>
      </c>
      <c r="I2" s="420" t="s">
        <v>6</v>
      </c>
      <c r="J2" s="376"/>
      <c r="K2" s="419" t="s">
        <v>1</v>
      </c>
      <c r="L2" s="420" t="s">
        <v>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374"/>
      <c r="H4" s="434">
        <f>SUM(H6+H445)</f>
        <v>115.48102663982863</v>
      </c>
      <c r="I4" s="434">
        <f>SUM(I6+I445)</f>
        <v>405</v>
      </c>
      <c r="J4" s="374"/>
      <c r="K4" s="467">
        <f>SUM(K6+K445)</f>
        <v>9.4373262808891081</v>
      </c>
      <c r="L4" s="434">
        <f>SUM(L6+L445)</f>
        <v>38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13</v>
      </c>
      <c r="C6" s="431"/>
      <c r="D6" s="430"/>
      <c r="E6" s="430"/>
      <c r="F6" s="432"/>
      <c r="G6" s="372"/>
      <c r="H6" s="436">
        <f>SUM(H8,H30,H77,H92,H126,H159,H175,H191,H218,H231,H262,H290,H294,H331,H353,H360,H373,H386,H397,H417,H429,H436,H442,H90)</f>
        <v>38.334425144227531</v>
      </c>
      <c r="I6" s="459">
        <f>SUM(I8,I30,I77,I92,I126,I159,I175,I191,I218,I231,I262,I290,I294,I331,I353,,I360,I373,I386,I397,I417,I429,I436,I442,I90)</f>
        <v>255</v>
      </c>
      <c r="J6" s="372"/>
      <c r="K6" s="436">
        <f>SUM(K8,K30,K77,K92,K126,K159,K175,K191,K218,K231,K262,K290,K294,K331,K353,K360,K373,K386,K397,K417,K429,K436,K442,K90)</f>
        <v>6.8334516782412074</v>
      </c>
      <c r="L6" s="459">
        <f>SUM(L8,L30,L77,L92,L126,L159,L175,L191,L218,L231,L262,L290,L294,L331,L353,,L360,L373,L386,L397,L417,L429,L436,L442,L90)</f>
        <v>30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632" t="s">
        <v>14</v>
      </c>
      <c r="C8" s="633" t="s">
        <v>15</v>
      </c>
      <c r="D8" s="633"/>
      <c r="E8" s="632"/>
      <c r="F8" s="634" t="s">
        <v>16</v>
      </c>
      <c r="G8" s="633"/>
      <c r="H8" s="635">
        <f>SUM(H9,H20,H27)</f>
        <v>0.43271940249580965</v>
      </c>
      <c r="I8" s="636">
        <f>SUM(I9,I20,I27)</f>
        <v>8</v>
      </c>
      <c r="J8" s="633"/>
      <c r="K8" s="635">
        <f>SUM(K9,K20,K27)</f>
        <v>0</v>
      </c>
      <c r="L8" s="636">
        <f>SUM(L9,L20,L27)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>
      <c r="A9" s="372"/>
      <c r="B9" s="385" t="s">
        <v>14</v>
      </c>
      <c r="C9" s="385" t="s">
        <v>15</v>
      </c>
      <c r="D9" s="385" t="s">
        <v>17</v>
      </c>
      <c r="E9" s="380"/>
      <c r="F9" s="424" t="s">
        <v>16</v>
      </c>
      <c r="G9" s="385"/>
      <c r="H9" s="405">
        <f>SUM(H10:H18)</f>
        <v>0.39703158217785306</v>
      </c>
      <c r="I9" s="396">
        <f>SUM(I10:I18)</f>
        <v>4</v>
      </c>
      <c r="J9" s="385"/>
      <c r="K9" s="405">
        <f>SUM(K10:K18)</f>
        <v>0</v>
      </c>
      <c r="L9" s="396">
        <f>SUM(L10:L18)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14</v>
      </c>
      <c r="C10" s="372" t="s">
        <v>18</v>
      </c>
      <c r="D10" s="372" t="s">
        <v>17</v>
      </c>
      <c r="E10" s="376" t="s">
        <v>19</v>
      </c>
      <c r="F10" s="422" t="s">
        <v>20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idden="1" outlineLevel="3">
      <c r="A11" s="372"/>
      <c r="B11" s="372"/>
      <c r="C11" s="372"/>
      <c r="D11" s="372"/>
      <c r="E11" s="376"/>
      <c r="F11" s="655" t="s">
        <v>1771</v>
      </c>
      <c r="G11" s="372"/>
      <c r="H11" s="399"/>
      <c r="I11" s="378"/>
      <c r="J11" s="372"/>
      <c r="K11" s="399"/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t="26.4" hidden="1" outlineLevel="3">
      <c r="A12" s="372"/>
      <c r="B12" s="372" t="s">
        <v>14</v>
      </c>
      <c r="C12" s="372" t="s">
        <v>18</v>
      </c>
      <c r="D12" s="372" t="s">
        <v>17</v>
      </c>
      <c r="E12" s="376" t="s">
        <v>19</v>
      </c>
      <c r="F12" s="422" t="s">
        <v>21</v>
      </c>
      <c r="G12" s="372"/>
      <c r="H12" s="377">
        <v>4.5377035860000005E-2</v>
      </c>
      <c r="I12" s="378">
        <v>1</v>
      </c>
      <c r="J12" s="372"/>
      <c r="K12" s="399">
        <f t="shared" ref="K12:K18" si="0">IF(L12=1,H12,0)</f>
        <v>0</v>
      </c>
      <c r="L12" s="378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/>
      <c r="C13" s="372"/>
      <c r="D13" s="372"/>
      <c r="E13" s="376"/>
      <c r="F13" s="655" t="s">
        <v>1772</v>
      </c>
      <c r="G13" s="372"/>
      <c r="H13" s="377"/>
      <c r="I13" s="378"/>
      <c r="J13" s="372"/>
      <c r="K13" s="399"/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3">
      <c r="A14" s="372"/>
      <c r="B14" s="372" t="s">
        <v>14</v>
      </c>
      <c r="C14" s="372" t="s">
        <v>22</v>
      </c>
      <c r="D14" s="372" t="s">
        <v>17</v>
      </c>
      <c r="E14" s="376" t="s">
        <v>19</v>
      </c>
      <c r="F14" s="422" t="s">
        <v>23</v>
      </c>
      <c r="G14" s="372"/>
      <c r="H14" s="399">
        <v>4.2238262499999998E-2</v>
      </c>
      <c r="I14" s="397">
        <v>1</v>
      </c>
      <c r="J14" s="372"/>
      <c r="K14" s="399">
        <f t="shared" si="0"/>
        <v>0</v>
      </c>
      <c r="L14" s="397"/>
      <c r="M14" s="372"/>
      <c r="N14" s="375"/>
      <c r="O14" s="379"/>
      <c r="P14" s="379"/>
      <c r="Q14" s="379"/>
      <c r="R14" s="381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idden="1" outlineLevel="3">
      <c r="A15" s="372"/>
      <c r="B15" s="372"/>
      <c r="C15" s="372"/>
      <c r="D15" s="372"/>
      <c r="E15" s="376"/>
      <c r="F15" s="655" t="s">
        <v>1773</v>
      </c>
      <c r="G15" s="372"/>
      <c r="H15" s="399"/>
      <c r="I15" s="397"/>
      <c r="J15" s="372"/>
      <c r="K15" s="399"/>
      <c r="L15" s="397"/>
      <c r="M15" s="372"/>
      <c r="N15" s="375"/>
      <c r="O15" s="379"/>
      <c r="P15" s="379"/>
      <c r="Q15" s="379"/>
      <c r="R15" s="381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/>
      <c r="C16" s="372"/>
      <c r="D16" s="372"/>
      <c r="E16" s="376"/>
      <c r="F16" s="655" t="s">
        <v>1774</v>
      </c>
      <c r="G16" s="372"/>
      <c r="H16" s="399"/>
      <c r="I16" s="397"/>
      <c r="J16" s="372"/>
      <c r="K16" s="399"/>
      <c r="L16" s="397"/>
      <c r="M16" s="372"/>
      <c r="N16" s="375"/>
      <c r="O16" s="379"/>
      <c r="P16" s="379"/>
      <c r="Q16" s="379"/>
      <c r="R16" s="381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/>
      <c r="C17" s="372"/>
      <c r="D17" s="372"/>
      <c r="E17" s="376"/>
      <c r="F17" s="655" t="s">
        <v>1775</v>
      </c>
      <c r="G17" s="372"/>
      <c r="H17" s="399"/>
      <c r="I17" s="397"/>
      <c r="J17" s="372"/>
      <c r="K17" s="399"/>
      <c r="L17" s="397"/>
      <c r="M17" s="372"/>
    </row>
    <row r="18" spans="2:13" hidden="1" outlineLevel="3">
      <c r="B18" s="372" t="s">
        <v>14</v>
      </c>
      <c r="C18" s="372" t="s">
        <v>22</v>
      </c>
      <c r="D18" s="372" t="s">
        <v>17</v>
      </c>
      <c r="E18" s="376" t="s">
        <v>19</v>
      </c>
      <c r="F18" s="422" t="s">
        <v>24</v>
      </c>
      <c r="G18" s="372"/>
      <c r="H18" s="377">
        <v>3.9416283817853004E-2</v>
      </c>
      <c r="I18" s="378">
        <v>1</v>
      </c>
      <c r="J18" s="372"/>
      <c r="K18" s="399">
        <f t="shared" si="0"/>
        <v>0</v>
      </c>
      <c r="L18" s="378"/>
      <c r="M18" s="372"/>
    </row>
    <row r="19" spans="2:13" hidden="1" outlineLevel="3">
      <c r="B19" s="372"/>
      <c r="C19" s="372"/>
      <c r="D19" s="372"/>
      <c r="E19" s="376"/>
      <c r="F19" s="655" t="s">
        <v>1776</v>
      </c>
      <c r="G19" s="372"/>
      <c r="H19" s="377"/>
      <c r="I19" s="378"/>
      <c r="J19" s="372"/>
      <c r="K19" s="399"/>
      <c r="L19" s="378"/>
      <c r="M19" s="372"/>
    </row>
    <row r="20" spans="2:13" hidden="1" outlineLevel="2">
      <c r="B20" s="385" t="s">
        <v>14</v>
      </c>
      <c r="C20" s="385" t="s">
        <v>15</v>
      </c>
      <c r="D20" s="385" t="s">
        <v>25</v>
      </c>
      <c r="E20" s="385"/>
      <c r="F20" s="424" t="s">
        <v>16</v>
      </c>
      <c r="G20" s="385"/>
      <c r="H20" s="405">
        <f>SUM(H21:H25)</f>
        <v>2.1350947217956596E-2</v>
      </c>
      <c r="I20" s="396">
        <f>SUM(I21:I25)</f>
        <v>3</v>
      </c>
      <c r="J20" s="385"/>
      <c r="K20" s="405">
        <f>SUM(K21:K25)</f>
        <v>0</v>
      </c>
      <c r="L20" s="396">
        <f>SUM(L21:L25)</f>
        <v>0</v>
      </c>
      <c r="M20" s="372"/>
    </row>
    <row r="21" spans="2:13" ht="26.4" hidden="1" outlineLevel="3">
      <c r="B21" s="372" t="s">
        <v>14</v>
      </c>
      <c r="C21" s="372" t="s">
        <v>18</v>
      </c>
      <c r="D21" s="372" t="s">
        <v>25</v>
      </c>
      <c r="E21" s="372" t="s">
        <v>26</v>
      </c>
      <c r="F21" s="422" t="s">
        <v>21</v>
      </c>
      <c r="G21" s="372"/>
      <c r="H21" s="399">
        <v>5.2867302539999998E-3</v>
      </c>
      <c r="I21" s="378">
        <v>1</v>
      </c>
      <c r="J21" s="372"/>
      <c r="K21" s="399">
        <f t="shared" ref="K21:K25" si="1">IF(L21=1,H21,0)</f>
        <v>0</v>
      </c>
      <c r="L21" s="378"/>
      <c r="M21" s="372"/>
    </row>
    <row r="22" spans="2:13" hidden="1" outlineLevel="3">
      <c r="B22" s="372" t="s">
        <v>14</v>
      </c>
      <c r="C22" s="372" t="s">
        <v>22</v>
      </c>
      <c r="D22" s="372" t="s">
        <v>25</v>
      </c>
      <c r="E22" s="372" t="s">
        <v>26</v>
      </c>
      <c r="F22" s="422" t="s">
        <v>23</v>
      </c>
      <c r="G22" s="372"/>
      <c r="H22" s="399">
        <v>1.0861267500000001E-2</v>
      </c>
      <c r="I22" s="397">
        <v>1</v>
      </c>
      <c r="J22" s="372"/>
      <c r="K22" s="399">
        <f t="shared" si="1"/>
        <v>0</v>
      </c>
      <c r="L22" s="397"/>
      <c r="M22" s="372"/>
    </row>
    <row r="23" spans="2:13" hidden="1" outlineLevel="3">
      <c r="B23" s="372"/>
      <c r="C23" s="372"/>
      <c r="D23" s="372"/>
      <c r="E23" s="372"/>
      <c r="F23" s="655" t="s">
        <v>1774</v>
      </c>
      <c r="G23" s="372"/>
      <c r="H23" s="399"/>
      <c r="I23" s="397"/>
      <c r="J23" s="372"/>
      <c r="K23" s="399"/>
      <c r="L23" s="397"/>
      <c r="M23" s="372"/>
    </row>
    <row r="24" spans="2:13" hidden="1" outlineLevel="3">
      <c r="B24" s="372"/>
      <c r="C24" s="372"/>
      <c r="D24" s="372"/>
      <c r="E24" s="372"/>
      <c r="F24" s="655" t="s">
        <v>1777</v>
      </c>
      <c r="G24" s="372"/>
      <c r="H24" s="399"/>
      <c r="I24" s="397"/>
      <c r="J24" s="372"/>
      <c r="K24" s="399"/>
      <c r="L24" s="397"/>
      <c r="M24" s="372"/>
    </row>
    <row r="25" spans="2:13" hidden="1" outlineLevel="3">
      <c r="B25" s="372" t="s">
        <v>14</v>
      </c>
      <c r="C25" s="372" t="s">
        <v>22</v>
      </c>
      <c r="D25" s="372" t="s">
        <v>25</v>
      </c>
      <c r="E25" s="372" t="s">
        <v>26</v>
      </c>
      <c r="F25" s="422" t="s">
        <v>24</v>
      </c>
      <c r="G25" s="372"/>
      <c r="H25" s="399">
        <v>5.2029494639565963E-3</v>
      </c>
      <c r="I25" s="378">
        <v>1</v>
      </c>
      <c r="J25" s="372"/>
      <c r="K25" s="399">
        <f t="shared" si="1"/>
        <v>0</v>
      </c>
      <c r="L25" s="378"/>
      <c r="M25" s="372"/>
    </row>
    <row r="26" spans="2:13" hidden="1" outlineLevel="3">
      <c r="B26" s="372"/>
      <c r="C26" s="372"/>
      <c r="D26" s="372"/>
      <c r="E26" s="372"/>
      <c r="F26" s="655" t="s">
        <v>1778</v>
      </c>
      <c r="G26" s="372"/>
      <c r="H26" s="399"/>
      <c r="I26" s="378"/>
      <c r="J26" s="372"/>
      <c r="K26" s="399"/>
      <c r="L26" s="378"/>
      <c r="M26" s="372"/>
    </row>
    <row r="27" spans="2:13" hidden="1" outlineLevel="2">
      <c r="B27" s="385" t="s">
        <v>14</v>
      </c>
      <c r="C27" s="385" t="s">
        <v>15</v>
      </c>
      <c r="D27" s="385" t="s">
        <v>27</v>
      </c>
      <c r="E27" s="385"/>
      <c r="F27" s="424" t="s">
        <v>16</v>
      </c>
      <c r="G27" s="385"/>
      <c r="H27" s="405">
        <f>SUM(H28:H28)</f>
        <v>1.4336873100000001E-2</v>
      </c>
      <c r="I27" s="396">
        <f>SUM(I28:I28)</f>
        <v>1</v>
      </c>
      <c r="J27" s="385"/>
      <c r="K27" s="405">
        <f>SUM(K28:K28)</f>
        <v>0</v>
      </c>
      <c r="L27" s="396">
        <f>SUM(L28:L28)</f>
        <v>0</v>
      </c>
      <c r="M27" s="372"/>
    </row>
    <row r="28" spans="2:13" hidden="1" outlineLevel="3">
      <c r="B28" s="372" t="s">
        <v>14</v>
      </c>
      <c r="C28" s="372" t="s">
        <v>22</v>
      </c>
      <c r="D28" s="372" t="s">
        <v>27</v>
      </c>
      <c r="E28" s="372" t="s">
        <v>28</v>
      </c>
      <c r="F28" s="422" t="s">
        <v>23</v>
      </c>
      <c r="G28" s="372"/>
      <c r="H28" s="399">
        <v>1.4336873100000001E-2</v>
      </c>
      <c r="I28" s="378">
        <v>1</v>
      </c>
      <c r="J28" s="372"/>
      <c r="K28" s="399">
        <f>IF(L28=1,H28,0)</f>
        <v>0</v>
      </c>
      <c r="L28" s="378"/>
      <c r="M28" s="372"/>
    </row>
    <row r="29" spans="2:13" hidden="1" outlineLevel="3">
      <c r="B29" s="372"/>
      <c r="C29" s="372"/>
      <c r="D29" s="372"/>
      <c r="E29" s="372"/>
      <c r="F29" s="655" t="s">
        <v>1777</v>
      </c>
      <c r="G29" s="372"/>
      <c r="H29" s="399"/>
      <c r="I29" s="378"/>
      <c r="J29" s="372"/>
      <c r="K29" s="399"/>
      <c r="L29" s="378"/>
      <c r="M29" s="372"/>
    </row>
    <row r="30" spans="2:13" s="390" customFormat="1" outlineLevel="1" collapsed="1">
      <c r="B30" s="632" t="s">
        <v>14</v>
      </c>
      <c r="C30" s="633" t="s">
        <v>29</v>
      </c>
      <c r="D30" s="633"/>
      <c r="E30" s="632"/>
      <c r="F30" s="634" t="s">
        <v>16</v>
      </c>
      <c r="G30" s="633"/>
      <c r="H30" s="637">
        <f>SUM(H31,H47,H63,H71)</f>
        <v>2.5304736483581025</v>
      </c>
      <c r="I30" s="638">
        <f>SUM(I31,I47,I63,I71)</f>
        <v>42</v>
      </c>
      <c r="J30" s="633"/>
      <c r="K30" s="637">
        <f>SUM(K31,K47,K63,K71)</f>
        <v>0.8915713486970871</v>
      </c>
      <c r="L30" s="638">
        <f>SUM(L31,L47,L63,L71)</f>
        <v>12</v>
      </c>
      <c r="M30" s="385"/>
    </row>
    <row r="31" spans="2:13" hidden="1" outlineLevel="2">
      <c r="B31" s="380" t="s">
        <v>14</v>
      </c>
      <c r="C31" s="385" t="s">
        <v>29</v>
      </c>
      <c r="D31" s="385" t="s">
        <v>17</v>
      </c>
      <c r="E31" s="380"/>
      <c r="F31" s="424" t="s">
        <v>16</v>
      </c>
      <c r="G31" s="404">
        <f t="shared" ref="G31:M31" si="2">SUM(G32:G46)</f>
        <v>0</v>
      </c>
      <c r="H31" s="405">
        <f t="shared" si="2"/>
        <v>1.8087697963035858</v>
      </c>
      <c r="I31" s="404">
        <f t="shared" si="2"/>
        <v>15</v>
      </c>
      <c r="J31" s="404">
        <f t="shared" si="2"/>
        <v>0</v>
      </c>
      <c r="K31" s="405">
        <f t="shared" si="2"/>
        <v>0.68495917174041221</v>
      </c>
      <c r="L31" s="404">
        <f t="shared" si="2"/>
        <v>3</v>
      </c>
      <c r="M31" s="397">
        <f t="shared" si="2"/>
        <v>0</v>
      </c>
    </row>
    <row r="32" spans="2:13" hidden="1" outlineLevel="3">
      <c r="B32" s="372" t="s">
        <v>14</v>
      </c>
      <c r="C32" s="372" t="s">
        <v>29</v>
      </c>
      <c r="D32" s="372" t="s">
        <v>17</v>
      </c>
      <c r="E32" s="387" t="s">
        <v>19</v>
      </c>
      <c r="F32" s="422" t="s">
        <v>30</v>
      </c>
      <c r="G32" s="372"/>
      <c r="H32" s="399">
        <v>0.27398366869616486</v>
      </c>
      <c r="I32" s="397">
        <v>1</v>
      </c>
      <c r="J32" s="372"/>
      <c r="K32" s="399">
        <f t="shared" ref="K32:K46" si="3">IF(L32=1,H32,0)</f>
        <v>0.27398366869616486</v>
      </c>
      <c r="L32" s="397">
        <v>1</v>
      </c>
      <c r="M32" s="372"/>
    </row>
    <row r="33" spans="2:13" hidden="1" outlineLevel="3">
      <c r="B33" s="372" t="s">
        <v>14</v>
      </c>
      <c r="C33" s="372" t="s">
        <v>29</v>
      </c>
      <c r="D33" s="372" t="s">
        <v>17</v>
      </c>
      <c r="E33" s="387" t="s">
        <v>19</v>
      </c>
      <c r="F33" s="422" t="s">
        <v>31</v>
      </c>
      <c r="G33" s="372"/>
      <c r="H33" s="399">
        <v>0.27398366869616486</v>
      </c>
      <c r="I33" s="397">
        <v>1</v>
      </c>
      <c r="J33" s="372"/>
      <c r="K33" s="399">
        <f t="shared" si="3"/>
        <v>0.27398366869616486</v>
      </c>
      <c r="L33" s="397">
        <v>1</v>
      </c>
      <c r="M33" s="372"/>
    </row>
    <row r="34" spans="2:13" hidden="1" outlineLevel="3">
      <c r="B34" s="372" t="s">
        <v>14</v>
      </c>
      <c r="C34" s="372" t="s">
        <v>29</v>
      </c>
      <c r="D34" s="372" t="s">
        <v>17</v>
      </c>
      <c r="E34" s="387" t="s">
        <v>19</v>
      </c>
      <c r="F34" s="422" t="s">
        <v>32</v>
      </c>
      <c r="G34" s="372"/>
      <c r="H34" s="399">
        <v>0.13699183434808243</v>
      </c>
      <c r="I34" s="397">
        <v>1</v>
      </c>
      <c r="J34" s="372"/>
      <c r="K34" s="399">
        <f t="shared" si="3"/>
        <v>0.13699183434808243</v>
      </c>
      <c r="L34" s="397">
        <v>1</v>
      </c>
      <c r="M34" s="372"/>
    </row>
    <row r="35" spans="2:13" hidden="1" outlineLevel="3">
      <c r="B35" s="372" t="s">
        <v>14</v>
      </c>
      <c r="C35" s="372" t="s">
        <v>29</v>
      </c>
      <c r="D35" s="372" t="s">
        <v>17</v>
      </c>
      <c r="E35" s="387" t="s">
        <v>19</v>
      </c>
      <c r="F35" s="422" t="s">
        <v>33</v>
      </c>
      <c r="G35" s="372"/>
      <c r="H35" s="399">
        <v>0.27398366869616486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14</v>
      </c>
      <c r="C36" s="372" t="s">
        <v>29</v>
      </c>
      <c r="D36" s="372" t="s">
        <v>17</v>
      </c>
      <c r="E36" s="387" t="s">
        <v>19</v>
      </c>
      <c r="F36" s="422" t="s">
        <v>34</v>
      </c>
      <c r="G36" s="372"/>
      <c r="H36" s="399">
        <v>0.36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3">
      <c r="B37" s="372" t="s">
        <v>14</v>
      </c>
      <c r="C37" s="372" t="s">
        <v>29</v>
      </c>
      <c r="D37" s="372" t="s">
        <v>17</v>
      </c>
      <c r="E37" s="387" t="s">
        <v>19</v>
      </c>
      <c r="F37" s="422" t="s">
        <v>35</v>
      </c>
      <c r="G37" s="372"/>
      <c r="H37" s="399">
        <v>4.3982695586700871E-2</v>
      </c>
      <c r="I37" s="397">
        <v>1</v>
      </c>
      <c r="J37" s="372"/>
      <c r="K37" s="399">
        <f t="shared" si="3"/>
        <v>0</v>
      </c>
      <c r="L37" s="397"/>
      <c r="M37" s="372"/>
    </row>
    <row r="38" spans="2:13" hidden="1" outlineLevel="3">
      <c r="B38" s="372" t="s">
        <v>14</v>
      </c>
      <c r="C38" s="372" t="s">
        <v>29</v>
      </c>
      <c r="D38" s="372" t="s">
        <v>17</v>
      </c>
      <c r="E38" s="387" t="s">
        <v>19</v>
      </c>
      <c r="F38" s="422" t="s">
        <v>36</v>
      </c>
      <c r="G38" s="372"/>
      <c r="H38" s="399">
        <v>4.3982695586700871E-2</v>
      </c>
      <c r="I38" s="397">
        <v>1</v>
      </c>
      <c r="J38" s="372"/>
      <c r="K38" s="399">
        <f t="shared" si="3"/>
        <v>0</v>
      </c>
      <c r="L38" s="397"/>
      <c r="M38" s="372"/>
    </row>
    <row r="39" spans="2:13" hidden="1" outlineLevel="3">
      <c r="B39" s="372" t="s">
        <v>14</v>
      </c>
      <c r="C39" s="372" t="s">
        <v>29</v>
      </c>
      <c r="D39" s="372" t="s">
        <v>17</v>
      </c>
      <c r="E39" s="387" t="s">
        <v>19</v>
      </c>
      <c r="F39" s="422" t="s">
        <v>37</v>
      </c>
      <c r="G39" s="372"/>
      <c r="H39" s="399">
        <v>6.5974043380051306E-2</v>
      </c>
      <c r="I39" s="397">
        <v>1</v>
      </c>
      <c r="J39" s="372"/>
      <c r="K39" s="399">
        <f t="shared" si="3"/>
        <v>0</v>
      </c>
      <c r="L39" s="397"/>
      <c r="M39" s="372"/>
    </row>
    <row r="40" spans="2:13" hidden="1" outlineLevel="3">
      <c r="B40" s="372" t="s">
        <v>14</v>
      </c>
      <c r="C40" s="372" t="s">
        <v>29</v>
      </c>
      <c r="D40" s="372" t="s">
        <v>17</v>
      </c>
      <c r="E40" s="387" t="s">
        <v>19</v>
      </c>
      <c r="F40" s="422" t="s">
        <v>38</v>
      </c>
      <c r="G40" s="372"/>
      <c r="H40" s="399">
        <v>6.5974043380051306E-2</v>
      </c>
      <c r="I40" s="397">
        <v>1</v>
      </c>
      <c r="J40" s="372"/>
      <c r="K40" s="399">
        <f t="shared" si="3"/>
        <v>0</v>
      </c>
      <c r="L40" s="397"/>
      <c r="M40" s="372"/>
    </row>
    <row r="41" spans="2:13" hidden="1" outlineLevel="3">
      <c r="B41" s="372" t="s">
        <v>14</v>
      </c>
      <c r="C41" s="372" t="s">
        <v>29</v>
      </c>
      <c r="D41" s="372" t="s">
        <v>17</v>
      </c>
      <c r="E41" s="387" t="s">
        <v>19</v>
      </c>
      <c r="F41" s="422" t="s">
        <v>39</v>
      </c>
      <c r="G41" s="372"/>
      <c r="H41" s="399">
        <v>6.5974043380051306E-2</v>
      </c>
      <c r="I41" s="397">
        <v>1</v>
      </c>
      <c r="J41" s="372"/>
      <c r="K41" s="399">
        <f t="shared" si="3"/>
        <v>0</v>
      </c>
      <c r="L41" s="397"/>
      <c r="M41" s="372"/>
    </row>
    <row r="42" spans="2:13" hidden="1" outlineLevel="3">
      <c r="B42" s="372" t="s">
        <v>14</v>
      </c>
      <c r="C42" s="372" t="s">
        <v>29</v>
      </c>
      <c r="D42" s="372" t="s">
        <v>17</v>
      </c>
      <c r="E42" s="387" t="s">
        <v>19</v>
      </c>
      <c r="F42" s="422" t="s">
        <v>40</v>
      </c>
      <c r="G42" s="372"/>
      <c r="H42" s="399">
        <v>6.5974043380051306E-2</v>
      </c>
      <c r="I42" s="397">
        <v>1</v>
      </c>
      <c r="J42" s="372"/>
      <c r="K42" s="399">
        <f t="shared" si="3"/>
        <v>0</v>
      </c>
      <c r="L42" s="397"/>
      <c r="M42" s="372"/>
    </row>
    <row r="43" spans="2:13" hidden="1" outlineLevel="3">
      <c r="B43" s="372" t="s">
        <v>14</v>
      </c>
      <c r="C43" s="372" t="s">
        <v>29</v>
      </c>
      <c r="D43" s="372" t="s">
        <v>17</v>
      </c>
      <c r="E43" s="387" t="s">
        <v>19</v>
      </c>
      <c r="F43" s="422" t="s">
        <v>41</v>
      </c>
      <c r="G43" s="372"/>
      <c r="H43" s="399">
        <v>1.466089852890029E-2</v>
      </c>
      <c r="I43" s="397">
        <v>1</v>
      </c>
      <c r="J43" s="372"/>
      <c r="K43" s="399">
        <f t="shared" si="3"/>
        <v>0</v>
      </c>
      <c r="L43" s="397"/>
      <c r="M43" s="372"/>
    </row>
    <row r="44" spans="2:13" hidden="1" outlineLevel="3">
      <c r="B44" s="372" t="s">
        <v>14</v>
      </c>
      <c r="C44" s="372" t="s">
        <v>29</v>
      </c>
      <c r="D44" s="372" t="s">
        <v>17</v>
      </c>
      <c r="E44" s="387" t="s">
        <v>19</v>
      </c>
      <c r="F44" s="422" t="s">
        <v>42</v>
      </c>
      <c r="G44" s="372"/>
      <c r="H44" s="399">
        <v>2.932179705780058E-2</v>
      </c>
      <c r="I44" s="397">
        <v>1</v>
      </c>
      <c r="J44" s="372"/>
      <c r="K44" s="399">
        <f t="shared" si="3"/>
        <v>0</v>
      </c>
      <c r="L44" s="397"/>
      <c r="M44" s="372"/>
    </row>
    <row r="45" spans="2:13" hidden="1" outlineLevel="3">
      <c r="B45" s="372" t="s">
        <v>14</v>
      </c>
      <c r="C45" s="372" t="s">
        <v>29</v>
      </c>
      <c r="D45" s="372" t="s">
        <v>17</v>
      </c>
      <c r="E45" s="387" t="s">
        <v>19</v>
      </c>
      <c r="F45" s="422" t="s">
        <v>43</v>
      </c>
      <c r="G45" s="372"/>
      <c r="H45" s="399">
        <v>4.3982695586700871E-2</v>
      </c>
      <c r="I45" s="397">
        <v>1</v>
      </c>
      <c r="J45" s="372"/>
      <c r="K45" s="399">
        <f t="shared" si="3"/>
        <v>0</v>
      </c>
      <c r="L45" s="397"/>
      <c r="M45" s="372"/>
    </row>
    <row r="46" spans="2:13" hidden="1" outlineLevel="3">
      <c r="B46" s="372" t="s">
        <v>14</v>
      </c>
      <c r="C46" s="372" t="s">
        <v>29</v>
      </c>
      <c r="D46" s="372" t="s">
        <v>17</v>
      </c>
      <c r="E46" s="387" t="s">
        <v>19</v>
      </c>
      <c r="F46" s="422" t="s">
        <v>44</v>
      </c>
      <c r="G46" s="372"/>
      <c r="H46" s="399">
        <v>0.05</v>
      </c>
      <c r="I46" s="397">
        <v>1</v>
      </c>
      <c r="J46" s="372"/>
      <c r="K46" s="399">
        <f t="shared" si="3"/>
        <v>0</v>
      </c>
      <c r="L46" s="397"/>
      <c r="M46" s="372"/>
    </row>
    <row r="47" spans="2:13" hidden="1" outlineLevel="2">
      <c r="B47" s="385" t="s">
        <v>14</v>
      </c>
      <c r="C47" s="385" t="s">
        <v>29</v>
      </c>
      <c r="D47" s="385" t="s">
        <v>25</v>
      </c>
      <c r="E47" s="385"/>
      <c r="F47" s="424" t="s">
        <v>16</v>
      </c>
      <c r="G47" s="385"/>
      <c r="H47" s="405">
        <f>SUM(H48:H62)</f>
        <v>0.35597209492231208</v>
      </c>
      <c r="I47" s="396">
        <f>SUM(I48:I62)</f>
        <v>15</v>
      </c>
      <c r="J47" s="385"/>
      <c r="K47" s="405">
        <f>SUM(K48:K62)</f>
        <v>0.10442160389020139</v>
      </c>
      <c r="L47" s="396">
        <f>SUM(L48:L62)</f>
        <v>3</v>
      </c>
      <c r="M47" s="372"/>
    </row>
    <row r="48" spans="2:13" hidden="1" outlineLevel="3">
      <c r="B48" s="372" t="s">
        <v>14</v>
      </c>
      <c r="C48" s="372" t="s">
        <v>29</v>
      </c>
      <c r="D48" s="372" t="s">
        <v>25</v>
      </c>
      <c r="E48" s="372" t="s">
        <v>26</v>
      </c>
      <c r="F48" s="422" t="s">
        <v>31</v>
      </c>
      <c r="G48" s="372"/>
      <c r="H48" s="399">
        <v>9.3421603890201377E-2</v>
      </c>
      <c r="I48" s="378">
        <v>1</v>
      </c>
      <c r="J48" s="372"/>
      <c r="K48" s="399">
        <f t="shared" ref="K48:K62" si="4">IF(L48=1,H48,0)</f>
        <v>9.3421603890201377E-2</v>
      </c>
      <c r="L48" s="378">
        <v>1</v>
      </c>
      <c r="M48" s="372"/>
    </row>
    <row r="49" spans="2:13" hidden="1" outlineLevel="3">
      <c r="B49" s="372" t="s">
        <v>14</v>
      </c>
      <c r="C49" s="372" t="s">
        <v>29</v>
      </c>
      <c r="D49" s="372" t="s">
        <v>25</v>
      </c>
      <c r="E49" s="372" t="s">
        <v>26</v>
      </c>
      <c r="F49" s="422" t="s">
        <v>33</v>
      </c>
      <c r="G49" s="372"/>
      <c r="H49" s="399">
        <v>9.3421603890201377E-2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14</v>
      </c>
      <c r="C50" s="372" t="s">
        <v>29</v>
      </c>
      <c r="D50" s="372" t="s">
        <v>25</v>
      </c>
      <c r="E50" s="372" t="s">
        <v>26</v>
      </c>
      <c r="F50" s="422" t="s">
        <v>46</v>
      </c>
      <c r="G50" s="372"/>
      <c r="H50" s="399">
        <v>2.1106865436972901E-2</v>
      </c>
      <c r="I50" s="378">
        <v>1</v>
      </c>
      <c r="J50" s="372"/>
      <c r="K50" s="399">
        <f t="shared" si="4"/>
        <v>0</v>
      </c>
      <c r="L50" s="378"/>
      <c r="M50" s="372"/>
    </row>
    <row r="51" spans="2:13" hidden="1" outlineLevel="3">
      <c r="B51" s="372" t="s">
        <v>14</v>
      </c>
      <c r="C51" s="372" t="s">
        <v>29</v>
      </c>
      <c r="D51" s="372" t="s">
        <v>25</v>
      </c>
      <c r="E51" s="372" t="s">
        <v>26</v>
      </c>
      <c r="F51" s="422" t="s">
        <v>47</v>
      </c>
      <c r="G51" s="372"/>
      <c r="H51" s="399">
        <v>3.166029815545935E-2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14</v>
      </c>
      <c r="C52" s="372" t="s">
        <v>29</v>
      </c>
      <c r="D52" s="372" t="s">
        <v>25</v>
      </c>
      <c r="E52" s="372" t="s">
        <v>26</v>
      </c>
      <c r="F52" s="422" t="s">
        <v>38</v>
      </c>
      <c r="G52" s="372"/>
      <c r="H52" s="399">
        <v>5.2767163592432253E-3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3">
      <c r="B53" s="372" t="s">
        <v>14</v>
      </c>
      <c r="C53" s="372" t="s">
        <v>29</v>
      </c>
      <c r="D53" s="372" t="s">
        <v>25</v>
      </c>
      <c r="E53" s="372" t="s">
        <v>26</v>
      </c>
      <c r="F53" s="422" t="s">
        <v>48</v>
      </c>
      <c r="G53" s="372"/>
      <c r="H53" s="399">
        <v>2.1106865436972901E-2</v>
      </c>
      <c r="I53" s="378">
        <v>1</v>
      </c>
      <c r="J53" s="372"/>
      <c r="K53" s="399">
        <f t="shared" si="4"/>
        <v>0</v>
      </c>
      <c r="L53" s="378"/>
      <c r="M53" s="372"/>
    </row>
    <row r="54" spans="2:13" hidden="1" outlineLevel="3">
      <c r="B54" s="372" t="s">
        <v>14</v>
      </c>
      <c r="C54" s="372" t="s">
        <v>29</v>
      </c>
      <c r="D54" s="372" t="s">
        <v>25</v>
      </c>
      <c r="E54" s="372" t="s">
        <v>26</v>
      </c>
      <c r="F54" s="422" t="s">
        <v>49</v>
      </c>
      <c r="G54" s="372"/>
      <c r="H54" s="399">
        <v>3.166029815545935E-2</v>
      </c>
      <c r="I54" s="378">
        <v>1</v>
      </c>
      <c r="J54" s="372"/>
      <c r="K54" s="399">
        <f t="shared" si="4"/>
        <v>0</v>
      </c>
      <c r="L54" s="378"/>
      <c r="M54" s="372"/>
    </row>
    <row r="55" spans="2:13" hidden="1" outlineLevel="3">
      <c r="B55" s="372" t="s">
        <v>14</v>
      </c>
      <c r="C55" s="372" t="s">
        <v>29</v>
      </c>
      <c r="D55" s="372" t="s">
        <v>25</v>
      </c>
      <c r="E55" s="372" t="s">
        <v>26</v>
      </c>
      <c r="F55" s="422" t="s">
        <v>40</v>
      </c>
      <c r="G55" s="372"/>
      <c r="H55" s="399">
        <v>5.2767163592432253E-3</v>
      </c>
      <c r="I55" s="378">
        <v>1</v>
      </c>
      <c r="J55" s="372"/>
      <c r="K55" s="399">
        <f t="shared" si="4"/>
        <v>0</v>
      </c>
      <c r="L55" s="378"/>
      <c r="M55" s="372"/>
    </row>
    <row r="56" spans="2:13" hidden="1" outlineLevel="3">
      <c r="B56" s="372" t="s">
        <v>14</v>
      </c>
      <c r="C56" s="372" t="s">
        <v>29</v>
      </c>
      <c r="D56" s="372" t="s">
        <v>25</v>
      </c>
      <c r="E56" s="372" t="s">
        <v>26</v>
      </c>
      <c r="F56" s="422" t="s">
        <v>50</v>
      </c>
      <c r="G56" s="372"/>
      <c r="H56" s="399">
        <v>4.0000000000000001E-3</v>
      </c>
      <c r="I56" s="378">
        <v>1</v>
      </c>
      <c r="J56" s="372"/>
      <c r="K56" s="399">
        <f t="shared" si="4"/>
        <v>4.0000000000000001E-3</v>
      </c>
      <c r="L56" s="378">
        <v>1</v>
      </c>
      <c r="M56" s="372"/>
    </row>
    <row r="57" spans="2:13" hidden="1" outlineLevel="3">
      <c r="B57" s="372" t="s">
        <v>14</v>
      </c>
      <c r="C57" s="372" t="s">
        <v>29</v>
      </c>
      <c r="D57" s="372" t="s">
        <v>25</v>
      </c>
      <c r="E57" s="372" t="s">
        <v>26</v>
      </c>
      <c r="F57" s="422" t="s">
        <v>51</v>
      </c>
      <c r="G57" s="372"/>
      <c r="H57" s="399">
        <v>7.0000000000000001E-3</v>
      </c>
      <c r="I57" s="378">
        <v>1</v>
      </c>
      <c r="J57" s="372"/>
      <c r="K57" s="399">
        <f t="shared" si="4"/>
        <v>7.0000000000000001E-3</v>
      </c>
      <c r="L57" s="378">
        <v>1</v>
      </c>
      <c r="M57" s="372"/>
    </row>
    <row r="58" spans="2:13" hidden="1" outlineLevel="3">
      <c r="B58" s="372" t="s">
        <v>14</v>
      </c>
      <c r="C58" s="372" t="s">
        <v>29</v>
      </c>
      <c r="D58" s="372" t="s">
        <v>25</v>
      </c>
      <c r="E58" s="372" t="s">
        <v>26</v>
      </c>
      <c r="F58" s="422" t="s">
        <v>41</v>
      </c>
      <c r="G58" s="372"/>
      <c r="H58" s="399">
        <v>1E-3</v>
      </c>
      <c r="I58" s="378">
        <v>1</v>
      </c>
      <c r="J58" s="372"/>
      <c r="K58" s="399">
        <f t="shared" si="4"/>
        <v>0</v>
      </c>
      <c r="L58" s="378"/>
      <c r="M58" s="372"/>
    </row>
    <row r="59" spans="2:13" hidden="1" outlineLevel="3">
      <c r="B59" s="372" t="s">
        <v>14</v>
      </c>
      <c r="C59" s="372" t="s">
        <v>29</v>
      </c>
      <c r="D59" s="372" t="s">
        <v>25</v>
      </c>
      <c r="E59" s="372" t="s">
        <v>26</v>
      </c>
      <c r="F59" s="422" t="s">
        <v>42</v>
      </c>
      <c r="G59" s="372"/>
      <c r="H59" s="399">
        <v>2.3452072707747665E-3</v>
      </c>
      <c r="I59" s="378">
        <v>1</v>
      </c>
      <c r="J59" s="372"/>
      <c r="K59" s="399">
        <f t="shared" si="4"/>
        <v>0</v>
      </c>
      <c r="L59" s="378"/>
      <c r="M59" s="372"/>
    </row>
    <row r="60" spans="2:13" hidden="1" outlineLevel="3">
      <c r="B60" s="372" t="s">
        <v>14</v>
      </c>
      <c r="C60" s="372" t="s">
        <v>29</v>
      </c>
      <c r="D60" s="372" t="s">
        <v>25</v>
      </c>
      <c r="E60" s="372" t="s">
        <v>26</v>
      </c>
      <c r="F60" s="422" t="s">
        <v>52</v>
      </c>
      <c r="G60" s="372"/>
      <c r="H60" s="399">
        <v>1.4071243624648597E-2</v>
      </c>
      <c r="I60" s="397">
        <v>1</v>
      </c>
      <c r="J60" s="372"/>
      <c r="K60" s="399">
        <f t="shared" si="4"/>
        <v>0</v>
      </c>
      <c r="L60" s="397"/>
      <c r="M60" s="372"/>
    </row>
    <row r="61" spans="2:13" hidden="1" outlineLevel="3">
      <c r="B61" s="372" t="s">
        <v>14</v>
      </c>
      <c r="C61" s="372" t="s">
        <v>29</v>
      </c>
      <c r="D61" s="372" t="s">
        <v>25</v>
      </c>
      <c r="E61" s="372" t="s">
        <v>26</v>
      </c>
      <c r="F61" s="422" t="s">
        <v>53</v>
      </c>
      <c r="G61" s="372"/>
      <c r="H61" s="399">
        <v>2.1106865436972894E-2</v>
      </c>
      <c r="I61" s="378">
        <v>1</v>
      </c>
      <c r="J61" s="372"/>
      <c r="K61" s="399">
        <f t="shared" si="4"/>
        <v>0</v>
      </c>
      <c r="L61" s="378"/>
      <c r="M61" s="372"/>
    </row>
    <row r="62" spans="2:13" hidden="1" outlineLevel="3">
      <c r="B62" s="372" t="s">
        <v>14</v>
      </c>
      <c r="C62" s="372" t="s">
        <v>29</v>
      </c>
      <c r="D62" s="372" t="s">
        <v>25</v>
      </c>
      <c r="E62" s="372" t="s">
        <v>26</v>
      </c>
      <c r="F62" s="422" t="s">
        <v>43</v>
      </c>
      <c r="G62" s="372"/>
      <c r="H62" s="399">
        <v>3.5178109061621493E-3</v>
      </c>
      <c r="I62" s="378">
        <v>1</v>
      </c>
      <c r="J62" s="372"/>
      <c r="K62" s="399">
        <f t="shared" si="4"/>
        <v>0</v>
      </c>
      <c r="L62" s="378"/>
      <c r="M62" s="372"/>
    </row>
    <row r="63" spans="2:13" hidden="1" outlineLevel="2">
      <c r="B63" s="385" t="s">
        <v>14</v>
      </c>
      <c r="C63" s="385" t="s">
        <v>29</v>
      </c>
      <c r="D63" s="385" t="s">
        <v>27</v>
      </c>
      <c r="E63" s="385"/>
      <c r="F63" s="424" t="s">
        <v>16</v>
      </c>
      <c r="G63" s="385"/>
      <c r="H63" s="405">
        <f>SUM(H64:H70)</f>
        <v>0.19360007160811712</v>
      </c>
      <c r="I63" s="396">
        <f>SUM(I64:I70)</f>
        <v>7</v>
      </c>
      <c r="J63" s="385"/>
      <c r="K63" s="405">
        <f>SUM(K64:K70)</f>
        <v>2.4327053111750849E-2</v>
      </c>
      <c r="L63" s="396">
        <f>SUM(L64:L70)</f>
        <v>3</v>
      </c>
      <c r="M63" s="372"/>
    </row>
    <row r="64" spans="2:13" hidden="1" outlineLevel="3">
      <c r="B64" s="372" t="s">
        <v>14</v>
      </c>
      <c r="C64" s="372" t="s">
        <v>29</v>
      </c>
      <c r="D64" s="372" t="s">
        <v>27</v>
      </c>
      <c r="E64" s="372" t="s">
        <v>28</v>
      </c>
      <c r="F64" s="422" t="s">
        <v>54</v>
      </c>
      <c r="G64" s="372"/>
      <c r="H64" s="399">
        <v>2.1499694035440806E-2</v>
      </c>
      <c r="I64" s="378">
        <v>1</v>
      </c>
      <c r="J64" s="372"/>
      <c r="K64" s="399">
        <f t="shared" ref="K64:K70" si="5">IF(L64=1,H64,0)</f>
        <v>2.1499694035440806E-2</v>
      </c>
      <c r="L64" s="378">
        <v>1</v>
      </c>
      <c r="M64" s="372"/>
    </row>
    <row r="65" spans="2:13" hidden="1" outlineLevel="3">
      <c r="B65" s="372" t="s">
        <v>14</v>
      </c>
      <c r="C65" s="372" t="s">
        <v>29</v>
      </c>
      <c r="D65" s="372" t="s">
        <v>27</v>
      </c>
      <c r="E65" s="372" t="s">
        <v>28</v>
      </c>
      <c r="F65" s="422" t="s">
        <v>55</v>
      </c>
      <c r="G65" s="372"/>
      <c r="H65" s="399">
        <v>2.1499694035440806E-2</v>
      </c>
      <c r="I65" s="378">
        <v>1</v>
      </c>
      <c r="J65" s="372"/>
      <c r="K65" s="399">
        <f t="shared" si="5"/>
        <v>0</v>
      </c>
      <c r="L65" s="378"/>
      <c r="M65" s="372"/>
    </row>
    <row r="66" spans="2:13" hidden="1" outlineLevel="3">
      <c r="B66" s="372" t="s">
        <v>14</v>
      </c>
      <c r="C66" s="372" t="s">
        <v>29</v>
      </c>
      <c r="D66" s="372" t="s">
        <v>27</v>
      </c>
      <c r="E66" s="372" t="s">
        <v>28</v>
      </c>
      <c r="F66" s="422" t="s">
        <v>56</v>
      </c>
      <c r="G66" s="372"/>
      <c r="H66" s="399">
        <v>9.4245302543668119E-4</v>
      </c>
      <c r="I66" s="378">
        <v>1</v>
      </c>
      <c r="J66" s="372"/>
      <c r="K66" s="399">
        <f t="shared" si="5"/>
        <v>9.4245302543668119E-4</v>
      </c>
      <c r="L66" s="378">
        <v>1</v>
      </c>
      <c r="M66" s="372"/>
    </row>
    <row r="67" spans="2:13" hidden="1" outlineLevel="3">
      <c r="B67" s="372" t="s">
        <v>14</v>
      </c>
      <c r="C67" s="372" t="s">
        <v>29</v>
      </c>
      <c r="D67" s="372" t="s">
        <v>27</v>
      </c>
      <c r="E67" s="372" t="s">
        <v>28</v>
      </c>
      <c r="F67" s="422" t="s">
        <v>57</v>
      </c>
      <c r="G67" s="372"/>
      <c r="H67" s="399">
        <v>1.8849060508733624E-3</v>
      </c>
      <c r="I67" s="378">
        <v>1</v>
      </c>
      <c r="J67" s="372"/>
      <c r="K67" s="399">
        <f t="shared" si="5"/>
        <v>1.8849060508733624E-3</v>
      </c>
      <c r="L67" s="378">
        <v>1</v>
      </c>
      <c r="M67" s="372"/>
    </row>
    <row r="68" spans="2:13" hidden="1" outlineLevel="3">
      <c r="B68" s="372" t="s">
        <v>14</v>
      </c>
      <c r="C68" s="372" t="s">
        <v>29</v>
      </c>
      <c r="D68" s="372" t="s">
        <v>27</v>
      </c>
      <c r="E68" s="372" t="s">
        <v>28</v>
      </c>
      <c r="F68" s="422" t="s">
        <v>36</v>
      </c>
      <c r="G68" s="372"/>
      <c r="H68" s="399">
        <v>2.8273590763100436E-3</v>
      </c>
      <c r="I68" s="378">
        <v>1</v>
      </c>
      <c r="J68" s="372"/>
      <c r="K68" s="399">
        <f t="shared" si="5"/>
        <v>0</v>
      </c>
      <c r="L68" s="378"/>
      <c r="M68" s="372"/>
    </row>
    <row r="69" spans="2:13" hidden="1" outlineLevel="3">
      <c r="B69" s="372" t="s">
        <v>14</v>
      </c>
      <c r="C69" s="372" t="s">
        <v>29</v>
      </c>
      <c r="D69" s="372" t="s">
        <v>27</v>
      </c>
      <c r="E69" s="372" t="s">
        <v>28</v>
      </c>
      <c r="F69" s="422" t="s">
        <v>34</v>
      </c>
      <c r="G69" s="372"/>
      <c r="H69" s="399">
        <v>0.10494596538461541</v>
      </c>
      <c r="I69" s="378">
        <v>1</v>
      </c>
      <c r="J69" s="372"/>
      <c r="K69" s="399">
        <f t="shared" si="5"/>
        <v>0</v>
      </c>
      <c r="L69" s="378"/>
      <c r="M69" s="372"/>
    </row>
    <row r="70" spans="2:13" hidden="1" outlineLevel="3">
      <c r="B70" s="372" t="s">
        <v>14</v>
      </c>
      <c r="C70" s="372" t="s">
        <v>29</v>
      </c>
      <c r="D70" s="372" t="s">
        <v>27</v>
      </c>
      <c r="E70" s="372" t="s">
        <v>28</v>
      </c>
      <c r="F70" s="422" t="s">
        <v>44</v>
      </c>
      <c r="G70" s="372"/>
      <c r="H70" s="399">
        <v>0.04</v>
      </c>
      <c r="I70" s="378">
        <v>1</v>
      </c>
      <c r="J70" s="372"/>
      <c r="K70" s="399">
        <f t="shared" si="5"/>
        <v>0</v>
      </c>
      <c r="L70" s="378"/>
      <c r="M70" s="372"/>
    </row>
    <row r="71" spans="2:13" hidden="1" outlineLevel="2">
      <c r="B71" s="385" t="s">
        <v>14</v>
      </c>
      <c r="C71" s="385" t="s">
        <v>29</v>
      </c>
      <c r="D71" s="385" t="s">
        <v>58</v>
      </c>
      <c r="E71" s="385"/>
      <c r="F71" s="424" t="s">
        <v>16</v>
      </c>
      <c r="G71" s="385"/>
      <c r="H71" s="405">
        <f>SUM(H72:H76)</f>
        <v>0.17213168552408753</v>
      </c>
      <c r="I71" s="396">
        <f>SUM(I72:I76)</f>
        <v>5</v>
      </c>
      <c r="J71" s="385"/>
      <c r="K71" s="405">
        <f>SUM(K72:K76)</f>
        <v>7.7863519954722668E-2</v>
      </c>
      <c r="L71" s="396">
        <f>SUM(L72:L76)</f>
        <v>3</v>
      </c>
      <c r="M71" s="372"/>
    </row>
    <row r="72" spans="2:13" hidden="1" outlineLevel="3">
      <c r="B72" s="372" t="s">
        <v>14</v>
      </c>
      <c r="C72" s="372" t="s">
        <v>29</v>
      </c>
      <c r="D72" s="372" t="s">
        <v>58</v>
      </c>
      <c r="E72" s="372" t="s">
        <v>28</v>
      </c>
      <c r="F72" s="422" t="s">
        <v>31</v>
      </c>
      <c r="G72" s="372"/>
      <c r="H72" s="399">
        <v>4.7863519954722676E-2</v>
      </c>
      <c r="I72" s="378">
        <v>1</v>
      </c>
      <c r="J72" s="372"/>
      <c r="K72" s="399">
        <f t="shared" ref="K72:K76" si="6">IF(L72=1,H72,0)</f>
        <v>4.7863519954722676E-2</v>
      </c>
      <c r="L72" s="378">
        <v>1</v>
      </c>
      <c r="M72" s="372"/>
    </row>
    <row r="73" spans="2:13" hidden="1" outlineLevel="3">
      <c r="B73" s="372" t="s">
        <v>14</v>
      </c>
      <c r="C73" s="372" t="s">
        <v>29</v>
      </c>
      <c r="D73" s="372" t="s">
        <v>58</v>
      </c>
      <c r="E73" s="372" t="s">
        <v>28</v>
      </c>
      <c r="F73" s="422" t="s">
        <v>59</v>
      </c>
      <c r="G73" s="372"/>
      <c r="H73" s="399">
        <v>4.7863519954722676E-2</v>
      </c>
      <c r="I73" s="378">
        <v>1</v>
      </c>
      <c r="J73" s="372"/>
      <c r="K73" s="399">
        <f t="shared" si="6"/>
        <v>0</v>
      </c>
      <c r="L73" s="378"/>
      <c r="M73" s="372"/>
    </row>
    <row r="74" spans="2:13" hidden="1" outlineLevel="3">
      <c r="B74" s="372" t="s">
        <v>14</v>
      </c>
      <c r="C74" s="372" t="s">
        <v>29</v>
      </c>
      <c r="D74" s="372" t="s">
        <v>58</v>
      </c>
      <c r="E74" s="372" t="s">
        <v>28</v>
      </c>
      <c r="F74" s="422" t="s">
        <v>60</v>
      </c>
      <c r="G74" s="372"/>
      <c r="H74" s="399">
        <v>4.6404645614642186E-2</v>
      </c>
      <c r="I74" s="378">
        <v>1</v>
      </c>
      <c r="J74" s="372"/>
      <c r="K74" s="399">
        <f t="shared" si="6"/>
        <v>0</v>
      </c>
      <c r="L74" s="378"/>
      <c r="M74" s="372"/>
    </row>
    <row r="75" spans="2:13" hidden="1" outlineLevel="3">
      <c r="B75" s="372" t="s">
        <v>14</v>
      </c>
      <c r="C75" s="372" t="s">
        <v>29</v>
      </c>
      <c r="D75" s="372" t="s">
        <v>58</v>
      </c>
      <c r="E75" s="372" t="s">
        <v>28</v>
      </c>
      <c r="F75" s="422" t="s">
        <v>61</v>
      </c>
      <c r="G75" s="372"/>
      <c r="H75" s="399">
        <v>0.02</v>
      </c>
      <c r="I75" s="378">
        <v>1</v>
      </c>
      <c r="J75" s="372"/>
      <c r="K75" s="399">
        <f t="shared" si="6"/>
        <v>0.02</v>
      </c>
      <c r="L75" s="378">
        <v>1</v>
      </c>
      <c r="M75" s="372"/>
    </row>
    <row r="76" spans="2:13" hidden="1" outlineLevel="3">
      <c r="B76" s="372" t="s">
        <v>14</v>
      </c>
      <c r="C76" s="372" t="s">
        <v>29</v>
      </c>
      <c r="D76" s="372" t="s">
        <v>58</v>
      </c>
      <c r="E76" s="372" t="s">
        <v>28</v>
      </c>
      <c r="F76" s="422" t="s">
        <v>45</v>
      </c>
      <c r="G76" s="372"/>
      <c r="H76" s="399">
        <v>0.01</v>
      </c>
      <c r="I76" s="378">
        <v>1</v>
      </c>
      <c r="J76" s="372"/>
      <c r="K76" s="399">
        <f t="shared" si="6"/>
        <v>0.01</v>
      </c>
      <c r="L76" s="378">
        <v>1</v>
      </c>
      <c r="M76" s="372"/>
    </row>
    <row r="77" spans="2:13" s="415" customFormat="1" outlineLevel="1" collapsed="1">
      <c r="B77" s="639" t="s">
        <v>62</v>
      </c>
      <c r="C77" s="640" t="s">
        <v>63</v>
      </c>
      <c r="D77" s="639"/>
      <c r="E77" s="639"/>
      <c r="F77" s="641" t="s">
        <v>16</v>
      </c>
      <c r="G77" s="640"/>
      <c r="H77" s="642">
        <f>SUM(H78,H82,H87)</f>
        <v>0.94561875883591229</v>
      </c>
      <c r="I77" s="643">
        <f>SUM(I78,I82,I87)</f>
        <v>9</v>
      </c>
      <c r="J77" s="640"/>
      <c r="K77" s="642">
        <f>SUM(K78,K82,K87)</f>
        <v>0.12911355532138755</v>
      </c>
      <c r="L77" s="643">
        <f>SUM(L78,L82,L87)</f>
        <v>1</v>
      </c>
      <c r="M77" s="407"/>
    </row>
    <row r="78" spans="2:13" hidden="1" outlineLevel="2">
      <c r="B78" s="385" t="s">
        <v>62</v>
      </c>
      <c r="C78" s="385" t="s">
        <v>63</v>
      </c>
      <c r="D78" s="385" t="s">
        <v>17</v>
      </c>
      <c r="E78" s="380"/>
      <c r="F78" s="452" t="s">
        <v>16</v>
      </c>
      <c r="G78" s="385"/>
      <c r="H78" s="410">
        <f>SUM(H79:H81)</f>
        <v>0.3642147722995997</v>
      </c>
      <c r="I78" s="396">
        <f>SUM(I79:I81)</f>
        <v>3</v>
      </c>
      <c r="J78" s="385"/>
      <c r="K78" s="410">
        <f>SUM(K79:K81)</f>
        <v>0</v>
      </c>
      <c r="L78" s="396">
        <f>SUM(L79:L81)</f>
        <v>0</v>
      </c>
      <c r="M78" s="372"/>
    </row>
    <row r="79" spans="2:13" hidden="1" outlineLevel="3">
      <c r="B79" s="372" t="s">
        <v>62</v>
      </c>
      <c r="C79" s="372" t="s">
        <v>63</v>
      </c>
      <c r="D79" s="372" t="s">
        <v>17</v>
      </c>
      <c r="E79" s="376" t="s">
        <v>64</v>
      </c>
      <c r="F79" s="422" t="s">
        <v>65</v>
      </c>
      <c r="G79" s="372"/>
      <c r="H79" s="377">
        <v>0.13658053961234987</v>
      </c>
      <c r="I79" s="378">
        <v>1</v>
      </c>
      <c r="J79" s="372"/>
      <c r="K79" s="399">
        <f t="shared" ref="K79:K81" si="7">IF(L79=1,H79,0)</f>
        <v>0</v>
      </c>
      <c r="L79" s="378"/>
      <c r="M79" s="372"/>
    </row>
    <row r="80" spans="2:13" hidden="1" outlineLevel="3">
      <c r="B80" s="372" t="s">
        <v>62</v>
      </c>
      <c r="C80" s="372" t="s">
        <v>63</v>
      </c>
      <c r="D80" s="372" t="s">
        <v>17</v>
      </c>
      <c r="E80" s="376" t="s">
        <v>64</v>
      </c>
      <c r="F80" s="425" t="s">
        <v>23</v>
      </c>
      <c r="G80" s="372"/>
      <c r="H80" s="377">
        <v>0.18210738614979985</v>
      </c>
      <c r="I80" s="378">
        <v>1</v>
      </c>
      <c r="J80" s="372"/>
      <c r="K80" s="399">
        <f t="shared" si="7"/>
        <v>0</v>
      </c>
      <c r="L80" s="378"/>
      <c r="M80" s="372"/>
    </row>
    <row r="81" spans="2:13" hidden="1" outlineLevel="3">
      <c r="B81" s="372" t="s">
        <v>62</v>
      </c>
      <c r="C81" s="372" t="s">
        <v>63</v>
      </c>
      <c r="D81" s="372" t="s">
        <v>17</v>
      </c>
      <c r="E81" s="376" t="s">
        <v>64</v>
      </c>
      <c r="F81" s="425" t="s">
        <v>66</v>
      </c>
      <c r="G81" s="372"/>
      <c r="H81" s="377">
        <v>4.5526846537449962E-2</v>
      </c>
      <c r="I81" s="378">
        <v>1</v>
      </c>
      <c r="J81" s="372"/>
      <c r="K81" s="399">
        <f t="shared" si="7"/>
        <v>0</v>
      </c>
      <c r="L81" s="378"/>
      <c r="M81" s="372"/>
    </row>
    <row r="82" spans="2:13" hidden="1" outlineLevel="2">
      <c r="B82" s="385" t="s">
        <v>62</v>
      </c>
      <c r="C82" s="385" t="s">
        <v>63</v>
      </c>
      <c r="D82" s="385" t="s">
        <v>25</v>
      </c>
      <c r="E82" s="385"/>
      <c r="F82" s="424" t="s">
        <v>16</v>
      </c>
      <c r="G82" s="385"/>
      <c r="H82" s="405">
        <f>SUM(H83:H86)</f>
        <v>0.41389850293631264</v>
      </c>
      <c r="I82" s="396">
        <f>SUM(I83:I86)</f>
        <v>4</v>
      </c>
      <c r="J82" s="385"/>
      <c r="K82" s="405">
        <f>SUM(K83:K86)</f>
        <v>0.12911355532138755</v>
      </c>
      <c r="L82" s="396">
        <f>SUM(L83:L86)</f>
        <v>1</v>
      </c>
      <c r="M82" s="372"/>
    </row>
    <row r="83" spans="2:13" hidden="1" outlineLevel="3">
      <c r="B83" s="372" t="s">
        <v>62</v>
      </c>
      <c r="C83" s="372" t="s">
        <v>63</v>
      </c>
      <c r="D83" s="372" t="s">
        <v>25</v>
      </c>
      <c r="E83" s="372" t="s">
        <v>26</v>
      </c>
      <c r="F83" s="422" t="s">
        <v>67</v>
      </c>
      <c r="G83" s="372"/>
      <c r="H83" s="399">
        <v>0.12911355532138755</v>
      </c>
      <c r="I83" s="378">
        <v>1</v>
      </c>
      <c r="J83" s="372"/>
      <c r="K83" s="399">
        <f t="shared" ref="K83:K86" si="8">IF(L83=1,H83,0)</f>
        <v>0.12911355532138755</v>
      </c>
      <c r="L83" s="378">
        <v>1</v>
      </c>
      <c r="M83" s="372"/>
    </row>
    <row r="84" spans="2:13" hidden="1" outlineLevel="3">
      <c r="B84" s="372" t="s">
        <v>62</v>
      </c>
      <c r="C84" s="372" t="s">
        <v>63</v>
      </c>
      <c r="D84" s="372" t="s">
        <v>25</v>
      </c>
      <c r="E84" s="372" t="s">
        <v>26</v>
      </c>
      <c r="F84" s="422" t="s">
        <v>68</v>
      </c>
      <c r="G84" s="372"/>
      <c r="H84" s="399">
        <v>0.25822711064277509</v>
      </c>
      <c r="I84" s="378">
        <v>1</v>
      </c>
      <c r="J84" s="372"/>
      <c r="K84" s="399">
        <f t="shared" si="8"/>
        <v>0</v>
      </c>
      <c r="L84" s="378"/>
      <c r="M84" s="372"/>
    </row>
    <row r="85" spans="2:13" hidden="1" outlineLevel="3">
      <c r="B85" s="372" t="s">
        <v>62</v>
      </c>
      <c r="C85" s="372" t="s">
        <v>63</v>
      </c>
      <c r="D85" s="372" t="s">
        <v>25</v>
      </c>
      <c r="E85" s="372" t="s">
        <v>26</v>
      </c>
      <c r="F85" s="422" t="s">
        <v>65</v>
      </c>
      <c r="G85" s="372"/>
      <c r="H85" s="399">
        <v>1.4486092893899998E-2</v>
      </c>
      <c r="I85" s="378">
        <v>1</v>
      </c>
      <c r="J85" s="372"/>
      <c r="K85" s="399">
        <f t="shared" si="8"/>
        <v>0</v>
      </c>
      <c r="L85" s="378"/>
      <c r="M85" s="372"/>
    </row>
    <row r="86" spans="2:13" hidden="1" outlineLevel="3">
      <c r="B86" s="372" t="s">
        <v>62</v>
      </c>
      <c r="C86" s="372" t="s">
        <v>63</v>
      </c>
      <c r="D86" s="372" t="s">
        <v>25</v>
      </c>
      <c r="E86" s="372" t="s">
        <v>26</v>
      </c>
      <c r="F86" s="422" t="s">
        <v>23</v>
      </c>
      <c r="G86" s="372"/>
      <c r="H86" s="399">
        <v>1.2071744078249999E-2</v>
      </c>
      <c r="I86" s="378">
        <v>1</v>
      </c>
      <c r="J86" s="372"/>
      <c r="K86" s="399">
        <f t="shared" si="8"/>
        <v>0</v>
      </c>
      <c r="L86" s="378"/>
      <c r="M86" s="372"/>
    </row>
    <row r="87" spans="2:13" hidden="1" outlineLevel="2">
      <c r="B87" s="385" t="s">
        <v>62</v>
      </c>
      <c r="C87" s="385" t="s">
        <v>63</v>
      </c>
      <c r="D87" s="385" t="s">
        <v>27</v>
      </c>
      <c r="E87" s="385"/>
      <c r="F87" s="452" t="s">
        <v>16</v>
      </c>
      <c r="G87" s="385"/>
      <c r="H87" s="405">
        <f>SUM(H88:H89)</f>
        <v>0.16750548359999998</v>
      </c>
      <c r="I87" s="396">
        <f>SUM(I88:I89)</f>
        <v>2</v>
      </c>
      <c r="J87" s="385"/>
      <c r="K87" s="405">
        <f>SUM(K88:K89)</f>
        <v>0</v>
      </c>
      <c r="L87" s="396">
        <f>SUM(L88:L89)</f>
        <v>0</v>
      </c>
      <c r="M87" s="372"/>
    </row>
    <row r="88" spans="2:13" hidden="1" outlineLevel="3">
      <c r="B88" s="372" t="s">
        <v>62</v>
      </c>
      <c r="C88" s="372" t="s">
        <v>63</v>
      </c>
      <c r="D88" s="372" t="s">
        <v>27</v>
      </c>
      <c r="E88" s="372" t="s">
        <v>28</v>
      </c>
      <c r="F88" s="425" t="s">
        <v>44</v>
      </c>
      <c r="G88" s="372"/>
      <c r="H88" s="399">
        <v>3.8655111599999993E-2</v>
      </c>
      <c r="I88" s="378">
        <v>1</v>
      </c>
      <c r="J88" s="372"/>
      <c r="K88" s="399">
        <f t="shared" ref="K88:K89" si="9">IF(L88=1,H88,0)</f>
        <v>0</v>
      </c>
      <c r="L88" s="378"/>
      <c r="M88" s="372"/>
    </row>
    <row r="89" spans="2:13" hidden="1" outlineLevel="3">
      <c r="B89" s="372" t="s">
        <v>62</v>
      </c>
      <c r="C89" s="372" t="s">
        <v>63</v>
      </c>
      <c r="D89" s="372" t="s">
        <v>27</v>
      </c>
      <c r="E89" s="372" t="s">
        <v>28</v>
      </c>
      <c r="F89" s="425" t="s">
        <v>23</v>
      </c>
      <c r="G89" s="372"/>
      <c r="H89" s="399">
        <v>0.12885037199999999</v>
      </c>
      <c r="I89" s="378">
        <v>1</v>
      </c>
      <c r="J89" s="372"/>
      <c r="K89" s="399">
        <f t="shared" si="9"/>
        <v>0</v>
      </c>
      <c r="L89" s="378"/>
      <c r="M89" s="372"/>
    </row>
    <row r="90" spans="2:13" s="415" customFormat="1" outlineLevel="1" collapsed="1">
      <c r="B90" s="639" t="s">
        <v>69</v>
      </c>
      <c r="C90" s="640" t="s">
        <v>70</v>
      </c>
      <c r="D90" s="639"/>
      <c r="E90" s="639"/>
      <c r="F90" s="641" t="s">
        <v>71</v>
      </c>
      <c r="G90" s="640"/>
      <c r="H90" s="644" t="s">
        <v>72</v>
      </c>
      <c r="I90" s="643">
        <f>SUM(I91)</f>
        <v>0</v>
      </c>
      <c r="J90" s="640"/>
      <c r="K90" s="644" t="s">
        <v>72</v>
      </c>
      <c r="L90" s="643">
        <f>SUM(L91)</f>
        <v>0</v>
      </c>
      <c r="M90" s="407"/>
    </row>
    <row r="91" spans="2:13" hidden="1" outlineLevel="2">
      <c r="B91" s="386" t="s">
        <v>69</v>
      </c>
      <c r="C91" s="386" t="s">
        <v>70</v>
      </c>
      <c r="D91" s="385"/>
      <c r="E91" s="385"/>
      <c r="F91" s="426" t="s">
        <v>73</v>
      </c>
      <c r="G91" s="385"/>
      <c r="H91" s="405" t="s">
        <v>72</v>
      </c>
      <c r="I91" s="396"/>
      <c r="J91" s="385"/>
      <c r="K91" s="405" t="s">
        <v>72</v>
      </c>
      <c r="L91" s="396"/>
      <c r="M91" s="372"/>
    </row>
    <row r="92" spans="2:13" s="415" customFormat="1" outlineLevel="1" collapsed="1">
      <c r="B92" s="639" t="s">
        <v>74</v>
      </c>
      <c r="C92" s="640" t="s">
        <v>75</v>
      </c>
      <c r="D92" s="639"/>
      <c r="E92" s="639"/>
      <c r="F92" s="641" t="s">
        <v>76</v>
      </c>
      <c r="G92" s="640"/>
      <c r="H92" s="642">
        <f>SUM(H93+H113+H119+H124)</f>
        <v>3.7669914999999996</v>
      </c>
      <c r="I92" s="645">
        <f>SUM(I93,I113,I119,I124)</f>
        <v>15</v>
      </c>
      <c r="J92" s="640"/>
      <c r="K92" s="642">
        <f>SUM(K93+K113+K119+K124)</f>
        <v>0</v>
      </c>
      <c r="L92" s="645">
        <f>SUM(L93,L113,L119,L124)</f>
        <v>0</v>
      </c>
      <c r="M92" s="407"/>
    </row>
    <row r="93" spans="2:13" hidden="1" outlineLevel="2">
      <c r="B93" s="385" t="s">
        <v>74</v>
      </c>
      <c r="C93" s="385" t="s">
        <v>75</v>
      </c>
      <c r="D93" s="385" t="s">
        <v>17</v>
      </c>
      <c r="E93" s="380"/>
      <c r="F93" s="452" t="s">
        <v>77</v>
      </c>
      <c r="G93" s="385"/>
      <c r="H93" s="410">
        <f>SUM(H94:H112)</f>
        <v>3.3658999999999999</v>
      </c>
      <c r="I93" s="396">
        <f>SUM(I94:I112)</f>
        <v>8</v>
      </c>
      <c r="J93" s="385"/>
      <c r="K93" s="410">
        <f>SUM(K94:K112)</f>
        <v>0</v>
      </c>
      <c r="L93" s="396">
        <f>SUM(L94:L112)</f>
        <v>0</v>
      </c>
      <c r="M93" s="372"/>
    </row>
    <row r="94" spans="2:13" hidden="1" outlineLevel="3">
      <c r="B94" s="372" t="s">
        <v>74</v>
      </c>
      <c r="C94" s="372" t="s">
        <v>75</v>
      </c>
      <c r="D94" s="372" t="s">
        <v>17</v>
      </c>
      <c r="E94" s="376" t="s">
        <v>19</v>
      </c>
      <c r="F94" s="425" t="s">
        <v>78</v>
      </c>
      <c r="G94" s="372"/>
      <c r="H94" s="398">
        <v>0.17</v>
      </c>
      <c r="I94" s="378">
        <v>1</v>
      </c>
      <c r="J94" s="372"/>
      <c r="K94" s="399">
        <f t="shared" ref="K94:K112" si="10">IF(L94=1,H94,0)</f>
        <v>0</v>
      </c>
      <c r="L94" s="378"/>
      <c r="M94" s="372"/>
    </row>
    <row r="95" spans="2:13" hidden="1" outlineLevel="4">
      <c r="B95" s="372"/>
      <c r="C95" s="372"/>
      <c r="D95" s="372"/>
      <c r="E95" s="376"/>
      <c r="F95" s="656" t="s">
        <v>1779</v>
      </c>
      <c r="G95" s="372"/>
      <c r="H95" s="398"/>
      <c r="I95" s="378"/>
      <c r="J95" s="372"/>
      <c r="K95" s="399"/>
      <c r="L95" s="378"/>
      <c r="M95" s="372"/>
    </row>
    <row r="96" spans="2:13" hidden="1" outlineLevel="4">
      <c r="B96" s="372"/>
      <c r="C96" s="372"/>
      <c r="D96" s="372"/>
      <c r="E96" s="376"/>
      <c r="F96" s="656" t="s">
        <v>1780</v>
      </c>
      <c r="G96" s="372"/>
      <c r="H96" s="398"/>
      <c r="I96" s="378"/>
      <c r="J96" s="372"/>
      <c r="K96" s="399"/>
      <c r="L96" s="378"/>
      <c r="M96" s="372"/>
    </row>
    <row r="97" spans="2:13" hidden="1" outlineLevel="3">
      <c r="B97" s="372" t="s">
        <v>74</v>
      </c>
      <c r="C97" s="372" t="s">
        <v>75</v>
      </c>
      <c r="D97" s="372" t="s">
        <v>17</v>
      </c>
      <c r="E97" s="376" t="s">
        <v>19</v>
      </c>
      <c r="F97" s="425" t="s">
        <v>79</v>
      </c>
      <c r="G97" s="372"/>
      <c r="H97" s="398">
        <v>0.17</v>
      </c>
      <c r="I97" s="378">
        <v>1</v>
      </c>
      <c r="J97" s="372"/>
      <c r="K97" s="399">
        <f t="shared" si="10"/>
        <v>0</v>
      </c>
      <c r="L97" s="378"/>
      <c r="M97" s="372"/>
    </row>
    <row r="98" spans="2:13" hidden="1" outlineLevel="4">
      <c r="B98" s="372"/>
      <c r="C98" s="372"/>
      <c r="D98" s="372"/>
      <c r="E98" s="376"/>
      <c r="F98" s="656" t="s">
        <v>1781</v>
      </c>
      <c r="G98" s="372"/>
      <c r="H98" s="398"/>
      <c r="I98" s="378"/>
      <c r="J98" s="372"/>
      <c r="K98" s="399"/>
      <c r="L98" s="378"/>
      <c r="M98" s="372"/>
    </row>
    <row r="99" spans="2:13" hidden="1" outlineLevel="4">
      <c r="B99" s="372"/>
      <c r="C99" s="372"/>
      <c r="D99" s="372"/>
      <c r="E99" s="376"/>
      <c r="F99" s="656" t="s">
        <v>1782</v>
      </c>
      <c r="G99" s="372"/>
      <c r="H99" s="398"/>
      <c r="I99" s="378"/>
      <c r="J99" s="372"/>
      <c r="K99" s="399"/>
      <c r="L99" s="378"/>
      <c r="M99" s="372"/>
    </row>
    <row r="100" spans="2:13" hidden="1" outlineLevel="4">
      <c r="B100" s="372"/>
      <c r="C100" s="372"/>
      <c r="D100" s="372"/>
      <c r="E100" s="376"/>
      <c r="F100" s="656" t="s">
        <v>1783</v>
      </c>
      <c r="G100" s="372"/>
      <c r="H100" s="398"/>
      <c r="I100" s="378"/>
      <c r="J100" s="372"/>
      <c r="K100" s="399"/>
      <c r="L100" s="378"/>
      <c r="M100" s="372"/>
    </row>
    <row r="101" spans="2:13" hidden="1" outlineLevel="3">
      <c r="B101" s="372" t="s">
        <v>74</v>
      </c>
      <c r="C101" s="372" t="s">
        <v>75</v>
      </c>
      <c r="D101" s="372" t="s">
        <v>17</v>
      </c>
      <c r="E101" s="376" t="s">
        <v>19</v>
      </c>
      <c r="F101" s="425" t="s">
        <v>80</v>
      </c>
      <c r="G101" s="372"/>
      <c r="H101" s="398">
        <v>1.18</v>
      </c>
      <c r="I101" s="378">
        <v>1</v>
      </c>
      <c r="J101" s="372"/>
      <c r="K101" s="399">
        <f t="shared" si="10"/>
        <v>0</v>
      </c>
      <c r="L101" s="378"/>
      <c r="M101" s="372"/>
    </row>
    <row r="102" spans="2:13" hidden="1" outlineLevel="3">
      <c r="B102" s="372" t="s">
        <v>74</v>
      </c>
      <c r="C102" s="372" t="s">
        <v>75</v>
      </c>
      <c r="D102" s="372" t="s">
        <v>17</v>
      </c>
      <c r="E102" s="376" t="s">
        <v>19</v>
      </c>
      <c r="F102" s="425" t="s">
        <v>81</v>
      </c>
      <c r="G102" s="372"/>
      <c r="H102" s="398">
        <f>10659000/10^7</f>
        <v>1.0659000000000001</v>
      </c>
      <c r="I102" s="378">
        <v>1</v>
      </c>
      <c r="J102" s="372"/>
      <c r="K102" s="399">
        <f t="shared" si="10"/>
        <v>0</v>
      </c>
      <c r="L102" s="378"/>
      <c r="M102" s="372"/>
    </row>
    <row r="103" spans="2:13" hidden="1" outlineLevel="4">
      <c r="B103" s="372"/>
      <c r="C103" s="372"/>
      <c r="D103" s="372"/>
      <c r="E103" s="376"/>
      <c r="F103" s="656" t="s">
        <v>1784</v>
      </c>
      <c r="G103" s="372"/>
      <c r="H103" s="398"/>
      <c r="I103" s="378"/>
      <c r="J103" s="372"/>
      <c r="K103" s="399"/>
      <c r="L103" s="378"/>
      <c r="M103" s="372"/>
    </row>
    <row r="104" spans="2:13" hidden="1" outlineLevel="4">
      <c r="B104" s="372"/>
      <c r="C104" s="372"/>
      <c r="D104" s="372"/>
      <c r="E104" s="376"/>
      <c r="F104" s="656" t="s">
        <v>1785</v>
      </c>
      <c r="G104" s="372"/>
      <c r="H104" s="398"/>
      <c r="I104" s="378"/>
      <c r="J104" s="372"/>
      <c r="K104" s="399"/>
      <c r="L104" s="378"/>
      <c r="M104" s="372"/>
    </row>
    <row r="105" spans="2:13" hidden="1" outlineLevel="3">
      <c r="B105" s="372" t="s">
        <v>74</v>
      </c>
      <c r="C105" s="372" t="s">
        <v>75</v>
      </c>
      <c r="D105" s="372" t="s">
        <v>17</v>
      </c>
      <c r="E105" s="376" t="s">
        <v>19</v>
      </c>
      <c r="F105" s="425" t="s">
        <v>82</v>
      </c>
      <c r="G105" s="372"/>
      <c r="H105" s="398">
        <v>0.45</v>
      </c>
      <c r="I105" s="378">
        <v>1</v>
      </c>
      <c r="J105" s="372"/>
      <c r="K105" s="399">
        <f t="shared" si="10"/>
        <v>0</v>
      </c>
      <c r="L105" s="378"/>
      <c r="M105" s="372"/>
    </row>
    <row r="106" spans="2:13" hidden="1" outlineLevel="3">
      <c r="B106" s="372" t="s">
        <v>74</v>
      </c>
      <c r="C106" s="372" t="s">
        <v>75</v>
      </c>
      <c r="D106" s="372" t="s">
        <v>17</v>
      </c>
      <c r="E106" s="376" t="s">
        <v>19</v>
      </c>
      <c r="F106" s="425" t="s">
        <v>83</v>
      </c>
      <c r="G106" s="372"/>
      <c r="H106" s="398">
        <v>0.15</v>
      </c>
      <c r="I106" s="378">
        <v>1</v>
      </c>
      <c r="J106" s="372"/>
      <c r="K106" s="399">
        <f t="shared" si="10"/>
        <v>0</v>
      </c>
      <c r="L106" s="378"/>
      <c r="M106" s="372"/>
    </row>
    <row r="107" spans="2:13" hidden="1" outlineLevel="4">
      <c r="B107" s="372"/>
      <c r="C107" s="372"/>
      <c r="D107" s="372"/>
      <c r="E107" s="376"/>
      <c r="F107" s="656" t="s">
        <v>1786</v>
      </c>
      <c r="G107" s="372"/>
      <c r="H107" s="398"/>
      <c r="I107" s="378"/>
      <c r="J107" s="372"/>
      <c r="K107" s="399"/>
      <c r="L107" s="378"/>
      <c r="M107" s="372"/>
    </row>
    <row r="108" spans="2:13" hidden="1" outlineLevel="4">
      <c r="B108" s="372"/>
      <c r="C108" s="372"/>
      <c r="D108" s="372"/>
      <c r="E108" s="376"/>
      <c r="F108" s="656" t="s">
        <v>1787</v>
      </c>
      <c r="G108" s="372"/>
      <c r="H108" s="398"/>
      <c r="I108" s="378"/>
      <c r="J108" s="372"/>
      <c r="K108" s="399"/>
      <c r="L108" s="378"/>
      <c r="M108" s="372"/>
    </row>
    <row r="109" spans="2:13" hidden="1" outlineLevel="3">
      <c r="B109" s="372" t="s">
        <v>74</v>
      </c>
      <c r="C109" s="372" t="s">
        <v>75</v>
      </c>
      <c r="D109" s="372" t="s">
        <v>17</v>
      </c>
      <c r="E109" s="376" t="s">
        <v>19</v>
      </c>
      <c r="F109" s="425" t="s">
        <v>84</v>
      </c>
      <c r="G109" s="372"/>
      <c r="H109" s="398">
        <v>0.15</v>
      </c>
      <c r="I109" s="378">
        <v>1</v>
      </c>
      <c r="J109" s="372"/>
      <c r="K109" s="399">
        <f t="shared" si="10"/>
        <v>0</v>
      </c>
      <c r="L109" s="378"/>
      <c r="M109" s="372"/>
    </row>
    <row r="110" spans="2:13" hidden="1" outlineLevel="4">
      <c r="B110" s="372"/>
      <c r="C110" s="372"/>
      <c r="D110" s="372"/>
      <c r="E110" s="376"/>
      <c r="F110" s="656" t="s">
        <v>1788</v>
      </c>
      <c r="G110" s="372"/>
      <c r="H110" s="398"/>
      <c r="I110" s="378"/>
      <c r="J110" s="372"/>
      <c r="K110" s="399"/>
      <c r="L110" s="378"/>
      <c r="M110" s="372"/>
    </row>
    <row r="111" spans="2:13" hidden="1" outlineLevel="4">
      <c r="B111" s="372"/>
      <c r="C111" s="372"/>
      <c r="D111" s="372"/>
      <c r="E111" s="376"/>
      <c r="F111" s="656" t="s">
        <v>1789</v>
      </c>
      <c r="G111" s="372"/>
      <c r="H111" s="398"/>
      <c r="I111" s="378"/>
      <c r="J111" s="372"/>
      <c r="K111" s="399"/>
      <c r="L111" s="378"/>
      <c r="M111" s="372"/>
    </row>
    <row r="112" spans="2:13" hidden="1" outlineLevel="3">
      <c r="B112" s="372" t="s">
        <v>74</v>
      </c>
      <c r="C112" s="372" t="s">
        <v>75</v>
      </c>
      <c r="D112" s="372" t="s">
        <v>17</v>
      </c>
      <c r="E112" s="376" t="s">
        <v>19</v>
      </c>
      <c r="F112" s="425" t="s">
        <v>85</v>
      </c>
      <c r="G112" s="372"/>
      <c r="H112" s="398">
        <v>0.03</v>
      </c>
      <c r="I112" s="378">
        <v>1</v>
      </c>
      <c r="J112" s="372"/>
      <c r="K112" s="399">
        <f t="shared" si="10"/>
        <v>0</v>
      </c>
      <c r="L112" s="378"/>
      <c r="M112" s="372"/>
    </row>
    <row r="113" spans="2:13" hidden="1" outlineLevel="2">
      <c r="B113" s="385" t="s">
        <v>74</v>
      </c>
      <c r="C113" s="385" t="s">
        <v>75</v>
      </c>
      <c r="D113" s="385" t="s">
        <v>25</v>
      </c>
      <c r="E113" s="385"/>
      <c r="F113" s="452" t="s">
        <v>77</v>
      </c>
      <c r="G113" s="385"/>
      <c r="H113" s="410">
        <f>SUM(H114:H118)</f>
        <v>0.36</v>
      </c>
      <c r="I113" s="396">
        <f>SUM(I114:I118)</f>
        <v>3</v>
      </c>
      <c r="J113" s="385"/>
      <c r="K113" s="410">
        <f>SUM(K114:K118)</f>
        <v>0</v>
      </c>
      <c r="L113" s="396">
        <f>SUM(L114:L118)</f>
        <v>0</v>
      </c>
      <c r="M113" s="372"/>
    </row>
    <row r="114" spans="2:13" hidden="1" outlineLevel="3">
      <c r="B114" s="372" t="s">
        <v>74</v>
      </c>
      <c r="C114" s="372" t="s">
        <v>75</v>
      </c>
      <c r="D114" s="372" t="s">
        <v>25</v>
      </c>
      <c r="E114" s="372" t="s">
        <v>26</v>
      </c>
      <c r="F114" s="425" t="s">
        <v>86</v>
      </c>
      <c r="G114" s="372"/>
      <c r="H114" s="398">
        <v>0.19</v>
      </c>
      <c r="I114" s="378">
        <v>1</v>
      </c>
      <c r="J114" s="372"/>
      <c r="K114" s="399">
        <f t="shared" ref="K114:K118" si="11">IF(L114=1,H114,0)</f>
        <v>0</v>
      </c>
      <c r="L114" s="378"/>
      <c r="M114" s="372"/>
    </row>
    <row r="115" spans="2:13" hidden="1" outlineLevel="4">
      <c r="B115" s="372"/>
      <c r="C115" s="372"/>
      <c r="D115" s="372"/>
      <c r="E115" s="372"/>
      <c r="F115" s="656" t="s">
        <v>1790</v>
      </c>
      <c r="G115" s="372"/>
      <c r="H115" s="398"/>
      <c r="I115" s="378"/>
      <c r="J115" s="372"/>
      <c r="K115" s="399"/>
      <c r="L115" s="378"/>
      <c r="M115" s="372"/>
    </row>
    <row r="116" spans="2:13" ht="26.4" hidden="1" outlineLevel="4">
      <c r="B116" s="372"/>
      <c r="C116" s="372"/>
      <c r="D116" s="372"/>
      <c r="E116" s="372"/>
      <c r="F116" s="656" t="s">
        <v>1791</v>
      </c>
      <c r="G116" s="372"/>
      <c r="H116" s="398"/>
      <c r="I116" s="378"/>
      <c r="J116" s="372"/>
      <c r="K116" s="399"/>
      <c r="L116" s="378"/>
      <c r="M116" s="372"/>
    </row>
    <row r="117" spans="2:13" hidden="1" outlineLevel="3">
      <c r="B117" s="372" t="s">
        <v>74</v>
      </c>
      <c r="C117" s="372" t="s">
        <v>75</v>
      </c>
      <c r="D117" s="372" t="s">
        <v>25</v>
      </c>
      <c r="E117" s="372" t="s">
        <v>26</v>
      </c>
      <c r="F117" s="425" t="s">
        <v>87</v>
      </c>
      <c r="G117" s="372"/>
      <c r="H117" s="398">
        <v>0.16</v>
      </c>
      <c r="I117" s="378">
        <v>1</v>
      </c>
      <c r="J117" s="372"/>
      <c r="K117" s="399">
        <f t="shared" si="11"/>
        <v>0</v>
      </c>
      <c r="L117" s="378"/>
      <c r="M117" s="372"/>
    </row>
    <row r="118" spans="2:13" hidden="1" outlineLevel="3">
      <c r="B118" s="372" t="s">
        <v>74</v>
      </c>
      <c r="C118" s="372" t="s">
        <v>75</v>
      </c>
      <c r="D118" s="372" t="s">
        <v>25</v>
      </c>
      <c r="E118" s="372" t="s">
        <v>26</v>
      </c>
      <c r="F118" s="425" t="s">
        <v>88</v>
      </c>
      <c r="G118" s="372"/>
      <c r="H118" s="398">
        <v>0.01</v>
      </c>
      <c r="I118" s="378">
        <v>1</v>
      </c>
      <c r="J118" s="372"/>
      <c r="K118" s="399">
        <f t="shared" si="11"/>
        <v>0</v>
      </c>
      <c r="L118" s="378"/>
      <c r="M118" s="372"/>
    </row>
    <row r="119" spans="2:13" hidden="1" outlineLevel="2">
      <c r="B119" s="385" t="s">
        <v>74</v>
      </c>
      <c r="C119" s="385" t="s">
        <v>75</v>
      </c>
      <c r="D119" s="385" t="s">
        <v>27</v>
      </c>
      <c r="E119" s="385"/>
      <c r="F119" s="452" t="s">
        <v>77</v>
      </c>
      <c r="G119" s="385"/>
      <c r="H119" s="410">
        <f>SUM(H123:H123)</f>
        <v>1.0915E-3</v>
      </c>
      <c r="I119" s="396">
        <f>SUM(I120:I123)</f>
        <v>3</v>
      </c>
      <c r="J119" s="385"/>
      <c r="K119" s="410">
        <f>SUM(K123:K123)</f>
        <v>0</v>
      </c>
      <c r="L119" s="396">
        <f>SUM(L120:L123)</f>
        <v>0</v>
      </c>
      <c r="M119" s="372"/>
    </row>
    <row r="120" spans="2:13" hidden="1" outlineLevel="3">
      <c r="B120" s="372" t="s">
        <v>74</v>
      </c>
      <c r="C120" s="372" t="s">
        <v>75</v>
      </c>
      <c r="D120" s="372" t="s">
        <v>27</v>
      </c>
      <c r="E120" s="372" t="s">
        <v>28</v>
      </c>
      <c r="F120" s="425" t="s">
        <v>87</v>
      </c>
      <c r="G120" s="372"/>
      <c r="H120" s="414">
        <v>0.36</v>
      </c>
      <c r="I120" s="397">
        <v>1</v>
      </c>
      <c r="J120" s="372"/>
      <c r="K120" s="399">
        <f t="shared" ref="K120:K123" si="12">IF(L120=1,H120,0)</f>
        <v>0</v>
      </c>
      <c r="L120" s="397"/>
      <c r="M120" s="372"/>
    </row>
    <row r="121" spans="2:13" hidden="1" outlineLevel="3">
      <c r="B121" s="372" t="s">
        <v>74</v>
      </c>
      <c r="C121" s="372" t="s">
        <v>75</v>
      </c>
      <c r="D121" s="372" t="s">
        <v>27</v>
      </c>
      <c r="E121" s="372" t="s">
        <v>28</v>
      </c>
      <c r="F121" s="425" t="s">
        <v>89</v>
      </c>
      <c r="G121" s="372"/>
      <c r="H121" s="414">
        <v>2.183E-3</v>
      </c>
      <c r="I121" s="397">
        <v>1</v>
      </c>
      <c r="J121" s="372"/>
      <c r="K121" s="399">
        <f t="shared" si="12"/>
        <v>0</v>
      </c>
      <c r="L121" s="397"/>
      <c r="M121" s="372"/>
    </row>
    <row r="122" spans="2:13" hidden="1" outlineLevel="4">
      <c r="B122" s="372"/>
      <c r="C122" s="372"/>
      <c r="D122" s="372"/>
      <c r="E122" s="372"/>
      <c r="F122" s="656" t="s">
        <v>1792</v>
      </c>
      <c r="G122" s="372"/>
      <c r="H122" s="414"/>
      <c r="I122" s="397"/>
      <c r="J122" s="372"/>
      <c r="K122" s="399"/>
      <c r="L122" s="397"/>
      <c r="M122" s="372"/>
    </row>
    <row r="123" spans="2:13" hidden="1" outlineLevel="3">
      <c r="B123" s="372" t="s">
        <v>74</v>
      </c>
      <c r="C123" s="372" t="s">
        <v>75</v>
      </c>
      <c r="D123" s="372" t="s">
        <v>27</v>
      </c>
      <c r="E123" s="372" t="s">
        <v>28</v>
      </c>
      <c r="F123" s="425" t="s">
        <v>88</v>
      </c>
      <c r="G123" s="372"/>
      <c r="H123" s="398">
        <v>1.0915E-3</v>
      </c>
      <c r="I123" s="378">
        <v>1</v>
      </c>
      <c r="J123" s="372"/>
      <c r="K123" s="399">
        <f t="shared" si="12"/>
        <v>0</v>
      </c>
      <c r="L123" s="378"/>
      <c r="M123" s="372"/>
    </row>
    <row r="124" spans="2:13" hidden="1" outlineLevel="2">
      <c r="B124" s="385" t="s">
        <v>74</v>
      </c>
      <c r="C124" s="385" t="s">
        <v>75</v>
      </c>
      <c r="D124" s="385" t="s">
        <v>58</v>
      </c>
      <c r="E124" s="385"/>
      <c r="F124" s="452" t="s">
        <v>77</v>
      </c>
      <c r="G124" s="385"/>
      <c r="H124" s="410">
        <f>SUM(H125)</f>
        <v>0.04</v>
      </c>
      <c r="I124" s="396">
        <f>SUM(I125)</f>
        <v>1</v>
      </c>
      <c r="J124" s="385"/>
      <c r="K124" s="410">
        <f>SUM(K125)</f>
        <v>0</v>
      </c>
      <c r="L124" s="396">
        <f>SUM(L125)</f>
        <v>0</v>
      </c>
      <c r="M124" s="372"/>
    </row>
    <row r="125" spans="2:13" hidden="1" outlineLevel="3">
      <c r="B125" s="372" t="s">
        <v>74</v>
      </c>
      <c r="C125" s="372" t="s">
        <v>75</v>
      </c>
      <c r="D125" s="372" t="s">
        <v>58</v>
      </c>
      <c r="E125" s="372" t="s">
        <v>28</v>
      </c>
      <c r="F125" s="425" t="s">
        <v>90</v>
      </c>
      <c r="G125" s="372"/>
      <c r="H125" s="398">
        <v>0.04</v>
      </c>
      <c r="I125" s="378">
        <v>1</v>
      </c>
      <c r="J125" s="372"/>
      <c r="K125" s="399">
        <f>IF(L125=1,H125,0)</f>
        <v>0</v>
      </c>
      <c r="L125" s="378"/>
      <c r="M125" s="372"/>
    </row>
    <row r="126" spans="2:13" s="390" customFormat="1" outlineLevel="1" collapsed="1">
      <c r="B126" s="639" t="s">
        <v>91</v>
      </c>
      <c r="C126" s="640" t="s">
        <v>92</v>
      </c>
      <c r="D126" s="639"/>
      <c r="E126" s="639"/>
      <c r="F126" s="641" t="s">
        <v>76</v>
      </c>
      <c r="G126" s="633"/>
      <c r="H126" s="646">
        <f>SUM(H127+H146+H154+H158)</f>
        <v>8.9238499999999998</v>
      </c>
      <c r="I126" s="645">
        <f>SUM(I127,I146,I154,I158)</f>
        <v>28</v>
      </c>
      <c r="J126" s="633"/>
      <c r="K126" s="646">
        <f>SUM(K127+K146+K154+K158)</f>
        <v>0</v>
      </c>
      <c r="L126" s="645">
        <f>SUM(L127,L146,L154,L158)</f>
        <v>0</v>
      </c>
      <c r="M126" s="385"/>
    </row>
    <row r="127" spans="2:13" ht="26.4" hidden="1" outlineLevel="2">
      <c r="B127" s="385" t="s">
        <v>91</v>
      </c>
      <c r="C127" s="385" t="s">
        <v>92</v>
      </c>
      <c r="D127" s="385" t="s">
        <v>17</v>
      </c>
      <c r="E127" s="386"/>
      <c r="F127" s="424" t="s">
        <v>93</v>
      </c>
      <c r="G127" s="385"/>
      <c r="H127" s="410">
        <f>SUM(H128:H145)</f>
        <v>7.0838499999999991</v>
      </c>
      <c r="I127" s="396">
        <f>SUM(I128:I145)</f>
        <v>18</v>
      </c>
      <c r="J127" s="385"/>
      <c r="K127" s="410">
        <f>SUM(K128:K145)</f>
        <v>0</v>
      </c>
      <c r="L127" s="396">
        <f>SUM(L128:L145)</f>
        <v>0</v>
      </c>
      <c r="M127" s="372"/>
    </row>
    <row r="128" spans="2:13" hidden="1" outlineLevel="3">
      <c r="B128" s="372" t="s">
        <v>91</v>
      </c>
      <c r="C128" s="372" t="s">
        <v>92</v>
      </c>
      <c r="D128" s="372" t="s">
        <v>17</v>
      </c>
      <c r="E128" s="387" t="s">
        <v>19</v>
      </c>
      <c r="F128" s="425" t="s">
        <v>94</v>
      </c>
      <c r="G128" s="372"/>
      <c r="H128" s="377">
        <v>0.2</v>
      </c>
      <c r="I128" s="378">
        <v>1</v>
      </c>
      <c r="J128" s="372"/>
      <c r="K128" s="399">
        <f t="shared" ref="K128:K145" si="13">IF(L128=1,H128,0)</f>
        <v>0</v>
      </c>
      <c r="L128" s="378"/>
      <c r="M128" s="372"/>
    </row>
    <row r="129" spans="2:13" hidden="1" outlineLevel="3">
      <c r="B129" s="372" t="s">
        <v>91</v>
      </c>
      <c r="C129" s="372" t="s">
        <v>92</v>
      </c>
      <c r="D129" s="372" t="s">
        <v>17</v>
      </c>
      <c r="E129" s="387" t="s">
        <v>19</v>
      </c>
      <c r="F129" s="425" t="s">
        <v>95</v>
      </c>
      <c r="G129" s="372"/>
      <c r="H129" s="377">
        <v>0.41</v>
      </c>
      <c r="I129" s="378">
        <v>1</v>
      </c>
      <c r="J129" s="372"/>
      <c r="K129" s="399">
        <f t="shared" si="13"/>
        <v>0</v>
      </c>
      <c r="L129" s="378"/>
      <c r="M129" s="372"/>
    </row>
    <row r="130" spans="2:13" hidden="1" outlineLevel="3">
      <c r="B130" s="372" t="s">
        <v>91</v>
      </c>
      <c r="C130" s="372" t="s">
        <v>92</v>
      </c>
      <c r="D130" s="372" t="s">
        <v>17</v>
      </c>
      <c r="E130" s="387" t="s">
        <v>19</v>
      </c>
      <c r="F130" s="425" t="s">
        <v>96</v>
      </c>
      <c r="G130" s="372"/>
      <c r="H130" s="377">
        <v>0.61</v>
      </c>
      <c r="I130" s="378">
        <v>1</v>
      </c>
      <c r="J130" s="372"/>
      <c r="K130" s="399">
        <f t="shared" si="13"/>
        <v>0</v>
      </c>
      <c r="L130" s="378"/>
      <c r="M130" s="372"/>
    </row>
    <row r="131" spans="2:13" hidden="1" outlineLevel="3">
      <c r="B131" s="372" t="s">
        <v>91</v>
      </c>
      <c r="C131" s="372" t="s">
        <v>92</v>
      </c>
      <c r="D131" s="372" t="s">
        <v>17</v>
      </c>
      <c r="E131" s="387" t="s">
        <v>19</v>
      </c>
      <c r="F131" s="425" t="s">
        <v>97</v>
      </c>
      <c r="G131" s="372"/>
      <c r="H131" s="377">
        <v>0.82</v>
      </c>
      <c r="I131" s="378">
        <v>1</v>
      </c>
      <c r="J131" s="372"/>
      <c r="K131" s="399">
        <f t="shared" si="13"/>
        <v>0</v>
      </c>
      <c r="L131" s="378"/>
      <c r="M131" s="372"/>
    </row>
    <row r="132" spans="2:13" hidden="1" outlineLevel="3">
      <c r="B132" s="372" t="s">
        <v>91</v>
      </c>
      <c r="C132" s="372" t="s">
        <v>92</v>
      </c>
      <c r="D132" s="372" t="s">
        <v>17</v>
      </c>
      <c r="E132" s="387" t="s">
        <v>19</v>
      </c>
      <c r="F132" s="425" t="s">
        <v>98</v>
      </c>
      <c r="G132" s="372"/>
      <c r="H132" s="377">
        <v>0.48</v>
      </c>
      <c r="I132" s="378">
        <v>1</v>
      </c>
      <c r="J132" s="372"/>
      <c r="K132" s="399">
        <f t="shared" si="13"/>
        <v>0</v>
      </c>
      <c r="L132" s="378"/>
      <c r="M132" s="372"/>
    </row>
    <row r="133" spans="2:13" hidden="1" outlineLevel="3">
      <c r="B133" s="372" t="s">
        <v>91</v>
      </c>
      <c r="C133" s="372" t="s">
        <v>92</v>
      </c>
      <c r="D133" s="372" t="s">
        <v>17</v>
      </c>
      <c r="E133" s="387" t="s">
        <v>19</v>
      </c>
      <c r="F133" s="425" t="s">
        <v>99</v>
      </c>
      <c r="G133" s="372"/>
      <c r="H133" s="377">
        <v>0.9638500000000001</v>
      </c>
      <c r="I133" s="378">
        <v>1</v>
      </c>
      <c r="J133" s="372"/>
      <c r="K133" s="399">
        <f t="shared" si="13"/>
        <v>0</v>
      </c>
      <c r="L133" s="378"/>
      <c r="M133" s="372"/>
    </row>
    <row r="134" spans="2:13" hidden="1" outlineLevel="3">
      <c r="B134" s="372" t="s">
        <v>91</v>
      </c>
      <c r="C134" s="372" t="s">
        <v>92</v>
      </c>
      <c r="D134" s="372" t="s">
        <v>17</v>
      </c>
      <c r="E134" s="387" t="s">
        <v>19</v>
      </c>
      <c r="F134" s="425" t="s">
        <v>100</v>
      </c>
      <c r="G134" s="372"/>
      <c r="H134" s="377">
        <v>0.52</v>
      </c>
      <c r="I134" s="378">
        <v>1</v>
      </c>
      <c r="J134" s="372"/>
      <c r="K134" s="399">
        <f t="shared" si="13"/>
        <v>0</v>
      </c>
      <c r="L134" s="378"/>
      <c r="M134" s="372"/>
    </row>
    <row r="135" spans="2:13" hidden="1" outlineLevel="3">
      <c r="B135" s="372" t="s">
        <v>91</v>
      </c>
      <c r="C135" s="372" t="s">
        <v>92</v>
      </c>
      <c r="D135" s="372" t="s">
        <v>17</v>
      </c>
      <c r="E135" s="387" t="s">
        <v>19</v>
      </c>
      <c r="F135" s="425" t="s">
        <v>101</v>
      </c>
      <c r="G135" s="372"/>
      <c r="H135" s="377">
        <v>0.52</v>
      </c>
      <c r="I135" s="378">
        <v>1</v>
      </c>
      <c r="J135" s="372"/>
      <c r="K135" s="399">
        <f t="shared" si="13"/>
        <v>0</v>
      </c>
      <c r="L135" s="378"/>
      <c r="M135" s="372"/>
    </row>
    <row r="136" spans="2:13" hidden="1" outlineLevel="3">
      <c r="B136" s="372" t="s">
        <v>91</v>
      </c>
      <c r="C136" s="372" t="s">
        <v>92</v>
      </c>
      <c r="D136" s="372" t="s">
        <v>17</v>
      </c>
      <c r="E136" s="387" t="s">
        <v>19</v>
      </c>
      <c r="F136" s="425" t="s">
        <v>102</v>
      </c>
      <c r="G136" s="372"/>
      <c r="H136" s="377">
        <v>0.52</v>
      </c>
      <c r="I136" s="378">
        <v>1</v>
      </c>
      <c r="J136" s="372"/>
      <c r="K136" s="399">
        <f t="shared" si="13"/>
        <v>0</v>
      </c>
      <c r="L136" s="378"/>
      <c r="M136" s="372"/>
    </row>
    <row r="137" spans="2:13" hidden="1" outlineLevel="3">
      <c r="B137" s="372" t="s">
        <v>91</v>
      </c>
      <c r="C137" s="372" t="s">
        <v>92</v>
      </c>
      <c r="D137" s="372" t="s">
        <v>17</v>
      </c>
      <c r="E137" s="387" t="s">
        <v>19</v>
      </c>
      <c r="F137" s="425" t="s">
        <v>61</v>
      </c>
      <c r="G137" s="372"/>
      <c r="H137" s="377">
        <v>0.17</v>
      </c>
      <c r="I137" s="378">
        <v>1</v>
      </c>
      <c r="J137" s="372"/>
      <c r="K137" s="399">
        <f t="shared" si="13"/>
        <v>0</v>
      </c>
      <c r="L137" s="378"/>
      <c r="M137" s="372"/>
    </row>
    <row r="138" spans="2:13" hidden="1" outlineLevel="3">
      <c r="B138" s="372" t="s">
        <v>91</v>
      </c>
      <c r="C138" s="372" t="s">
        <v>92</v>
      </c>
      <c r="D138" s="372" t="s">
        <v>17</v>
      </c>
      <c r="E138" s="387" t="s">
        <v>19</v>
      </c>
      <c r="F138" s="425" t="s">
        <v>103</v>
      </c>
      <c r="G138" s="372"/>
      <c r="H138" s="377">
        <v>0.48</v>
      </c>
      <c r="I138" s="378">
        <v>1</v>
      </c>
      <c r="J138" s="372"/>
      <c r="K138" s="399">
        <f t="shared" si="13"/>
        <v>0</v>
      </c>
      <c r="L138" s="378"/>
      <c r="M138" s="372"/>
    </row>
    <row r="139" spans="2:13" hidden="1" outlineLevel="3">
      <c r="B139" s="372" t="s">
        <v>91</v>
      </c>
      <c r="C139" s="372" t="s">
        <v>92</v>
      </c>
      <c r="D139" s="372" t="s">
        <v>17</v>
      </c>
      <c r="E139" s="387" t="s">
        <v>19</v>
      </c>
      <c r="F139" s="425" t="s">
        <v>104</v>
      </c>
      <c r="G139" s="372"/>
      <c r="H139" s="377">
        <v>0.24</v>
      </c>
      <c r="I139" s="378">
        <v>1</v>
      </c>
      <c r="J139" s="372"/>
      <c r="K139" s="399">
        <f t="shared" si="13"/>
        <v>0</v>
      </c>
      <c r="L139" s="378"/>
      <c r="M139" s="372"/>
    </row>
    <row r="140" spans="2:13" ht="26.4" hidden="1" outlineLevel="3">
      <c r="B140" s="372" t="s">
        <v>91</v>
      </c>
      <c r="C140" s="372" t="s">
        <v>92</v>
      </c>
      <c r="D140" s="372" t="s">
        <v>17</v>
      </c>
      <c r="E140" s="387" t="s">
        <v>19</v>
      </c>
      <c r="F140" s="425" t="s">
        <v>105</v>
      </c>
      <c r="G140" s="372"/>
      <c r="H140" s="377">
        <v>0.96</v>
      </c>
      <c r="I140" s="378">
        <v>1</v>
      </c>
      <c r="J140" s="372"/>
      <c r="K140" s="399">
        <f t="shared" si="13"/>
        <v>0</v>
      </c>
      <c r="L140" s="378"/>
      <c r="M140" s="372"/>
    </row>
    <row r="141" spans="2:13" hidden="1" outlineLevel="3">
      <c r="B141" s="372" t="s">
        <v>91</v>
      </c>
      <c r="C141" s="372" t="s">
        <v>92</v>
      </c>
      <c r="D141" s="372" t="s">
        <v>17</v>
      </c>
      <c r="E141" s="387" t="s">
        <v>19</v>
      </c>
      <c r="F141" s="425" t="s">
        <v>58</v>
      </c>
      <c r="G141" s="372"/>
      <c r="H141" s="377">
        <v>0.03</v>
      </c>
      <c r="I141" s="378">
        <v>1</v>
      </c>
      <c r="J141" s="372"/>
      <c r="K141" s="399">
        <f t="shared" si="13"/>
        <v>0</v>
      </c>
      <c r="L141" s="378"/>
      <c r="M141" s="372"/>
    </row>
    <row r="142" spans="2:13" hidden="1" outlineLevel="3">
      <c r="B142" s="372" t="s">
        <v>91</v>
      </c>
      <c r="C142" s="372" t="s">
        <v>92</v>
      </c>
      <c r="D142" s="372" t="s">
        <v>17</v>
      </c>
      <c r="E142" s="387" t="s">
        <v>19</v>
      </c>
      <c r="F142" s="425" t="s">
        <v>87</v>
      </c>
      <c r="G142" s="372"/>
      <c r="H142" s="377">
        <v>0.03</v>
      </c>
      <c r="I142" s="378">
        <v>1</v>
      </c>
      <c r="J142" s="372"/>
      <c r="K142" s="399">
        <f t="shared" si="13"/>
        <v>0</v>
      </c>
      <c r="L142" s="378"/>
      <c r="M142" s="372"/>
    </row>
    <row r="143" spans="2:13" hidden="1" outlineLevel="3">
      <c r="B143" s="372" t="s">
        <v>91</v>
      </c>
      <c r="C143" s="372" t="s">
        <v>92</v>
      </c>
      <c r="D143" s="372" t="s">
        <v>17</v>
      </c>
      <c r="E143" s="387" t="s">
        <v>19</v>
      </c>
      <c r="F143" s="425" t="s">
        <v>107</v>
      </c>
      <c r="G143" s="372"/>
      <c r="H143" s="377">
        <v>1.4999999999999999E-2</v>
      </c>
      <c r="I143" s="378">
        <v>1</v>
      </c>
      <c r="J143" s="372"/>
      <c r="K143" s="399">
        <f t="shared" si="13"/>
        <v>0</v>
      </c>
      <c r="L143" s="378"/>
      <c r="M143" s="372"/>
    </row>
    <row r="144" spans="2:13" hidden="1" outlineLevel="3">
      <c r="B144" s="372" t="s">
        <v>91</v>
      </c>
      <c r="C144" s="372" t="s">
        <v>92</v>
      </c>
      <c r="D144" s="372" t="s">
        <v>17</v>
      </c>
      <c r="E144" s="387" t="s">
        <v>19</v>
      </c>
      <c r="F144" s="425" t="s">
        <v>108</v>
      </c>
      <c r="G144" s="372"/>
      <c r="H144" s="377">
        <v>1.4999999999999999E-2</v>
      </c>
      <c r="I144" s="378">
        <v>1</v>
      </c>
      <c r="J144" s="372"/>
      <c r="K144" s="399">
        <f t="shared" si="13"/>
        <v>0</v>
      </c>
      <c r="L144" s="378"/>
      <c r="M144" s="372"/>
    </row>
    <row r="145" spans="2:13" hidden="1" outlineLevel="3">
      <c r="B145" s="372" t="s">
        <v>91</v>
      </c>
      <c r="C145" s="372" t="s">
        <v>92</v>
      </c>
      <c r="D145" s="372" t="s">
        <v>17</v>
      </c>
      <c r="E145" s="387" t="s">
        <v>19</v>
      </c>
      <c r="F145" s="425" t="s">
        <v>86</v>
      </c>
      <c r="G145" s="372"/>
      <c r="H145" s="377">
        <v>0.1</v>
      </c>
      <c r="I145" s="378">
        <v>1</v>
      </c>
      <c r="J145" s="372"/>
      <c r="K145" s="399">
        <f t="shared" si="13"/>
        <v>0</v>
      </c>
      <c r="L145" s="378"/>
      <c r="M145" s="372"/>
    </row>
    <row r="146" spans="2:13" hidden="1" outlineLevel="2">
      <c r="B146" s="385" t="s">
        <v>91</v>
      </c>
      <c r="C146" s="385" t="s">
        <v>92</v>
      </c>
      <c r="D146" s="385" t="s">
        <v>25</v>
      </c>
      <c r="E146" s="385"/>
      <c r="F146" s="452" t="s">
        <v>77</v>
      </c>
      <c r="G146" s="385"/>
      <c r="H146" s="410">
        <f>SUM(H147:H153)</f>
        <v>1.7000000000000002</v>
      </c>
      <c r="I146" s="396">
        <f>SUM(I147:I153)</f>
        <v>7</v>
      </c>
      <c r="J146" s="385"/>
      <c r="K146" s="410">
        <f>SUM(K147:K153)</f>
        <v>0</v>
      </c>
      <c r="L146" s="396">
        <f>SUM(L147:L153)</f>
        <v>0</v>
      </c>
      <c r="M146" s="372"/>
    </row>
    <row r="147" spans="2:13" hidden="1" outlineLevel="3">
      <c r="B147" s="372" t="s">
        <v>91</v>
      </c>
      <c r="C147" s="372" t="s">
        <v>92</v>
      </c>
      <c r="D147" s="372" t="s">
        <v>25</v>
      </c>
      <c r="E147" s="372" t="s">
        <v>26</v>
      </c>
      <c r="F147" s="425" t="s">
        <v>103</v>
      </c>
      <c r="G147" s="372"/>
      <c r="H147" s="398">
        <v>0.2</v>
      </c>
      <c r="I147" s="378">
        <v>1</v>
      </c>
      <c r="J147" s="372"/>
      <c r="K147" s="399">
        <f t="shared" ref="K147:K153" si="14">IF(L147=1,H147,0)</f>
        <v>0</v>
      </c>
      <c r="L147" s="378"/>
      <c r="M147" s="372"/>
    </row>
    <row r="148" spans="2:13" hidden="1" outlineLevel="3">
      <c r="B148" s="372" t="s">
        <v>91</v>
      </c>
      <c r="C148" s="372" t="s">
        <v>92</v>
      </c>
      <c r="D148" s="372" t="s">
        <v>25</v>
      </c>
      <c r="E148" s="372" t="s">
        <v>26</v>
      </c>
      <c r="F148" s="425" t="s">
        <v>104</v>
      </c>
      <c r="G148" s="372"/>
      <c r="H148" s="398">
        <v>0.4</v>
      </c>
      <c r="I148" s="397">
        <v>1</v>
      </c>
      <c r="J148" s="372"/>
      <c r="K148" s="399">
        <f t="shared" si="14"/>
        <v>0</v>
      </c>
      <c r="L148" s="397"/>
      <c r="M148" s="372"/>
    </row>
    <row r="149" spans="2:13" hidden="1" outlineLevel="3">
      <c r="B149" s="372" t="s">
        <v>91</v>
      </c>
      <c r="C149" s="372" t="s">
        <v>92</v>
      </c>
      <c r="D149" s="372" t="s">
        <v>25</v>
      </c>
      <c r="E149" s="372" t="s">
        <v>26</v>
      </c>
      <c r="F149" s="425" t="s">
        <v>109</v>
      </c>
      <c r="G149" s="372"/>
      <c r="H149" s="398">
        <v>0.32</v>
      </c>
      <c r="I149" s="397">
        <v>1</v>
      </c>
      <c r="J149" s="372"/>
      <c r="K149" s="399">
        <f t="shared" si="14"/>
        <v>0</v>
      </c>
      <c r="L149" s="397"/>
      <c r="M149" s="372"/>
    </row>
    <row r="150" spans="2:13" hidden="1" outlineLevel="3">
      <c r="B150" s="372" t="s">
        <v>91</v>
      </c>
      <c r="C150" s="372" t="s">
        <v>92</v>
      </c>
      <c r="D150" s="372" t="s">
        <v>25</v>
      </c>
      <c r="E150" s="372" t="s">
        <v>26</v>
      </c>
      <c r="F150" s="425" t="s">
        <v>110</v>
      </c>
      <c r="G150" s="372"/>
      <c r="H150" s="398">
        <v>0.32</v>
      </c>
      <c r="I150" s="397">
        <v>1</v>
      </c>
      <c r="J150" s="372"/>
      <c r="K150" s="399">
        <f t="shared" si="14"/>
        <v>0</v>
      </c>
      <c r="L150" s="397"/>
      <c r="M150" s="372"/>
    </row>
    <row r="151" spans="2:13" hidden="1" outlineLevel="3">
      <c r="B151" s="372" t="s">
        <v>91</v>
      </c>
      <c r="C151" s="372" t="s">
        <v>92</v>
      </c>
      <c r="D151" s="372" t="s">
        <v>25</v>
      </c>
      <c r="E151" s="372" t="s">
        <v>26</v>
      </c>
      <c r="F151" s="425" t="s">
        <v>111</v>
      </c>
      <c r="G151" s="372"/>
      <c r="H151" s="398">
        <v>0.43</v>
      </c>
      <c r="I151" s="397">
        <v>1</v>
      </c>
      <c r="J151" s="372"/>
      <c r="K151" s="399">
        <f t="shared" si="14"/>
        <v>0</v>
      </c>
      <c r="L151" s="397"/>
      <c r="M151" s="372"/>
    </row>
    <row r="152" spans="2:13" hidden="1" outlineLevel="3">
      <c r="B152" s="372" t="s">
        <v>91</v>
      </c>
      <c r="C152" s="372" t="s">
        <v>92</v>
      </c>
      <c r="D152" s="372" t="s">
        <v>25</v>
      </c>
      <c r="E152" s="372" t="s">
        <v>26</v>
      </c>
      <c r="F152" s="425" t="s">
        <v>86</v>
      </c>
      <c r="G152" s="372"/>
      <c r="H152" s="398">
        <v>0.02</v>
      </c>
      <c r="I152" s="378">
        <v>1</v>
      </c>
      <c r="J152" s="372"/>
      <c r="K152" s="399">
        <f t="shared" si="14"/>
        <v>0</v>
      </c>
      <c r="L152" s="378"/>
      <c r="M152" s="372"/>
    </row>
    <row r="153" spans="2:13" hidden="1" outlineLevel="3">
      <c r="B153" s="372" t="s">
        <v>91</v>
      </c>
      <c r="C153" s="372" t="s">
        <v>92</v>
      </c>
      <c r="D153" s="372" t="s">
        <v>25</v>
      </c>
      <c r="E153" s="372" t="s">
        <v>26</v>
      </c>
      <c r="F153" s="425" t="s">
        <v>87</v>
      </c>
      <c r="G153" s="372"/>
      <c r="H153" s="398">
        <v>0.01</v>
      </c>
      <c r="I153" s="378">
        <v>1</v>
      </c>
      <c r="J153" s="372"/>
      <c r="K153" s="399">
        <f t="shared" si="14"/>
        <v>0</v>
      </c>
      <c r="L153" s="378"/>
      <c r="M153" s="372"/>
    </row>
    <row r="154" spans="2:13" hidden="1" outlineLevel="2">
      <c r="B154" s="385" t="s">
        <v>91</v>
      </c>
      <c r="C154" s="385" t="s">
        <v>92</v>
      </c>
      <c r="D154" s="385" t="s">
        <v>27</v>
      </c>
      <c r="E154" s="385"/>
      <c r="F154" s="424" t="s">
        <v>112</v>
      </c>
      <c r="G154" s="385"/>
      <c r="H154" s="410">
        <f>SUM(H155:H157)</f>
        <v>0.14000000000000001</v>
      </c>
      <c r="I154" s="396">
        <f>SUM(I155:I157)</f>
        <v>3</v>
      </c>
      <c r="J154" s="385"/>
      <c r="K154" s="410">
        <f>SUM(K155:K157)</f>
        <v>0</v>
      </c>
      <c r="L154" s="396">
        <f>SUM(L155:L157)</f>
        <v>0</v>
      </c>
      <c r="M154" s="372"/>
    </row>
    <row r="155" spans="2:13" hidden="1" outlineLevel="3">
      <c r="B155" s="372" t="s">
        <v>91</v>
      </c>
      <c r="C155" s="372" t="s">
        <v>92</v>
      </c>
      <c r="D155" s="372" t="s">
        <v>27</v>
      </c>
      <c r="E155" s="372" t="s">
        <v>28</v>
      </c>
      <c r="F155" s="452" t="s">
        <v>113</v>
      </c>
      <c r="G155" s="372"/>
      <c r="H155" s="398">
        <v>0.02</v>
      </c>
      <c r="I155" s="378">
        <v>1</v>
      </c>
      <c r="J155" s="372"/>
      <c r="K155" s="399">
        <f t="shared" ref="K155:K157" si="15">IF(L155=1,H155,0)</f>
        <v>0</v>
      </c>
      <c r="L155" s="378"/>
      <c r="M155" s="372"/>
    </row>
    <row r="156" spans="2:13" hidden="1" outlineLevel="3">
      <c r="B156" s="372" t="s">
        <v>91</v>
      </c>
      <c r="C156" s="372" t="s">
        <v>92</v>
      </c>
      <c r="D156" s="372" t="s">
        <v>27</v>
      </c>
      <c r="E156" s="372" t="s">
        <v>28</v>
      </c>
      <c r="F156" s="425" t="s">
        <v>114</v>
      </c>
      <c r="G156" s="372"/>
      <c r="H156" s="398">
        <v>0.06</v>
      </c>
      <c r="I156" s="378">
        <v>1</v>
      </c>
      <c r="J156" s="372"/>
      <c r="K156" s="399">
        <f t="shared" si="15"/>
        <v>0</v>
      </c>
      <c r="L156" s="378"/>
      <c r="M156" s="372"/>
    </row>
    <row r="157" spans="2:13" hidden="1" outlineLevel="3">
      <c r="B157" s="372" t="s">
        <v>91</v>
      </c>
      <c r="C157" s="372" t="s">
        <v>92</v>
      </c>
      <c r="D157" s="372" t="s">
        <v>27</v>
      </c>
      <c r="E157" s="372" t="s">
        <v>28</v>
      </c>
      <c r="F157" s="425" t="s">
        <v>115</v>
      </c>
      <c r="G157" s="372"/>
      <c r="H157" s="398">
        <v>0.06</v>
      </c>
      <c r="I157" s="378">
        <v>1</v>
      </c>
      <c r="J157" s="372"/>
      <c r="K157" s="399">
        <f t="shared" si="15"/>
        <v>0</v>
      </c>
      <c r="L157" s="378"/>
      <c r="M157" s="372"/>
    </row>
    <row r="158" spans="2:13" hidden="1" outlineLevel="2">
      <c r="B158" s="385" t="s">
        <v>91</v>
      </c>
      <c r="C158" s="385" t="s">
        <v>92</v>
      </c>
      <c r="D158" s="385" t="s">
        <v>58</v>
      </c>
      <c r="E158" s="385"/>
      <c r="F158" s="424" t="s">
        <v>112</v>
      </c>
      <c r="G158" s="385"/>
      <c r="H158" s="410"/>
      <c r="I158" s="396"/>
      <c r="J158" s="385"/>
      <c r="K158" s="410"/>
      <c r="L158" s="396"/>
      <c r="M158" s="372"/>
    </row>
    <row r="159" spans="2:13" s="390" customFormat="1" outlineLevel="1" collapsed="1">
      <c r="B159" s="632" t="s">
        <v>120</v>
      </c>
      <c r="C159" s="633" t="s">
        <v>121</v>
      </c>
      <c r="D159" s="632"/>
      <c r="E159" s="632"/>
      <c r="F159" s="641" t="s">
        <v>76</v>
      </c>
      <c r="G159" s="633"/>
      <c r="H159" s="635">
        <f>H160+H162+H173+H174</f>
        <v>8.4072167695988034E-2</v>
      </c>
      <c r="I159" s="636">
        <f>I160+I162+I173+I174</f>
        <v>3</v>
      </c>
      <c r="J159" s="633"/>
      <c r="K159" s="635">
        <f>K160+K162+K173+K174</f>
        <v>0</v>
      </c>
      <c r="L159" s="636">
        <f>L160+L162+L173+L174</f>
        <v>0</v>
      </c>
      <c r="M159" s="385"/>
    </row>
    <row r="160" spans="2:13" hidden="1" outlineLevel="2">
      <c r="B160" s="380" t="s">
        <v>120</v>
      </c>
      <c r="C160" s="385" t="s">
        <v>121</v>
      </c>
      <c r="D160" s="385" t="s">
        <v>17</v>
      </c>
      <c r="E160" s="380"/>
      <c r="F160" s="424" t="s">
        <v>77</v>
      </c>
      <c r="G160" s="385"/>
      <c r="H160" s="405">
        <f>SUM(H161:H161)</f>
        <v>0</v>
      </c>
      <c r="I160" s="396">
        <f>SUM(I161:I161)</f>
        <v>0</v>
      </c>
      <c r="J160" s="385"/>
      <c r="K160" s="405">
        <f>SUM(K161:K161)</f>
        <v>0</v>
      </c>
      <c r="L160" s="396">
        <f>SUM(L161:L161)</f>
        <v>0</v>
      </c>
      <c r="M160" s="372"/>
    </row>
    <row r="161" spans="1:12" hidden="1" outlineLevel="3"/>
    <row r="162" spans="1:12" hidden="1" outlineLevel="2">
      <c r="A162" s="372"/>
      <c r="B162" s="380" t="s">
        <v>120</v>
      </c>
      <c r="C162" s="385" t="s">
        <v>121</v>
      </c>
      <c r="D162" s="385" t="s">
        <v>25</v>
      </c>
      <c r="E162" s="385"/>
      <c r="F162" s="424" t="s">
        <v>77</v>
      </c>
      <c r="G162" s="385"/>
      <c r="H162" s="410">
        <f>SUM(H163:H171)</f>
        <v>8.4072167695988034E-2</v>
      </c>
      <c r="I162" s="396">
        <f>SUM(I163:I171)</f>
        <v>3</v>
      </c>
      <c r="J162" s="385"/>
      <c r="K162" s="410">
        <f>SUM(K163:K171)</f>
        <v>0</v>
      </c>
      <c r="L162" s="396">
        <f>SUM(L163:L171)</f>
        <v>0</v>
      </c>
    </row>
    <row r="163" spans="1:12" hidden="1" outlineLevel="3">
      <c r="A163" s="372"/>
      <c r="B163" s="376" t="s">
        <v>120</v>
      </c>
      <c r="C163" s="372" t="s">
        <v>121</v>
      </c>
      <c r="D163" s="372" t="s">
        <v>25</v>
      </c>
      <c r="E163" s="372" t="s">
        <v>26</v>
      </c>
      <c r="F163" s="422" t="s">
        <v>122</v>
      </c>
      <c r="G163" s="372"/>
      <c r="H163" s="377">
        <v>6.0248605439999423E-2</v>
      </c>
      <c r="I163" s="378">
        <v>1</v>
      </c>
      <c r="J163" s="372"/>
      <c r="K163" s="399">
        <f t="shared" ref="K163:K171" si="16">IF(L163=1,H163,0)</f>
        <v>0</v>
      </c>
      <c r="L163" s="378"/>
    </row>
    <row r="164" spans="1:12" hidden="1" outlineLevel="3">
      <c r="A164" s="372"/>
      <c r="B164" s="376"/>
      <c r="C164" s="372"/>
      <c r="D164" s="372"/>
      <c r="E164" s="372"/>
      <c r="F164" s="422" t="s">
        <v>1793</v>
      </c>
      <c r="G164" s="372"/>
      <c r="H164" s="377"/>
      <c r="I164" s="378"/>
      <c r="J164" s="372"/>
      <c r="K164" s="399"/>
      <c r="L164" s="378"/>
    </row>
    <row r="165" spans="1:12" hidden="1" outlineLevel="3">
      <c r="A165" s="372"/>
      <c r="B165" s="376" t="s">
        <v>120</v>
      </c>
      <c r="C165" s="372" t="s">
        <v>121</v>
      </c>
      <c r="D165" s="372" t="s">
        <v>25</v>
      </c>
      <c r="E165" s="372" t="s">
        <v>26</v>
      </c>
      <c r="F165" s="422" t="s">
        <v>123</v>
      </c>
      <c r="G165" s="372"/>
      <c r="H165" s="377">
        <v>1.1911781127994301E-2</v>
      </c>
      <c r="I165" s="378">
        <v>1</v>
      </c>
      <c r="J165" s="372"/>
      <c r="K165" s="399">
        <f t="shared" si="16"/>
        <v>0</v>
      </c>
      <c r="L165" s="378"/>
    </row>
    <row r="166" spans="1:12" hidden="1" outlineLevel="3">
      <c r="A166" s="372"/>
      <c r="B166" s="376"/>
      <c r="C166" s="372"/>
      <c r="D166" s="372"/>
      <c r="E166" s="372"/>
      <c r="F166" s="422" t="s">
        <v>1794</v>
      </c>
      <c r="G166" s="372"/>
      <c r="H166" s="377"/>
      <c r="I166" s="378"/>
      <c r="J166" s="372"/>
      <c r="K166" s="399"/>
      <c r="L166" s="378"/>
    </row>
    <row r="167" spans="1:12" hidden="1" outlineLevel="3">
      <c r="A167" s="372"/>
      <c r="B167" s="376"/>
      <c r="C167" s="372"/>
      <c r="D167" s="372"/>
      <c r="E167" s="372"/>
      <c r="F167" s="422" t="s">
        <v>1795</v>
      </c>
      <c r="G167" s="372"/>
      <c r="H167" s="377"/>
      <c r="I167" s="378"/>
      <c r="J167" s="372"/>
      <c r="K167" s="399"/>
      <c r="L167" s="378"/>
    </row>
    <row r="168" spans="1:12" hidden="1" outlineLevel="3">
      <c r="A168" s="372"/>
      <c r="B168" s="376"/>
      <c r="C168" s="372"/>
      <c r="D168" s="372"/>
      <c r="E168" s="372"/>
      <c r="F168" s="422" t="s">
        <v>1796</v>
      </c>
      <c r="G168" s="372"/>
      <c r="H168" s="377"/>
      <c r="I168" s="378"/>
      <c r="J168" s="372"/>
      <c r="K168" s="399"/>
      <c r="L168" s="378"/>
    </row>
    <row r="169" spans="1:12" hidden="1" outlineLevel="3">
      <c r="A169" s="372"/>
      <c r="B169" s="376"/>
      <c r="C169" s="372"/>
      <c r="D169" s="372"/>
      <c r="E169" s="372"/>
      <c r="F169" s="422" t="s">
        <v>1797</v>
      </c>
      <c r="G169" s="372"/>
      <c r="H169" s="377"/>
      <c r="I169" s="378"/>
      <c r="J169" s="372"/>
      <c r="K169" s="399"/>
      <c r="L169" s="378"/>
    </row>
    <row r="170" spans="1:12" hidden="1" outlineLevel="3">
      <c r="A170" s="372"/>
      <c r="B170" s="376"/>
      <c r="C170" s="372"/>
      <c r="D170" s="372"/>
      <c r="E170" s="372"/>
      <c r="F170" s="422" t="s">
        <v>1798</v>
      </c>
      <c r="G170" s="372"/>
      <c r="H170" s="377"/>
      <c r="I170" s="378"/>
      <c r="J170" s="372"/>
      <c r="K170" s="399"/>
      <c r="L170" s="378"/>
    </row>
    <row r="171" spans="1:12" hidden="1" outlineLevel="3">
      <c r="A171" s="372"/>
      <c r="B171" s="376" t="s">
        <v>120</v>
      </c>
      <c r="C171" s="372" t="s">
        <v>121</v>
      </c>
      <c r="D171" s="372" t="s">
        <v>25</v>
      </c>
      <c r="E171" s="372" t="s">
        <v>26</v>
      </c>
      <c r="F171" s="422" t="s">
        <v>124</v>
      </c>
      <c r="G171" s="372"/>
      <c r="H171" s="377">
        <v>1.1911781127994301E-2</v>
      </c>
      <c r="I171" s="378">
        <v>1</v>
      </c>
      <c r="J171" s="372"/>
      <c r="K171" s="399">
        <f t="shared" si="16"/>
        <v>0</v>
      </c>
      <c r="L171" s="378"/>
    </row>
    <row r="172" spans="1:12" hidden="1" outlineLevel="3">
      <c r="A172" s="372"/>
      <c r="B172" s="376"/>
      <c r="C172" s="372"/>
      <c r="D172" s="372"/>
      <c r="E172" s="372"/>
      <c r="F172" s="422" t="s">
        <v>1799</v>
      </c>
      <c r="G172" s="372"/>
      <c r="H172" s="377"/>
      <c r="I172" s="378"/>
      <c r="J172" s="372"/>
      <c r="K172" s="399"/>
      <c r="L172" s="378"/>
    </row>
    <row r="173" spans="1:12" hidden="1" outlineLevel="2">
      <c r="A173" s="372"/>
      <c r="B173" s="380" t="s">
        <v>120</v>
      </c>
      <c r="C173" s="385" t="s">
        <v>121</v>
      </c>
      <c r="D173" s="385" t="s">
        <v>27</v>
      </c>
      <c r="E173" s="385"/>
      <c r="F173" s="424" t="s">
        <v>77</v>
      </c>
      <c r="G173" s="385"/>
      <c r="H173" s="410"/>
      <c r="I173" s="396"/>
      <c r="J173" s="385"/>
      <c r="K173" s="410"/>
      <c r="L173" s="396"/>
    </row>
    <row r="174" spans="1:12" hidden="1" outlineLevel="2">
      <c r="A174" s="372"/>
      <c r="B174" s="380" t="s">
        <v>120</v>
      </c>
      <c r="C174" s="385" t="s">
        <v>121</v>
      </c>
      <c r="D174" s="385" t="s">
        <v>58</v>
      </c>
      <c r="E174" s="385"/>
      <c r="F174" s="424" t="s">
        <v>77</v>
      </c>
      <c r="G174" s="385"/>
      <c r="H174" s="410"/>
      <c r="I174" s="396"/>
      <c r="J174" s="385"/>
      <c r="K174" s="410"/>
      <c r="L174" s="396"/>
    </row>
    <row r="175" spans="1:12" s="390" customFormat="1" outlineLevel="1" collapsed="1">
      <c r="A175" s="385"/>
      <c r="B175" s="632" t="s">
        <v>125</v>
      </c>
      <c r="C175" s="633" t="s">
        <v>126</v>
      </c>
      <c r="D175" s="632"/>
      <c r="E175" s="632"/>
      <c r="F175" s="641" t="s">
        <v>76</v>
      </c>
      <c r="G175" s="633"/>
      <c r="H175" s="635">
        <f>SUM(H176+H181)</f>
        <v>0.41918995130000003</v>
      </c>
      <c r="I175" s="636">
        <f>I176+I181+I189+I190</f>
        <v>5</v>
      </c>
      <c r="J175" s="633"/>
      <c r="K175" s="635">
        <f>SUM(K176+K181)</f>
        <v>0</v>
      </c>
      <c r="L175" s="636">
        <f>L176+L181+L189+L190</f>
        <v>0</v>
      </c>
    </row>
    <row r="176" spans="1:12" hidden="1" outlineLevel="2">
      <c r="A176" s="372"/>
      <c r="B176" s="380" t="s">
        <v>125</v>
      </c>
      <c r="C176" s="385" t="s">
        <v>126</v>
      </c>
      <c r="D176" s="385" t="s">
        <v>17</v>
      </c>
      <c r="E176" s="380"/>
      <c r="F176" s="424" t="s">
        <v>77</v>
      </c>
      <c r="G176" s="385"/>
      <c r="H176" s="410">
        <f>SUM(H177:H179)</f>
        <v>0.25</v>
      </c>
      <c r="I176" s="396">
        <f>SUM(I177:I179)</f>
        <v>2</v>
      </c>
      <c r="J176" s="385"/>
      <c r="K176" s="410">
        <f>SUM(K177:K179)</f>
        <v>0</v>
      </c>
      <c r="L176" s="396">
        <f>SUM(L177:L179)</f>
        <v>0</v>
      </c>
    </row>
    <row r="177" spans="1:12" hidden="1" outlineLevel="3">
      <c r="A177" s="372"/>
      <c r="B177" s="376" t="s">
        <v>125</v>
      </c>
      <c r="C177" s="372" t="s">
        <v>126</v>
      </c>
      <c r="D177" s="372" t="s">
        <v>17</v>
      </c>
      <c r="E177" s="376" t="s">
        <v>127</v>
      </c>
      <c r="F177" s="422" t="s">
        <v>122</v>
      </c>
      <c r="G177" s="372"/>
      <c r="H177" s="377">
        <v>7.0000000000000007E-2</v>
      </c>
      <c r="I177" s="378">
        <v>1</v>
      </c>
      <c r="J177" s="372"/>
      <c r="K177" s="399">
        <f t="shared" ref="K177:K179" si="17">IF(L177=1,H177,0)</f>
        <v>0</v>
      </c>
      <c r="L177" s="378"/>
    </row>
    <row r="178" spans="1:12" hidden="1" outlineLevel="3">
      <c r="A178" s="372"/>
      <c r="B178" s="376"/>
      <c r="C178" s="372"/>
      <c r="D178" s="372"/>
      <c r="E178" s="376"/>
      <c r="F178" s="422" t="s">
        <v>1800</v>
      </c>
      <c r="G178" s="372"/>
      <c r="H178" s="377"/>
      <c r="I178" s="378"/>
      <c r="J178" s="372"/>
      <c r="K178" s="399"/>
      <c r="L178" s="378"/>
    </row>
    <row r="179" spans="1:12" hidden="1" outlineLevel="3">
      <c r="A179" s="372"/>
      <c r="B179" s="376" t="s">
        <v>125</v>
      </c>
      <c r="C179" s="372" t="s">
        <v>126</v>
      </c>
      <c r="D179" s="372" t="s">
        <v>17</v>
      </c>
      <c r="E179" s="376" t="s">
        <v>127</v>
      </c>
      <c r="F179" s="422" t="s">
        <v>128</v>
      </c>
      <c r="G179" s="372"/>
      <c r="H179" s="377">
        <v>0.18</v>
      </c>
      <c r="I179" s="378">
        <v>1</v>
      </c>
      <c r="J179" s="372"/>
      <c r="K179" s="399">
        <f t="shared" si="17"/>
        <v>0</v>
      </c>
      <c r="L179" s="378"/>
    </row>
    <row r="180" spans="1:12" hidden="1" outlineLevel="3">
      <c r="A180" s="372"/>
      <c r="B180" s="376"/>
      <c r="C180" s="372"/>
      <c r="D180" s="372"/>
      <c r="E180" s="376"/>
      <c r="F180" s="422" t="s">
        <v>1801</v>
      </c>
      <c r="G180" s="372"/>
      <c r="H180" s="377"/>
      <c r="I180" s="378"/>
      <c r="J180" s="372"/>
      <c r="K180" s="399"/>
      <c r="L180" s="378"/>
    </row>
    <row r="181" spans="1:12" hidden="1" outlineLevel="2">
      <c r="A181" s="372"/>
      <c r="B181" s="380" t="s">
        <v>125</v>
      </c>
      <c r="C181" s="385" t="s">
        <v>126</v>
      </c>
      <c r="D181" s="385" t="s">
        <v>25</v>
      </c>
      <c r="E181" s="385"/>
      <c r="F181" s="424" t="s">
        <v>77</v>
      </c>
      <c r="G181" s="385"/>
      <c r="H181" s="410">
        <f>SUM(H182:H187)</f>
        <v>0.16918995130000003</v>
      </c>
      <c r="I181" s="396">
        <f>SUM(I182:I187)</f>
        <v>3</v>
      </c>
      <c r="J181" s="385"/>
      <c r="K181" s="410">
        <f>SUM(K182:K187)</f>
        <v>0</v>
      </c>
      <c r="L181" s="396">
        <f>SUM(L182:L187)</f>
        <v>0</v>
      </c>
    </row>
    <row r="182" spans="1:12" hidden="1" outlineLevel="3" collapsed="1">
      <c r="A182" s="372"/>
      <c r="B182" s="376" t="s">
        <v>125</v>
      </c>
      <c r="C182" s="372" t="s">
        <v>126</v>
      </c>
      <c r="D182" s="372" t="s">
        <v>25</v>
      </c>
      <c r="E182" s="372" t="s">
        <v>26</v>
      </c>
      <c r="F182" s="422" t="s">
        <v>128</v>
      </c>
      <c r="G182" s="372"/>
      <c r="H182" s="399">
        <v>7.0000000000000007E-2</v>
      </c>
      <c r="I182" s="397">
        <v>1</v>
      </c>
      <c r="J182" s="372"/>
      <c r="K182" s="399">
        <f t="shared" ref="K182:K187" si="18">IF(L182=1,H182,0)</f>
        <v>0</v>
      </c>
      <c r="L182" s="397"/>
    </row>
    <row r="183" spans="1:12" hidden="1" outlineLevel="3">
      <c r="A183" s="372"/>
      <c r="B183" s="376"/>
      <c r="C183" s="372"/>
      <c r="D183" s="372"/>
      <c r="E183" s="372"/>
      <c r="F183" s="422" t="s">
        <v>1801</v>
      </c>
      <c r="G183" s="372"/>
      <c r="H183" s="399"/>
      <c r="I183" s="397"/>
      <c r="J183" s="372"/>
      <c r="K183" s="399"/>
      <c r="L183" s="397"/>
    </row>
    <row r="184" spans="1:12" hidden="1" outlineLevel="3">
      <c r="A184" s="372"/>
      <c r="B184" s="376" t="s">
        <v>125</v>
      </c>
      <c r="C184" s="372" t="s">
        <v>126</v>
      </c>
      <c r="D184" s="372" t="s">
        <v>25</v>
      </c>
      <c r="E184" s="372" t="s">
        <v>26</v>
      </c>
      <c r="F184" s="422" t="s">
        <v>122</v>
      </c>
      <c r="G184" s="372"/>
      <c r="H184" s="377">
        <v>5.4103609800000001E-2</v>
      </c>
      <c r="I184" s="378">
        <v>1</v>
      </c>
      <c r="J184" s="372"/>
      <c r="K184" s="399">
        <f t="shared" si="18"/>
        <v>0</v>
      </c>
      <c r="L184" s="378"/>
    </row>
    <row r="185" spans="1:12" hidden="1" outlineLevel="3">
      <c r="A185" s="372"/>
      <c r="B185" s="376"/>
      <c r="C185" s="372"/>
      <c r="D185" s="372"/>
      <c r="E185" s="372"/>
      <c r="F185" s="422" t="s">
        <v>1793</v>
      </c>
      <c r="G185" s="372"/>
      <c r="H185" s="399"/>
      <c r="I185" s="397"/>
      <c r="J185" s="372"/>
      <c r="K185" s="399"/>
      <c r="L185" s="397"/>
    </row>
    <row r="186" spans="1:12" hidden="1" outlineLevel="3">
      <c r="A186" s="372"/>
      <c r="B186" s="376"/>
      <c r="C186" s="372"/>
      <c r="D186" s="372"/>
      <c r="E186" s="372"/>
      <c r="F186" s="422" t="s">
        <v>1800</v>
      </c>
      <c r="G186" s="372"/>
      <c r="H186" s="377"/>
      <c r="I186" s="378"/>
      <c r="J186" s="372"/>
      <c r="K186" s="399"/>
      <c r="L186" s="378"/>
    </row>
    <row r="187" spans="1:12" hidden="1" outlineLevel="3">
      <c r="A187" s="372"/>
      <c r="B187" s="376" t="s">
        <v>125</v>
      </c>
      <c r="C187" s="372" t="s">
        <v>126</v>
      </c>
      <c r="D187" s="372" t="s">
        <v>25</v>
      </c>
      <c r="E187" s="372" t="s">
        <v>26</v>
      </c>
      <c r="F187" s="422" t="s">
        <v>129</v>
      </c>
      <c r="G187" s="372"/>
      <c r="H187" s="377">
        <v>4.5086341500000002E-2</v>
      </c>
      <c r="I187" s="378">
        <v>1</v>
      </c>
      <c r="J187" s="372"/>
      <c r="K187" s="399">
        <f t="shared" si="18"/>
        <v>0</v>
      </c>
      <c r="L187" s="378"/>
    </row>
    <row r="188" spans="1:12" hidden="1" outlineLevel="3">
      <c r="A188" s="372"/>
      <c r="B188" s="376"/>
      <c r="C188" s="372"/>
      <c r="D188" s="372"/>
      <c r="E188" s="372"/>
      <c r="F188" s="422" t="s">
        <v>1802</v>
      </c>
      <c r="G188" s="372"/>
      <c r="H188" s="377"/>
      <c r="I188" s="378"/>
      <c r="J188" s="372"/>
      <c r="K188" s="399"/>
      <c r="L188" s="378"/>
    </row>
    <row r="189" spans="1:12" hidden="1" outlineLevel="2">
      <c r="A189" s="372">
        <v>0</v>
      </c>
      <c r="B189" s="380" t="s">
        <v>125</v>
      </c>
      <c r="C189" s="385" t="s">
        <v>126</v>
      </c>
      <c r="D189" s="385" t="s">
        <v>27</v>
      </c>
      <c r="E189" s="385"/>
      <c r="F189" s="424" t="s">
        <v>77</v>
      </c>
      <c r="G189" s="385"/>
      <c r="H189" s="410"/>
      <c r="I189" s="396">
        <v>0</v>
      </c>
      <c r="J189" s="385"/>
      <c r="K189" s="410"/>
      <c r="L189" s="396">
        <v>0</v>
      </c>
    </row>
    <row r="190" spans="1:12" hidden="1" outlineLevel="2">
      <c r="A190" s="372"/>
      <c r="B190" s="380" t="s">
        <v>125</v>
      </c>
      <c r="C190" s="385" t="s">
        <v>126</v>
      </c>
      <c r="D190" s="385" t="s">
        <v>58</v>
      </c>
      <c r="E190" s="385"/>
      <c r="F190" s="424" t="s">
        <v>77</v>
      </c>
      <c r="G190" s="385"/>
      <c r="H190" s="410"/>
      <c r="I190" s="396">
        <v>0</v>
      </c>
      <c r="J190" s="385"/>
      <c r="K190" s="410"/>
      <c r="L190" s="396">
        <v>0</v>
      </c>
    </row>
    <row r="191" spans="1:12" s="390" customFormat="1" outlineLevel="1" collapsed="1">
      <c r="A191" s="385"/>
      <c r="B191" s="632" t="s">
        <v>130</v>
      </c>
      <c r="C191" s="633" t="s">
        <v>131</v>
      </c>
      <c r="D191" s="632"/>
      <c r="E191" s="632"/>
      <c r="F191" s="634" t="s">
        <v>132</v>
      </c>
      <c r="G191" s="633"/>
      <c r="H191" s="635">
        <f>SUM(H192+H197+H214+H217)</f>
        <v>3.5270129872115201</v>
      </c>
      <c r="I191" s="636">
        <f>I192+I197+I214+I217</f>
        <v>17</v>
      </c>
      <c r="J191" s="633"/>
      <c r="K191" s="635">
        <f>SUM(K192+K197+K214+K217)</f>
        <v>2.5170129872115203</v>
      </c>
      <c r="L191" s="636">
        <f>L192+L197+L214+L217</f>
        <v>7</v>
      </c>
    </row>
    <row r="192" spans="1:12" hidden="1" outlineLevel="2">
      <c r="A192" s="372"/>
      <c r="B192" s="380" t="s">
        <v>130</v>
      </c>
      <c r="C192" s="385" t="s">
        <v>131</v>
      </c>
      <c r="D192" s="385" t="s">
        <v>17</v>
      </c>
      <c r="E192" s="380"/>
      <c r="F192" s="424" t="s">
        <v>77</v>
      </c>
      <c r="G192" s="385"/>
      <c r="H192" s="410">
        <f>SUM(H193:H196)</f>
        <v>2.3753571</v>
      </c>
      <c r="I192" s="396">
        <f>SUM(I193:I196)</f>
        <v>4</v>
      </c>
      <c r="J192" s="385"/>
      <c r="K192" s="410">
        <f>SUM(K193:K196)</f>
        <v>2.3453571000000002</v>
      </c>
      <c r="L192" s="396">
        <f>SUM(L193:L196)</f>
        <v>3</v>
      </c>
    </row>
    <row r="193" spans="1:12" hidden="1" outlineLevel="3">
      <c r="A193" s="372"/>
      <c r="B193" s="376" t="s">
        <v>130</v>
      </c>
      <c r="C193" s="372" t="s">
        <v>131</v>
      </c>
      <c r="D193" s="372" t="s">
        <v>17</v>
      </c>
      <c r="E193" s="376" t="s">
        <v>127</v>
      </c>
      <c r="F193" s="422" t="s">
        <v>139</v>
      </c>
      <c r="G193" s="372"/>
      <c r="H193" s="377">
        <v>0.3</v>
      </c>
      <c r="I193" s="378">
        <v>1</v>
      </c>
      <c r="J193" s="372"/>
      <c r="K193" s="399">
        <f t="shared" ref="K193:K196" si="19">IF(L193=1,H193,0)</f>
        <v>0.3</v>
      </c>
      <c r="L193" s="378">
        <v>1</v>
      </c>
    </row>
    <row r="194" spans="1:12" hidden="1" outlineLevel="3">
      <c r="A194" s="372"/>
      <c r="B194" s="376" t="s">
        <v>130</v>
      </c>
      <c r="C194" s="372" t="s">
        <v>131</v>
      </c>
      <c r="D194" s="372" t="s">
        <v>17</v>
      </c>
      <c r="E194" s="376" t="s">
        <v>127</v>
      </c>
      <c r="F194" s="422" t="s">
        <v>140</v>
      </c>
      <c r="G194" s="372"/>
      <c r="H194" s="377">
        <v>0.3</v>
      </c>
      <c r="I194" s="378">
        <v>1</v>
      </c>
      <c r="J194" s="372"/>
      <c r="K194" s="399">
        <f t="shared" si="19"/>
        <v>0.3</v>
      </c>
      <c r="L194" s="378">
        <v>1</v>
      </c>
    </row>
    <row r="195" spans="1:12" hidden="1" outlineLevel="3">
      <c r="A195" s="372"/>
      <c r="B195" s="376" t="s">
        <v>130</v>
      </c>
      <c r="C195" s="372" t="s">
        <v>131</v>
      </c>
      <c r="D195" s="372" t="s">
        <v>17</v>
      </c>
      <c r="E195" s="376" t="s">
        <v>127</v>
      </c>
      <c r="F195" s="422" t="s">
        <v>141</v>
      </c>
      <c r="G195" s="372"/>
      <c r="H195" s="377">
        <v>0.03</v>
      </c>
      <c r="I195" s="378">
        <v>1</v>
      </c>
      <c r="J195" s="372"/>
      <c r="K195" s="399">
        <f t="shared" si="19"/>
        <v>0</v>
      </c>
      <c r="L195" s="378"/>
    </row>
    <row r="196" spans="1:12" hidden="1" outlineLevel="3">
      <c r="A196" s="372"/>
      <c r="B196" s="376" t="s">
        <v>130</v>
      </c>
      <c r="C196" s="372" t="s">
        <v>131</v>
      </c>
      <c r="D196" s="372" t="s">
        <v>17</v>
      </c>
      <c r="E196" s="376" t="s">
        <v>127</v>
      </c>
      <c r="F196" s="422" t="s">
        <v>146</v>
      </c>
      <c r="G196" s="372"/>
      <c r="H196" s="377">
        <v>1.7453571000000001</v>
      </c>
      <c r="I196" s="378">
        <v>1</v>
      </c>
      <c r="J196" s="372"/>
      <c r="K196" s="399">
        <f t="shared" si="19"/>
        <v>1.7453571000000001</v>
      </c>
      <c r="L196" s="378">
        <v>1</v>
      </c>
    </row>
    <row r="197" spans="1:12" hidden="1" outlineLevel="2">
      <c r="A197" s="372"/>
      <c r="B197" s="380" t="s">
        <v>130</v>
      </c>
      <c r="C197" s="385" t="s">
        <v>131</v>
      </c>
      <c r="D197" s="385" t="s">
        <v>25</v>
      </c>
      <c r="E197" s="385"/>
      <c r="F197" s="424" t="s">
        <v>77</v>
      </c>
      <c r="G197" s="385"/>
      <c r="H197" s="410">
        <f>SUM(H198:H213)</f>
        <v>1.1200000000000001</v>
      </c>
      <c r="I197" s="396">
        <f>SUM(I198:I213)</f>
        <v>11</v>
      </c>
      <c r="J197" s="385"/>
      <c r="K197" s="410">
        <f>SUM(K198:K213)</f>
        <v>0.14000000000000001</v>
      </c>
      <c r="L197" s="396">
        <f>SUM(L198:L213)</f>
        <v>2</v>
      </c>
    </row>
    <row r="198" spans="1:12" hidden="1" outlineLevel="3">
      <c r="A198" s="372"/>
      <c r="B198" s="376" t="s">
        <v>130</v>
      </c>
      <c r="C198" s="372" t="s">
        <v>131</v>
      </c>
      <c r="D198" s="372" t="s">
        <v>25</v>
      </c>
      <c r="E198" s="372" t="s">
        <v>26</v>
      </c>
      <c r="F198" s="422" t="s">
        <v>147</v>
      </c>
      <c r="G198" s="372"/>
      <c r="H198" s="377">
        <v>7.0000000000000007E-2</v>
      </c>
      <c r="I198" s="378">
        <v>1</v>
      </c>
      <c r="J198" s="372"/>
      <c r="K198" s="399">
        <f t="shared" ref="K198:K213" si="20">IF(L198=1,H198,0)</f>
        <v>7.0000000000000007E-2</v>
      </c>
      <c r="L198" s="378">
        <v>1</v>
      </c>
    </row>
    <row r="199" spans="1:12" hidden="1" outlineLevel="3">
      <c r="A199" s="372"/>
      <c r="B199" s="376" t="s">
        <v>130</v>
      </c>
      <c r="C199" s="372" t="s">
        <v>131</v>
      </c>
      <c r="D199" s="372" t="s">
        <v>25</v>
      </c>
      <c r="E199" s="372" t="s">
        <v>26</v>
      </c>
      <c r="F199" s="422" t="s">
        <v>148</v>
      </c>
      <c r="G199" s="372"/>
      <c r="H199" s="377">
        <v>7.0000000000000007E-2</v>
      </c>
      <c r="I199" s="378">
        <v>1</v>
      </c>
      <c r="J199" s="372"/>
      <c r="K199" s="399">
        <f t="shared" si="20"/>
        <v>7.0000000000000007E-2</v>
      </c>
      <c r="L199" s="378">
        <v>1</v>
      </c>
    </row>
    <row r="200" spans="1:12" hidden="1" outlineLevel="3">
      <c r="A200" s="372"/>
      <c r="B200" s="376" t="s">
        <v>130</v>
      </c>
      <c r="C200" s="372" t="s">
        <v>131</v>
      </c>
      <c r="D200" s="372" t="s">
        <v>25</v>
      </c>
      <c r="E200" s="372" t="s">
        <v>26</v>
      </c>
      <c r="F200" s="422" t="s">
        <v>149</v>
      </c>
      <c r="G200" s="372"/>
      <c r="H200" s="377">
        <v>7.0000000000000007E-2</v>
      </c>
      <c r="I200" s="378">
        <v>1</v>
      </c>
      <c r="J200" s="372"/>
      <c r="K200" s="399">
        <f t="shared" si="20"/>
        <v>0</v>
      </c>
      <c r="L200" s="378"/>
    </row>
    <row r="201" spans="1:12" hidden="1" outlineLevel="3">
      <c r="A201" s="372"/>
      <c r="B201" s="376"/>
      <c r="C201" s="372"/>
      <c r="D201" s="372"/>
      <c r="E201" s="372"/>
      <c r="F201" s="422" t="s">
        <v>1803</v>
      </c>
      <c r="G201" s="372"/>
      <c r="H201" s="377"/>
      <c r="I201" s="378"/>
      <c r="J201" s="372"/>
      <c r="K201" s="399"/>
      <c r="L201" s="378"/>
    </row>
    <row r="202" spans="1:12" hidden="1" outlineLevel="3">
      <c r="A202" s="372"/>
      <c r="B202" s="376" t="s">
        <v>130</v>
      </c>
      <c r="C202" s="372" t="s">
        <v>131</v>
      </c>
      <c r="D202" s="372" t="s">
        <v>25</v>
      </c>
      <c r="E202" s="372" t="s">
        <v>26</v>
      </c>
      <c r="F202" s="422" t="s">
        <v>150</v>
      </c>
      <c r="G202" s="372"/>
      <c r="H202" s="377">
        <v>7.0000000000000007E-2</v>
      </c>
      <c r="I202" s="378">
        <v>1</v>
      </c>
      <c r="J202" s="372"/>
      <c r="K202" s="399">
        <f t="shared" si="20"/>
        <v>0</v>
      </c>
      <c r="L202" s="378"/>
    </row>
    <row r="203" spans="1:12" hidden="1" outlineLevel="3">
      <c r="A203" s="372"/>
      <c r="B203" s="376"/>
      <c r="C203" s="372"/>
      <c r="D203" s="372"/>
      <c r="E203" s="372"/>
      <c r="F203" s="422" t="s">
        <v>1804</v>
      </c>
      <c r="G203" s="372"/>
      <c r="H203" s="399"/>
      <c r="I203" s="397"/>
      <c r="J203" s="372"/>
      <c r="K203" s="399"/>
      <c r="L203" s="397"/>
    </row>
    <row r="204" spans="1:12" hidden="1" outlineLevel="3">
      <c r="A204" s="372"/>
      <c r="B204" s="376" t="s">
        <v>130</v>
      </c>
      <c r="C204" s="372" t="s">
        <v>131</v>
      </c>
      <c r="D204" s="372" t="s">
        <v>25</v>
      </c>
      <c r="E204" s="372" t="s">
        <v>26</v>
      </c>
      <c r="F204" s="422" t="s">
        <v>151</v>
      </c>
      <c r="G204" s="372"/>
      <c r="H204" s="377">
        <v>7.0000000000000007E-2</v>
      </c>
      <c r="I204" s="378">
        <v>1</v>
      </c>
      <c r="J204" s="372"/>
      <c r="K204" s="399">
        <f t="shared" si="20"/>
        <v>0</v>
      </c>
      <c r="L204" s="378"/>
    </row>
    <row r="205" spans="1:12" hidden="1" outlineLevel="3">
      <c r="A205" s="372"/>
      <c r="B205" s="376" t="s">
        <v>130</v>
      </c>
      <c r="C205" s="372" t="s">
        <v>131</v>
      </c>
      <c r="D205" s="372" t="s">
        <v>25</v>
      </c>
      <c r="E205" s="372" t="s">
        <v>26</v>
      </c>
      <c r="F205" s="422" t="s">
        <v>152</v>
      </c>
      <c r="G205" s="372"/>
      <c r="H205" s="377">
        <v>7.0000000000000007E-2</v>
      </c>
      <c r="I205" s="378">
        <v>1</v>
      </c>
      <c r="J205" s="372"/>
      <c r="K205" s="399">
        <f t="shared" si="20"/>
        <v>0</v>
      </c>
      <c r="L205" s="378"/>
    </row>
    <row r="206" spans="1:12" hidden="1" outlineLevel="3">
      <c r="A206" s="372"/>
      <c r="B206" s="376" t="s">
        <v>130</v>
      </c>
      <c r="C206" s="372" t="s">
        <v>131</v>
      </c>
      <c r="D206" s="372" t="s">
        <v>25</v>
      </c>
      <c r="E206" s="372" t="s">
        <v>26</v>
      </c>
      <c r="F206" s="422" t="s">
        <v>153</v>
      </c>
      <c r="G206" s="372"/>
      <c r="H206" s="377">
        <v>0.13</v>
      </c>
      <c r="I206" s="378">
        <v>1</v>
      </c>
      <c r="J206" s="372"/>
      <c r="K206" s="399">
        <f t="shared" si="20"/>
        <v>0</v>
      </c>
      <c r="L206" s="378"/>
    </row>
    <row r="207" spans="1:12" hidden="1" outlineLevel="3">
      <c r="A207" s="372"/>
      <c r="B207" s="376"/>
      <c r="C207" s="372"/>
      <c r="D207" s="372"/>
      <c r="E207" s="372"/>
      <c r="F207" s="422" t="s">
        <v>1805</v>
      </c>
      <c r="G207" s="372"/>
      <c r="H207" s="377"/>
      <c r="I207" s="378"/>
      <c r="J207" s="372"/>
      <c r="K207" s="399"/>
      <c r="L207" s="378"/>
    </row>
    <row r="208" spans="1:12" hidden="1" outlineLevel="3">
      <c r="A208" s="372"/>
      <c r="B208" s="376" t="s">
        <v>130</v>
      </c>
      <c r="C208" s="372" t="s">
        <v>131</v>
      </c>
      <c r="D208" s="372" t="s">
        <v>25</v>
      </c>
      <c r="E208" s="372" t="s">
        <v>26</v>
      </c>
      <c r="F208" s="422" t="s">
        <v>154</v>
      </c>
      <c r="G208" s="372"/>
      <c r="H208" s="377">
        <v>0.18</v>
      </c>
      <c r="I208" s="378">
        <v>1</v>
      </c>
      <c r="J208" s="372"/>
      <c r="K208" s="399">
        <f t="shared" si="20"/>
        <v>0</v>
      </c>
      <c r="L208" s="378"/>
    </row>
    <row r="209" spans="1:12" hidden="1" outlineLevel="3">
      <c r="A209" s="372"/>
      <c r="B209" s="376"/>
      <c r="C209" s="372"/>
      <c r="D209" s="372"/>
      <c r="E209" s="372"/>
      <c r="F209" s="422" t="s">
        <v>1806</v>
      </c>
      <c r="G209" s="372"/>
      <c r="H209" s="377"/>
      <c r="I209" s="378"/>
      <c r="J209" s="372"/>
      <c r="K209" s="399"/>
      <c r="L209" s="378"/>
    </row>
    <row r="210" spans="1:12" hidden="1" outlineLevel="3">
      <c r="A210" s="372"/>
      <c r="B210" s="376" t="s">
        <v>130</v>
      </c>
      <c r="C210" s="372" t="s">
        <v>131</v>
      </c>
      <c r="D210" s="372" t="s">
        <v>25</v>
      </c>
      <c r="E210" s="372" t="s">
        <v>26</v>
      </c>
      <c r="F210" s="422" t="s">
        <v>155</v>
      </c>
      <c r="G210" s="372"/>
      <c r="H210" s="377">
        <v>0.13</v>
      </c>
      <c r="I210" s="378">
        <v>1</v>
      </c>
      <c r="J210" s="372"/>
      <c r="K210" s="399">
        <f t="shared" si="20"/>
        <v>0</v>
      </c>
      <c r="L210" s="378"/>
    </row>
    <row r="211" spans="1:12" hidden="1" outlineLevel="3">
      <c r="A211" s="372"/>
      <c r="B211" s="376"/>
      <c r="C211" s="372"/>
      <c r="D211" s="372"/>
      <c r="E211" s="372"/>
      <c r="F211" s="422" t="s">
        <v>1805</v>
      </c>
      <c r="G211" s="372"/>
      <c r="H211" s="399"/>
      <c r="I211" s="397"/>
      <c r="J211" s="372"/>
      <c r="K211" s="399"/>
      <c r="L211" s="397"/>
    </row>
    <row r="212" spans="1:12" hidden="1" outlineLevel="3">
      <c r="A212" s="372"/>
      <c r="B212" s="376" t="s">
        <v>130</v>
      </c>
      <c r="C212" s="372" t="s">
        <v>131</v>
      </c>
      <c r="D212" s="372" t="s">
        <v>25</v>
      </c>
      <c r="E212" s="372" t="s">
        <v>26</v>
      </c>
      <c r="F212" s="422" t="s">
        <v>156</v>
      </c>
      <c r="G212" s="372"/>
      <c r="H212" s="377">
        <v>0.13</v>
      </c>
      <c r="I212" s="378">
        <v>1</v>
      </c>
      <c r="J212" s="372"/>
      <c r="K212" s="399">
        <f t="shared" si="20"/>
        <v>0</v>
      </c>
      <c r="L212" s="378"/>
    </row>
    <row r="213" spans="1:12" hidden="1" outlineLevel="3">
      <c r="A213" s="372"/>
      <c r="B213" s="376" t="s">
        <v>130</v>
      </c>
      <c r="C213" s="372" t="s">
        <v>131</v>
      </c>
      <c r="D213" s="372" t="s">
        <v>25</v>
      </c>
      <c r="E213" s="372" t="s">
        <v>26</v>
      </c>
      <c r="F213" s="422" t="s">
        <v>143</v>
      </c>
      <c r="G213" s="372"/>
      <c r="H213" s="377">
        <v>0.13</v>
      </c>
      <c r="I213" s="378">
        <v>1</v>
      </c>
      <c r="J213" s="372"/>
      <c r="K213" s="399">
        <f t="shared" si="20"/>
        <v>0</v>
      </c>
      <c r="L213" s="378"/>
    </row>
    <row r="214" spans="1:12" hidden="1" outlineLevel="2">
      <c r="A214" s="372"/>
      <c r="B214" s="380" t="s">
        <v>130</v>
      </c>
      <c r="C214" s="385" t="s">
        <v>131</v>
      </c>
      <c r="D214" s="385" t="s">
        <v>27</v>
      </c>
      <c r="E214" s="385"/>
      <c r="F214" s="424" t="s">
        <v>77</v>
      </c>
      <c r="G214" s="385"/>
      <c r="H214" s="410">
        <f>SUM(H215:H216)</f>
        <v>3.1655887211519997E-2</v>
      </c>
      <c r="I214" s="396">
        <f>SUM(I215:I216)</f>
        <v>2</v>
      </c>
      <c r="J214" s="385"/>
      <c r="K214" s="410">
        <f>SUM(K215:K216)</f>
        <v>3.1655887211519997E-2</v>
      </c>
      <c r="L214" s="396">
        <f>SUM(L215:L216)</f>
        <v>2</v>
      </c>
    </row>
    <row r="215" spans="1:12" hidden="1" outlineLevel="3">
      <c r="A215" s="372"/>
      <c r="B215" s="376" t="s">
        <v>130</v>
      </c>
      <c r="C215" s="372" t="s">
        <v>131</v>
      </c>
      <c r="D215" s="372" t="s">
        <v>27</v>
      </c>
      <c r="E215" s="372" t="s">
        <v>28</v>
      </c>
      <c r="F215" s="422" t="s">
        <v>157</v>
      </c>
      <c r="G215" s="372"/>
      <c r="H215" s="377">
        <v>1.5827943605759998E-2</v>
      </c>
      <c r="I215" s="378">
        <v>1</v>
      </c>
      <c r="J215" s="372"/>
      <c r="K215" s="399">
        <f t="shared" ref="K215:K216" si="21">IF(L215=1,H215,0)</f>
        <v>1.5827943605759998E-2</v>
      </c>
      <c r="L215" s="378">
        <v>1</v>
      </c>
    </row>
    <row r="216" spans="1:12" hidden="1" outlineLevel="3">
      <c r="A216" s="372"/>
      <c r="B216" s="376" t="s">
        <v>130</v>
      </c>
      <c r="C216" s="372" t="s">
        <v>131</v>
      </c>
      <c r="D216" s="372" t="s">
        <v>27</v>
      </c>
      <c r="E216" s="372" t="s">
        <v>28</v>
      </c>
      <c r="F216" s="422" t="s">
        <v>158</v>
      </c>
      <c r="G216" s="372"/>
      <c r="H216" s="377">
        <v>1.5827943605759998E-2</v>
      </c>
      <c r="I216" s="378">
        <v>1</v>
      </c>
      <c r="J216" s="372"/>
      <c r="K216" s="399">
        <f t="shared" si="21"/>
        <v>1.5827943605759998E-2</v>
      </c>
      <c r="L216" s="378">
        <v>1</v>
      </c>
    </row>
    <row r="217" spans="1:12" hidden="1" outlineLevel="2">
      <c r="A217" s="372"/>
      <c r="B217" s="380" t="s">
        <v>130</v>
      </c>
      <c r="C217" s="385" t="s">
        <v>131</v>
      </c>
      <c r="D217" s="385" t="s">
        <v>58</v>
      </c>
      <c r="E217" s="385"/>
      <c r="F217" s="424" t="s">
        <v>77</v>
      </c>
      <c r="G217" s="385"/>
      <c r="H217" s="410"/>
      <c r="I217" s="396">
        <v>0</v>
      </c>
      <c r="J217" s="385"/>
      <c r="K217" s="410"/>
      <c r="L217" s="396">
        <v>0</v>
      </c>
    </row>
    <row r="218" spans="1:12" s="390" customFormat="1" outlineLevel="1" collapsed="1">
      <c r="A218" s="385"/>
      <c r="B218" s="639" t="s">
        <v>160</v>
      </c>
      <c r="C218" s="639" t="s">
        <v>22</v>
      </c>
      <c r="D218" s="639"/>
      <c r="E218" s="639"/>
      <c r="F218" s="641" t="s">
        <v>161</v>
      </c>
      <c r="G218" s="633"/>
      <c r="H218" s="637">
        <f>H219+H223+H228</f>
        <v>0.63298114171514985</v>
      </c>
      <c r="I218" s="645">
        <f>I219+I223+I228</f>
        <v>9</v>
      </c>
      <c r="J218" s="633"/>
      <c r="K218" s="637">
        <f>K219+K223+K228</f>
        <v>0</v>
      </c>
      <c r="L218" s="645">
        <f>L219+L223+L228</f>
        <v>0</v>
      </c>
    </row>
    <row r="219" spans="1:12" hidden="1" outlineLevel="2">
      <c r="A219" s="372"/>
      <c r="B219" s="380" t="s">
        <v>160</v>
      </c>
      <c r="C219" s="385" t="s">
        <v>22</v>
      </c>
      <c r="D219" s="385" t="s">
        <v>17</v>
      </c>
      <c r="E219" s="380"/>
      <c r="F219" s="424" t="s">
        <v>162</v>
      </c>
      <c r="G219" s="385"/>
      <c r="H219" s="405">
        <f>SUM(H220:H222)</f>
        <v>0.30105801900000001</v>
      </c>
      <c r="I219" s="404">
        <f>SUM(I220:I222)</f>
        <v>3</v>
      </c>
      <c r="J219" s="385"/>
      <c r="K219" s="405">
        <f>SUM(K220:K222)</f>
        <v>0</v>
      </c>
      <c r="L219" s="404">
        <f>SUM(L220:L222)</f>
        <v>0</v>
      </c>
    </row>
    <row r="220" spans="1:12" hidden="1" outlineLevel="3">
      <c r="A220" s="372"/>
      <c r="B220" s="376" t="s">
        <v>160</v>
      </c>
      <c r="C220" s="372" t="s">
        <v>22</v>
      </c>
      <c r="D220" s="372" t="s">
        <v>17</v>
      </c>
      <c r="E220" s="376" t="s">
        <v>127</v>
      </c>
      <c r="F220" s="422" t="s">
        <v>163</v>
      </c>
      <c r="G220" s="372"/>
      <c r="H220" s="399">
        <v>9.2092275000000001E-2</v>
      </c>
      <c r="I220" s="397">
        <v>1</v>
      </c>
      <c r="J220" s="372"/>
      <c r="K220" s="399">
        <f t="shared" ref="K220:K222" si="22">IF(L220=1,H220,0)</f>
        <v>0</v>
      </c>
      <c r="L220" s="397"/>
    </row>
    <row r="221" spans="1:12" hidden="1" outlineLevel="3">
      <c r="A221" s="372"/>
      <c r="B221" s="376" t="s">
        <v>160</v>
      </c>
      <c r="C221" s="372" t="s">
        <v>22</v>
      </c>
      <c r="D221" s="372" t="s">
        <v>17</v>
      </c>
      <c r="E221" s="376" t="s">
        <v>127</v>
      </c>
      <c r="F221" s="422" t="s">
        <v>164</v>
      </c>
      <c r="G221" s="372"/>
      <c r="H221" s="399">
        <v>0.13060359000000002</v>
      </c>
      <c r="I221" s="397">
        <v>1</v>
      </c>
      <c r="J221" s="372"/>
      <c r="K221" s="399">
        <f t="shared" si="22"/>
        <v>0</v>
      </c>
      <c r="L221" s="397"/>
    </row>
    <row r="222" spans="1:12" hidden="1" outlineLevel="3">
      <c r="A222" s="372"/>
      <c r="B222" s="376" t="s">
        <v>160</v>
      </c>
      <c r="C222" s="372" t="s">
        <v>22</v>
      </c>
      <c r="D222" s="372" t="s">
        <v>17</v>
      </c>
      <c r="E222" s="376" t="s">
        <v>127</v>
      </c>
      <c r="F222" s="422" t="s">
        <v>165</v>
      </c>
      <c r="G222" s="372"/>
      <c r="H222" s="399">
        <v>7.8362154000000003E-2</v>
      </c>
      <c r="I222" s="397">
        <v>1</v>
      </c>
      <c r="J222" s="372"/>
      <c r="K222" s="399">
        <f t="shared" si="22"/>
        <v>0</v>
      </c>
      <c r="L222" s="397"/>
    </row>
    <row r="223" spans="1:12" hidden="1" outlineLevel="2">
      <c r="A223" s="372"/>
      <c r="B223" s="380" t="s">
        <v>160</v>
      </c>
      <c r="C223" s="385" t="s">
        <v>22</v>
      </c>
      <c r="D223" s="385" t="s">
        <v>25</v>
      </c>
      <c r="E223" s="385"/>
      <c r="F223" s="424" t="s">
        <v>162</v>
      </c>
      <c r="G223" s="385"/>
      <c r="H223" s="405">
        <f>SUM(H224:H227)</f>
        <v>0.28480034280014982</v>
      </c>
      <c r="I223" s="404">
        <f>SUM(I224:I227)</f>
        <v>4</v>
      </c>
      <c r="J223" s="385"/>
      <c r="K223" s="405">
        <f>SUM(K224:K227)</f>
        <v>0</v>
      </c>
      <c r="L223" s="404">
        <f>SUM(L224:L227)</f>
        <v>0</v>
      </c>
    </row>
    <row r="224" spans="1:12" hidden="1" outlineLevel="3">
      <c r="A224" s="372"/>
      <c r="B224" s="376" t="s">
        <v>160</v>
      </c>
      <c r="C224" s="372" t="s">
        <v>22</v>
      </c>
      <c r="D224" s="372" t="s">
        <v>25</v>
      </c>
      <c r="E224" s="372" t="s">
        <v>26</v>
      </c>
      <c r="F224" s="422" t="s">
        <v>166</v>
      </c>
      <c r="G224" s="372"/>
      <c r="H224" s="399">
        <v>9.7617811500000009E-3</v>
      </c>
      <c r="I224" s="397">
        <v>1</v>
      </c>
      <c r="J224" s="372"/>
      <c r="K224" s="399">
        <f t="shared" ref="K224:K227" si="23">IF(L224=1,H224,0)</f>
        <v>0</v>
      </c>
      <c r="L224" s="397"/>
    </row>
    <row r="225" spans="1:12" hidden="1" outlineLevel="3">
      <c r="A225" s="372"/>
      <c r="B225" s="376" t="s">
        <v>160</v>
      </c>
      <c r="C225" s="372" t="s">
        <v>22</v>
      </c>
      <c r="D225" s="372" t="s">
        <v>25</v>
      </c>
      <c r="E225" s="372" t="s">
        <v>26</v>
      </c>
      <c r="F225" s="422" t="s">
        <v>163</v>
      </c>
      <c r="G225" s="372"/>
      <c r="H225" s="399">
        <v>3.9047124600000004E-2</v>
      </c>
      <c r="I225" s="397">
        <v>1</v>
      </c>
      <c r="J225" s="372"/>
      <c r="K225" s="399">
        <f t="shared" si="23"/>
        <v>0</v>
      </c>
      <c r="L225" s="397"/>
    </row>
    <row r="226" spans="1:12" hidden="1" outlineLevel="3">
      <c r="A226" s="372"/>
      <c r="B226" s="376" t="s">
        <v>160</v>
      </c>
      <c r="C226" s="372" t="s">
        <v>22</v>
      </c>
      <c r="D226" s="372" t="s">
        <v>25</v>
      </c>
      <c r="E226" s="372" t="s">
        <v>26</v>
      </c>
      <c r="F226" s="422" t="s">
        <v>164</v>
      </c>
      <c r="G226" s="372"/>
      <c r="H226" s="399">
        <v>0.11799571852507491</v>
      </c>
      <c r="I226" s="397">
        <v>1</v>
      </c>
      <c r="J226" s="372"/>
      <c r="K226" s="399">
        <f t="shared" si="23"/>
        <v>0</v>
      </c>
      <c r="L226" s="397"/>
    </row>
    <row r="227" spans="1:12" hidden="1" outlineLevel="3">
      <c r="A227" s="372"/>
      <c r="B227" s="376" t="s">
        <v>160</v>
      </c>
      <c r="C227" s="372" t="s">
        <v>22</v>
      </c>
      <c r="D227" s="372" t="s">
        <v>25</v>
      </c>
      <c r="E227" s="372" t="s">
        <v>26</v>
      </c>
      <c r="F227" s="422" t="s">
        <v>165</v>
      </c>
      <c r="G227" s="372"/>
      <c r="H227" s="399">
        <v>0.11799571852507491</v>
      </c>
      <c r="I227" s="397">
        <v>1</v>
      </c>
      <c r="J227" s="372"/>
      <c r="K227" s="399">
        <f t="shared" si="23"/>
        <v>0</v>
      </c>
      <c r="L227" s="397"/>
    </row>
    <row r="228" spans="1:12" hidden="1" outlineLevel="2">
      <c r="A228" s="372"/>
      <c r="B228" s="380" t="s">
        <v>160</v>
      </c>
      <c r="C228" s="385" t="s">
        <v>22</v>
      </c>
      <c r="D228" s="385" t="s">
        <v>27</v>
      </c>
      <c r="E228" s="385"/>
      <c r="F228" s="424" t="s">
        <v>162</v>
      </c>
      <c r="G228" s="385"/>
      <c r="H228" s="405">
        <f>SUM(H229:H230)</f>
        <v>4.7122779914999996E-2</v>
      </c>
      <c r="I228" s="396">
        <f>SUM(I229:I230)</f>
        <v>2</v>
      </c>
      <c r="J228" s="385"/>
      <c r="K228" s="405">
        <f>SUM(K229:K230)</f>
        <v>0</v>
      </c>
      <c r="L228" s="396">
        <f>SUM(L229:L230)</f>
        <v>0</v>
      </c>
    </row>
    <row r="229" spans="1:12" hidden="1" outlineLevel="3">
      <c r="A229" s="372"/>
      <c r="B229" s="376" t="s">
        <v>160</v>
      </c>
      <c r="C229" s="372" t="s">
        <v>22</v>
      </c>
      <c r="D229" s="372" t="s">
        <v>27</v>
      </c>
      <c r="E229" s="372" t="s">
        <v>28</v>
      </c>
      <c r="F229" s="422" t="s">
        <v>163</v>
      </c>
      <c r="G229" s="372"/>
      <c r="H229" s="399">
        <v>1.6300332674999998E-2</v>
      </c>
      <c r="I229" s="397">
        <v>1</v>
      </c>
      <c r="J229" s="372"/>
      <c r="K229" s="399">
        <f t="shared" ref="K229:K230" si="24">IF(L229=1,H229,0)</f>
        <v>0</v>
      </c>
      <c r="L229" s="397"/>
    </row>
    <row r="230" spans="1:12" hidden="1" outlineLevel="3">
      <c r="A230" s="372"/>
      <c r="B230" s="376" t="s">
        <v>160</v>
      </c>
      <c r="C230" s="372" t="s">
        <v>22</v>
      </c>
      <c r="D230" s="372" t="s">
        <v>27</v>
      </c>
      <c r="E230" s="372" t="s">
        <v>28</v>
      </c>
      <c r="F230" s="424" t="s">
        <v>164</v>
      </c>
      <c r="G230" s="372"/>
      <c r="H230" s="399">
        <v>3.0822447240000002E-2</v>
      </c>
      <c r="I230" s="397">
        <v>1</v>
      </c>
      <c r="J230" s="372"/>
      <c r="K230" s="399">
        <f t="shared" si="24"/>
        <v>0</v>
      </c>
      <c r="L230" s="397"/>
    </row>
    <row r="231" spans="1:12" outlineLevel="1" collapsed="1">
      <c r="A231" s="372"/>
      <c r="B231" s="632" t="s">
        <v>167</v>
      </c>
      <c r="C231" s="633" t="s">
        <v>121</v>
      </c>
      <c r="D231" s="632"/>
      <c r="E231" s="632"/>
      <c r="F231" s="641" t="s">
        <v>76</v>
      </c>
      <c r="G231" s="633"/>
      <c r="H231" s="635">
        <f>SUM(H232+H245+H259)</f>
        <v>1.3800000000000001</v>
      </c>
      <c r="I231" s="636">
        <f>I232+I245+I259+I261</f>
        <v>11</v>
      </c>
      <c r="J231" s="633"/>
      <c r="K231" s="635">
        <f>SUM(K232+K245+K259)</f>
        <v>0.51</v>
      </c>
      <c r="L231" s="636">
        <f>L232+L245+L259+L261</f>
        <v>1</v>
      </c>
    </row>
    <row r="232" spans="1:12" hidden="1" outlineLevel="2">
      <c r="A232" s="372"/>
      <c r="B232" s="380" t="s">
        <v>167</v>
      </c>
      <c r="C232" s="385" t="s">
        <v>121</v>
      </c>
      <c r="D232" s="385" t="s">
        <v>17</v>
      </c>
      <c r="E232" s="380"/>
      <c r="F232" s="424" t="s">
        <v>77</v>
      </c>
      <c r="G232" s="385"/>
      <c r="H232" s="410">
        <f>SUM(H233:H244)</f>
        <v>0.96000000000000008</v>
      </c>
      <c r="I232" s="396">
        <f>SUM(I233:I244)</f>
        <v>5</v>
      </c>
      <c r="J232" s="385"/>
      <c r="K232" s="410">
        <f>SUM(K233:K244)</f>
        <v>0.51</v>
      </c>
      <c r="L232" s="396">
        <f>SUM(L233:L244)</f>
        <v>1</v>
      </c>
    </row>
    <row r="233" spans="1:12" hidden="1" outlineLevel="3">
      <c r="A233" s="372"/>
      <c r="B233" s="376" t="s">
        <v>167</v>
      </c>
      <c r="C233" s="372" t="s">
        <v>121</v>
      </c>
      <c r="D233" s="372" t="s">
        <v>17</v>
      </c>
      <c r="E233" s="376" t="s">
        <v>127</v>
      </c>
      <c r="F233" s="422" t="s">
        <v>168</v>
      </c>
      <c r="G233" s="372"/>
      <c r="H233" s="377">
        <v>0.51</v>
      </c>
      <c r="I233" s="378">
        <v>1</v>
      </c>
      <c r="J233" s="372"/>
      <c r="K233" s="399">
        <f t="shared" ref="K233:K244" si="25">IF(L233=1,H233,0)</f>
        <v>0.51</v>
      </c>
      <c r="L233" s="378">
        <v>1</v>
      </c>
    </row>
    <row r="234" spans="1:12" hidden="1" outlineLevel="3">
      <c r="A234" s="372"/>
      <c r="B234" s="376" t="s">
        <v>167</v>
      </c>
      <c r="C234" s="372" t="s">
        <v>121</v>
      </c>
      <c r="D234" s="372" t="s">
        <v>17</v>
      </c>
      <c r="E234" s="376" t="s">
        <v>127</v>
      </c>
      <c r="F234" s="422" t="s">
        <v>169</v>
      </c>
      <c r="G234" s="372"/>
      <c r="H234" s="377">
        <v>0.3</v>
      </c>
      <c r="I234" s="378">
        <v>1</v>
      </c>
      <c r="J234" s="372"/>
      <c r="K234" s="399">
        <f t="shared" si="25"/>
        <v>0</v>
      </c>
      <c r="L234" s="378"/>
    </row>
    <row r="235" spans="1:12" hidden="1" outlineLevel="3">
      <c r="A235" s="372"/>
      <c r="B235" s="376"/>
      <c r="C235" s="372"/>
      <c r="D235" s="372"/>
      <c r="E235" s="376"/>
      <c r="F235" s="422" t="s">
        <v>1807</v>
      </c>
      <c r="G235" s="372"/>
      <c r="H235" s="377"/>
      <c r="I235" s="378"/>
      <c r="J235" s="372"/>
      <c r="K235" s="399"/>
      <c r="L235" s="378"/>
    </row>
    <row r="236" spans="1:12" hidden="1" outlineLevel="3">
      <c r="A236" s="372"/>
      <c r="B236" s="376" t="s">
        <v>167</v>
      </c>
      <c r="C236" s="372" t="s">
        <v>121</v>
      </c>
      <c r="D236" s="372" t="s">
        <v>17</v>
      </c>
      <c r="E236" s="376" t="s">
        <v>127</v>
      </c>
      <c r="F236" s="422" t="s">
        <v>141</v>
      </c>
      <c r="G236" s="372"/>
      <c r="H236" s="377">
        <v>0.09</v>
      </c>
      <c r="I236" s="378">
        <v>1</v>
      </c>
      <c r="J236" s="372"/>
      <c r="K236" s="399">
        <f t="shared" si="25"/>
        <v>0</v>
      </c>
      <c r="L236" s="378"/>
    </row>
    <row r="237" spans="1:12" hidden="1" outlineLevel="3">
      <c r="A237" s="372"/>
      <c r="B237" s="376"/>
      <c r="C237" s="372"/>
      <c r="D237" s="372"/>
      <c r="E237" s="376"/>
      <c r="F237" s="422" t="s">
        <v>1808</v>
      </c>
      <c r="G237" s="372"/>
      <c r="H237" s="399"/>
      <c r="I237" s="397"/>
      <c r="J237" s="372"/>
      <c r="K237" s="399"/>
      <c r="L237" s="397"/>
    </row>
    <row r="238" spans="1:12" hidden="1" outlineLevel="3">
      <c r="A238" s="372"/>
      <c r="B238" s="376"/>
      <c r="C238" s="372"/>
      <c r="D238" s="372"/>
      <c r="E238" s="376"/>
      <c r="F238" s="422" t="s">
        <v>1809</v>
      </c>
      <c r="G238" s="372"/>
      <c r="H238" s="377"/>
      <c r="I238" s="378"/>
      <c r="J238" s="372"/>
      <c r="K238" s="399"/>
      <c r="L238" s="378"/>
    </row>
    <row r="239" spans="1:12" hidden="1" outlineLevel="3">
      <c r="A239" s="372"/>
      <c r="B239" s="376" t="s">
        <v>167</v>
      </c>
      <c r="C239" s="372" t="s">
        <v>121</v>
      </c>
      <c r="D239" s="372" t="s">
        <v>17</v>
      </c>
      <c r="E239" s="376" t="s">
        <v>127</v>
      </c>
      <c r="F239" s="422" t="s">
        <v>122</v>
      </c>
      <c r="G239" s="372"/>
      <c r="H239" s="377">
        <v>0.03</v>
      </c>
      <c r="I239" s="378">
        <v>1</v>
      </c>
      <c r="J239" s="372"/>
      <c r="K239" s="399">
        <f t="shared" si="25"/>
        <v>0</v>
      </c>
      <c r="L239" s="378"/>
    </row>
    <row r="240" spans="1:12" hidden="1" outlineLevel="3">
      <c r="A240" s="372"/>
      <c r="B240" s="376"/>
      <c r="C240" s="372"/>
      <c r="D240" s="372"/>
      <c r="E240" s="376"/>
      <c r="F240" s="422" t="s">
        <v>1810</v>
      </c>
      <c r="G240" s="372"/>
      <c r="H240" s="399"/>
      <c r="I240" s="397"/>
      <c r="J240" s="372"/>
      <c r="K240" s="399"/>
      <c r="L240" s="397"/>
    </row>
    <row r="241" spans="1:12" hidden="1" outlineLevel="3">
      <c r="A241" s="372"/>
      <c r="B241" s="376"/>
      <c r="C241" s="372"/>
      <c r="D241" s="372"/>
      <c r="E241" s="376"/>
      <c r="F241" s="422" t="s">
        <v>1811</v>
      </c>
      <c r="G241" s="372"/>
      <c r="H241" s="399"/>
      <c r="I241" s="397"/>
      <c r="J241" s="372"/>
      <c r="K241" s="399"/>
      <c r="L241" s="397"/>
    </row>
    <row r="242" spans="1:12" hidden="1" outlineLevel="3">
      <c r="A242" s="372"/>
      <c r="B242" s="376"/>
      <c r="C242" s="372"/>
      <c r="D242" s="372"/>
      <c r="E242" s="376"/>
      <c r="F242" s="422" t="s">
        <v>1812</v>
      </c>
      <c r="G242" s="372"/>
      <c r="H242" s="399"/>
      <c r="I242" s="397"/>
      <c r="J242" s="372"/>
      <c r="K242" s="399"/>
      <c r="L242" s="397"/>
    </row>
    <row r="243" spans="1:12" hidden="1" outlineLevel="3">
      <c r="A243" s="372"/>
      <c r="B243" s="376"/>
      <c r="C243" s="372"/>
      <c r="D243" s="372"/>
      <c r="E243" s="376"/>
      <c r="F243" s="422" t="s">
        <v>1813</v>
      </c>
      <c r="G243" s="372"/>
      <c r="H243" s="377"/>
      <c r="I243" s="378"/>
      <c r="J243" s="372"/>
      <c r="K243" s="399"/>
      <c r="L243" s="378"/>
    </row>
    <row r="244" spans="1:12" hidden="1" outlineLevel="3">
      <c r="A244" s="372"/>
      <c r="B244" s="376" t="s">
        <v>167</v>
      </c>
      <c r="C244" s="372" t="s">
        <v>121</v>
      </c>
      <c r="D244" s="372" t="s">
        <v>17</v>
      </c>
      <c r="E244" s="376" t="s">
        <v>127</v>
      </c>
      <c r="F244" s="422" t="s">
        <v>129</v>
      </c>
      <c r="G244" s="372"/>
      <c r="H244" s="377">
        <v>0.03</v>
      </c>
      <c r="I244" s="378">
        <v>1</v>
      </c>
      <c r="J244" s="372"/>
      <c r="K244" s="399">
        <f t="shared" si="25"/>
        <v>0</v>
      </c>
      <c r="L244" s="378"/>
    </row>
    <row r="245" spans="1:12" hidden="1" outlineLevel="2">
      <c r="A245" s="372"/>
      <c r="B245" s="380" t="s">
        <v>167</v>
      </c>
      <c r="C245" s="385" t="s">
        <v>121</v>
      </c>
      <c r="D245" s="385" t="s">
        <v>25</v>
      </c>
      <c r="E245" s="385"/>
      <c r="F245" s="424" t="s">
        <v>77</v>
      </c>
      <c r="G245" s="385"/>
      <c r="H245" s="410">
        <f>SUM(H246:H257)</f>
        <v>0.38000000000000006</v>
      </c>
      <c r="I245" s="396">
        <f>SUM(I246:I257)</f>
        <v>5</v>
      </c>
      <c r="J245" s="385"/>
      <c r="K245" s="410">
        <f>SUM(K246:K257)</f>
        <v>0</v>
      </c>
      <c r="L245" s="396">
        <f>SUM(L246:L257)</f>
        <v>0</v>
      </c>
    </row>
    <row r="246" spans="1:12" hidden="1" outlineLevel="3">
      <c r="A246" s="372"/>
      <c r="B246" s="376" t="s">
        <v>167</v>
      </c>
      <c r="C246" s="372" t="s">
        <v>121</v>
      </c>
      <c r="D246" s="372" t="s">
        <v>25</v>
      </c>
      <c r="E246" s="372" t="s">
        <v>26</v>
      </c>
      <c r="F246" s="422" t="s">
        <v>170</v>
      </c>
      <c r="G246" s="372"/>
      <c r="H246" s="377">
        <v>0.08</v>
      </c>
      <c r="I246" s="378">
        <v>1</v>
      </c>
      <c r="J246" s="372"/>
      <c r="K246" s="399">
        <f t="shared" ref="K246:K257" si="26">IF(L246=1,H246,0)</f>
        <v>0</v>
      </c>
      <c r="L246" s="378"/>
    </row>
    <row r="247" spans="1:12" hidden="1" outlineLevel="3">
      <c r="A247" s="372"/>
      <c r="B247" s="376"/>
      <c r="C247" s="372"/>
      <c r="D247" s="372"/>
      <c r="E247" s="372"/>
      <c r="F247" s="422" t="s">
        <v>1814</v>
      </c>
      <c r="G247" s="372"/>
      <c r="H247" s="377"/>
      <c r="I247" s="378"/>
      <c r="J247" s="372"/>
      <c r="K247" s="399"/>
      <c r="L247" s="378"/>
    </row>
    <row r="248" spans="1:12" hidden="1" outlineLevel="3">
      <c r="A248" s="372"/>
      <c r="B248" s="376"/>
      <c r="C248" s="372"/>
      <c r="D248" s="372"/>
      <c r="E248" s="372"/>
      <c r="F248" s="422" t="s">
        <v>1815</v>
      </c>
      <c r="G248" s="372"/>
      <c r="H248" s="377"/>
      <c r="I248" s="378"/>
      <c r="J248" s="372"/>
      <c r="K248" s="399"/>
      <c r="L248" s="378"/>
    </row>
    <row r="249" spans="1:12" hidden="1" outlineLevel="3">
      <c r="A249" s="372"/>
      <c r="B249" s="376" t="s">
        <v>167</v>
      </c>
      <c r="C249" s="372" t="s">
        <v>121</v>
      </c>
      <c r="D249" s="372" t="s">
        <v>25</v>
      </c>
      <c r="E249" s="372" t="s">
        <v>26</v>
      </c>
      <c r="F249" s="422" t="s">
        <v>171</v>
      </c>
      <c r="G249" s="372"/>
      <c r="H249" s="399">
        <v>0.17</v>
      </c>
      <c r="I249" s="378">
        <v>1</v>
      </c>
      <c r="J249" s="372"/>
      <c r="K249" s="399">
        <f t="shared" si="26"/>
        <v>0</v>
      </c>
      <c r="L249" s="378"/>
    </row>
    <row r="250" spans="1:12" hidden="1" outlineLevel="3">
      <c r="A250" s="372"/>
      <c r="B250" s="376"/>
      <c r="C250" s="372"/>
      <c r="D250" s="372"/>
      <c r="E250" s="372"/>
      <c r="F250" s="422" t="s">
        <v>1816</v>
      </c>
      <c r="G250" s="372"/>
      <c r="H250" s="399"/>
      <c r="I250" s="378"/>
      <c r="J250" s="372"/>
      <c r="K250" s="399"/>
      <c r="L250" s="378"/>
    </row>
    <row r="251" spans="1:12" hidden="1" outlineLevel="3">
      <c r="A251" s="372"/>
      <c r="B251" s="376" t="s">
        <v>167</v>
      </c>
      <c r="C251" s="372" t="s">
        <v>121</v>
      </c>
      <c r="D251" s="372" t="s">
        <v>25</v>
      </c>
      <c r="E251" s="372" t="s">
        <v>26</v>
      </c>
      <c r="F251" s="422" t="s">
        <v>122</v>
      </c>
      <c r="G251" s="372"/>
      <c r="H251" s="377">
        <v>0.03</v>
      </c>
      <c r="I251" s="378">
        <v>1</v>
      </c>
      <c r="J251" s="372"/>
      <c r="K251" s="399">
        <f t="shared" si="26"/>
        <v>0</v>
      </c>
      <c r="L251" s="378"/>
    </row>
    <row r="252" spans="1:12" hidden="1" outlineLevel="3">
      <c r="A252" s="372"/>
      <c r="B252" s="376"/>
      <c r="C252" s="372"/>
      <c r="D252" s="372"/>
      <c r="E252" s="376"/>
      <c r="F252" s="422" t="s">
        <v>1810</v>
      </c>
      <c r="G252" s="372"/>
      <c r="H252" s="399"/>
      <c r="I252" s="397"/>
      <c r="J252" s="372"/>
      <c r="K252" s="399"/>
      <c r="L252" s="397"/>
    </row>
    <row r="253" spans="1:12" hidden="1" outlineLevel="3">
      <c r="A253" s="372"/>
      <c r="B253" s="376"/>
      <c r="C253" s="372"/>
      <c r="D253" s="372"/>
      <c r="E253" s="376"/>
      <c r="F253" s="422" t="s">
        <v>1811</v>
      </c>
      <c r="G253" s="372"/>
      <c r="H253" s="399"/>
      <c r="I253" s="397"/>
      <c r="J253" s="372"/>
      <c r="K253" s="399"/>
      <c r="L253" s="397"/>
    </row>
    <row r="254" spans="1:12" hidden="1" outlineLevel="3">
      <c r="A254" s="372"/>
      <c r="B254" s="376"/>
      <c r="C254" s="372"/>
      <c r="D254" s="372"/>
      <c r="E254" s="376"/>
      <c r="F254" s="422" t="s">
        <v>1817</v>
      </c>
      <c r="G254" s="372"/>
      <c r="H254" s="399"/>
      <c r="I254" s="397"/>
      <c r="J254" s="372"/>
      <c r="K254" s="399"/>
      <c r="L254" s="397"/>
    </row>
    <row r="255" spans="1:12" hidden="1" outlineLevel="3">
      <c r="A255" s="372"/>
      <c r="B255" s="376"/>
      <c r="C255" s="372"/>
      <c r="D255" s="372"/>
      <c r="E255" s="376"/>
      <c r="F255" s="422" t="s">
        <v>1813</v>
      </c>
      <c r="G255" s="372"/>
      <c r="H255" s="399"/>
      <c r="I255" s="397"/>
      <c r="J255" s="372"/>
      <c r="K255" s="399"/>
      <c r="L255" s="397"/>
    </row>
    <row r="256" spans="1:12" hidden="1" outlineLevel="3">
      <c r="A256" s="372"/>
      <c r="B256" s="376" t="s">
        <v>167</v>
      </c>
      <c r="C256" s="372" t="s">
        <v>121</v>
      </c>
      <c r="D256" s="372" t="s">
        <v>25</v>
      </c>
      <c r="E256" s="372" t="s">
        <v>26</v>
      </c>
      <c r="F256" s="422" t="s">
        <v>129</v>
      </c>
      <c r="G256" s="372"/>
      <c r="H256" s="377">
        <v>0.03</v>
      </c>
      <c r="I256" s="378">
        <v>1</v>
      </c>
      <c r="J256" s="372"/>
      <c r="K256" s="399">
        <f t="shared" si="26"/>
        <v>0</v>
      </c>
      <c r="L256" s="378"/>
    </row>
    <row r="257" spans="1:12" ht="26.4" hidden="1" outlineLevel="3">
      <c r="A257" s="372"/>
      <c r="B257" s="376" t="s">
        <v>167</v>
      </c>
      <c r="C257" s="372" t="s">
        <v>121</v>
      </c>
      <c r="D257" s="372" t="s">
        <v>25</v>
      </c>
      <c r="E257" s="372" t="s">
        <v>26</v>
      </c>
      <c r="F257" s="422" t="s">
        <v>172</v>
      </c>
      <c r="G257" s="372"/>
      <c r="H257" s="377">
        <v>7.0000000000000007E-2</v>
      </c>
      <c r="I257" s="378">
        <v>1</v>
      </c>
      <c r="J257" s="372"/>
      <c r="K257" s="399">
        <f t="shared" si="26"/>
        <v>0</v>
      </c>
      <c r="L257" s="378"/>
    </row>
    <row r="258" spans="1:12" hidden="1" outlineLevel="3">
      <c r="A258" s="372"/>
      <c r="B258" s="376"/>
      <c r="C258" s="372"/>
      <c r="D258" s="372"/>
      <c r="E258" s="372"/>
      <c r="F258" s="422" t="s">
        <v>1818</v>
      </c>
      <c r="G258" s="372"/>
      <c r="H258" s="377"/>
      <c r="I258" s="378"/>
      <c r="J258" s="372"/>
      <c r="K258" s="399"/>
      <c r="L258" s="378"/>
    </row>
    <row r="259" spans="1:12" hidden="1" outlineLevel="2">
      <c r="A259" s="372"/>
      <c r="B259" s="380" t="s">
        <v>167</v>
      </c>
      <c r="C259" s="385" t="s">
        <v>121</v>
      </c>
      <c r="D259" s="385" t="s">
        <v>27</v>
      </c>
      <c r="E259" s="385"/>
      <c r="F259" s="424" t="s">
        <v>77</v>
      </c>
      <c r="G259" s="385"/>
      <c r="H259" s="410">
        <f>SUM(H260:H260)</f>
        <v>0.04</v>
      </c>
      <c r="I259" s="396">
        <f>SUM(I260:I260)</f>
        <v>1</v>
      </c>
      <c r="J259" s="385"/>
      <c r="K259" s="410">
        <f>SUM(K260:K260)</f>
        <v>0</v>
      </c>
      <c r="L259" s="396">
        <f>SUM(L260:L260)</f>
        <v>0</v>
      </c>
    </row>
    <row r="260" spans="1:12" hidden="1" outlineLevel="3">
      <c r="A260" s="372"/>
      <c r="B260" s="376" t="s">
        <v>167</v>
      </c>
      <c r="C260" s="372" t="s">
        <v>121</v>
      </c>
      <c r="D260" s="372" t="s">
        <v>27</v>
      </c>
      <c r="E260" s="372" t="s">
        <v>28</v>
      </c>
      <c r="F260" s="422" t="s">
        <v>129</v>
      </c>
      <c r="G260" s="372"/>
      <c r="H260" s="377">
        <v>0.04</v>
      </c>
      <c r="I260" s="378">
        <v>1</v>
      </c>
      <c r="J260" s="372"/>
      <c r="K260" s="399">
        <f>IF(L260=1,H260,0)</f>
        <v>0</v>
      </c>
      <c r="L260" s="378"/>
    </row>
    <row r="261" spans="1:12" hidden="1" outlineLevel="2">
      <c r="A261" s="372"/>
      <c r="B261" s="380" t="s">
        <v>167</v>
      </c>
      <c r="C261" s="385" t="s">
        <v>121</v>
      </c>
      <c r="D261" s="385" t="s">
        <v>58</v>
      </c>
      <c r="E261" s="385"/>
      <c r="F261" s="424" t="s">
        <v>77</v>
      </c>
      <c r="G261" s="385"/>
      <c r="H261" s="410"/>
      <c r="I261" s="396">
        <v>0</v>
      </c>
      <c r="J261" s="385"/>
      <c r="K261" s="410"/>
      <c r="L261" s="396">
        <v>0</v>
      </c>
    </row>
    <row r="262" spans="1:12" outlineLevel="1" collapsed="1">
      <c r="A262" s="372"/>
      <c r="B262" s="632" t="s">
        <v>173</v>
      </c>
      <c r="C262" s="632" t="s">
        <v>173</v>
      </c>
      <c r="D262" s="632"/>
      <c r="E262" s="632"/>
      <c r="F262" s="634" t="s">
        <v>174</v>
      </c>
      <c r="G262" s="633"/>
      <c r="H262" s="635">
        <f>SUM(H263+H264+H268+H279+H286)</f>
        <v>1.490035345680889</v>
      </c>
      <c r="I262" s="636">
        <f>SUM(I263,I264,I268,I279,I286)</f>
        <v>12</v>
      </c>
      <c r="J262" s="633"/>
      <c r="K262" s="635">
        <f>SUM(K263+K264+K268+K279+K286)</f>
        <v>0.51594983709121256</v>
      </c>
      <c r="L262" s="636">
        <f>SUM(L263,L264,L268,L279,L286)</f>
        <v>7</v>
      </c>
    </row>
    <row r="263" spans="1:12" hidden="1" outlineLevel="2">
      <c r="A263" s="372"/>
      <c r="B263" s="380" t="s">
        <v>173</v>
      </c>
      <c r="C263" s="380" t="s">
        <v>173</v>
      </c>
      <c r="D263" s="385" t="s">
        <v>175</v>
      </c>
      <c r="E263" s="380"/>
      <c r="F263" s="424" t="s">
        <v>112</v>
      </c>
      <c r="G263" s="385"/>
      <c r="H263" s="405"/>
      <c r="I263" s="396"/>
      <c r="J263" s="385"/>
      <c r="K263" s="405"/>
      <c r="L263" s="396"/>
    </row>
    <row r="264" spans="1:12" hidden="1" outlineLevel="2">
      <c r="A264" s="372"/>
      <c r="B264" s="380" t="s">
        <v>173</v>
      </c>
      <c r="C264" s="380" t="s">
        <v>173</v>
      </c>
      <c r="D264" s="385" t="s">
        <v>17</v>
      </c>
      <c r="E264" s="380"/>
      <c r="F264" s="424" t="s">
        <v>112</v>
      </c>
      <c r="G264" s="385"/>
      <c r="H264" s="410">
        <f>SUM(H265:H265)</f>
        <v>0.1547754763030085</v>
      </c>
      <c r="I264" s="396">
        <f>SUM(I265:I265)</f>
        <v>1</v>
      </c>
      <c r="J264" s="385"/>
      <c r="K264" s="410">
        <f>SUM(K265:K265)</f>
        <v>0</v>
      </c>
      <c r="L264" s="396">
        <f>SUM(L265:L265)</f>
        <v>0</v>
      </c>
    </row>
    <row r="265" spans="1:12" hidden="1" outlineLevel="3">
      <c r="A265" s="372"/>
      <c r="B265" s="376" t="s">
        <v>173</v>
      </c>
      <c r="C265" s="376" t="s">
        <v>173</v>
      </c>
      <c r="D265" s="372" t="s">
        <v>17</v>
      </c>
      <c r="E265" s="376" t="s">
        <v>177</v>
      </c>
      <c r="F265" s="422" t="s">
        <v>107</v>
      </c>
      <c r="G265" s="372"/>
      <c r="H265" s="377">
        <v>0.1547754763030085</v>
      </c>
      <c r="I265" s="378">
        <v>1</v>
      </c>
      <c r="J265" s="372"/>
      <c r="K265" s="399">
        <f t="shared" ref="K265" si="27">IF(L265=1,H265,0)</f>
        <v>0</v>
      </c>
      <c r="L265" s="378"/>
    </row>
    <row r="266" spans="1:12" hidden="1" outlineLevel="3">
      <c r="A266" s="372"/>
      <c r="B266" s="376"/>
      <c r="C266" s="376"/>
      <c r="D266" s="372"/>
      <c r="E266" s="376"/>
      <c r="F266" s="422" t="s">
        <v>1819</v>
      </c>
      <c r="G266" s="372"/>
      <c r="H266" s="377"/>
      <c r="I266" s="378"/>
      <c r="J266" s="372"/>
      <c r="K266" s="399"/>
      <c r="L266" s="378"/>
    </row>
    <row r="267" spans="1:12" hidden="1" outlineLevel="3">
      <c r="A267" s="372"/>
      <c r="B267" s="376"/>
      <c r="C267" s="376"/>
      <c r="D267" s="372"/>
      <c r="E267" s="376"/>
      <c r="F267" s="422" t="s">
        <v>1820</v>
      </c>
      <c r="G267" s="372"/>
      <c r="H267" s="377"/>
      <c r="I267" s="378"/>
      <c r="J267" s="372"/>
      <c r="K267" s="399"/>
      <c r="L267" s="378"/>
    </row>
    <row r="268" spans="1:12" hidden="1" outlineLevel="2">
      <c r="A268" s="372"/>
      <c r="B268" s="380" t="s">
        <v>173</v>
      </c>
      <c r="C268" s="380" t="s">
        <v>173</v>
      </c>
      <c r="D268" s="385" t="s">
        <v>25</v>
      </c>
      <c r="E268" s="385"/>
      <c r="F268" s="424" t="s">
        <v>112</v>
      </c>
      <c r="G268" s="385"/>
      <c r="H268" s="405">
        <f>SUM(H269:H278)</f>
        <v>0.83171770678666779</v>
      </c>
      <c r="I268" s="396">
        <f>SUM(I269:I278)</f>
        <v>4</v>
      </c>
      <c r="J268" s="385"/>
      <c r="K268" s="405">
        <f>SUM(K269:K278)</f>
        <v>6.1981660819083066E-2</v>
      </c>
      <c r="L268" s="396">
        <f>SUM(L269:L278)</f>
        <v>1</v>
      </c>
    </row>
    <row r="269" spans="1:12" hidden="1" outlineLevel="3">
      <c r="A269" s="372"/>
      <c r="B269" s="376" t="s">
        <v>173</v>
      </c>
      <c r="C269" s="376" t="s">
        <v>173</v>
      </c>
      <c r="D269" s="372" t="s">
        <v>25</v>
      </c>
      <c r="E269" s="372" t="s">
        <v>26</v>
      </c>
      <c r="F269" s="422" t="s">
        <v>86</v>
      </c>
      <c r="G269" s="372"/>
      <c r="H269" s="377">
        <v>0.40295193575893268</v>
      </c>
      <c r="I269" s="378">
        <v>1</v>
      </c>
      <c r="J269" s="372"/>
      <c r="K269" s="399">
        <f t="shared" ref="K269:K278" si="28">IF(L269=1,H269,0)</f>
        <v>0</v>
      </c>
      <c r="L269" s="378"/>
    </row>
    <row r="270" spans="1:12" hidden="1" outlineLevel="3">
      <c r="A270" s="372"/>
      <c r="B270" s="376"/>
      <c r="C270" s="376"/>
      <c r="D270" s="372"/>
      <c r="E270" s="372"/>
      <c r="F270" s="422" t="s">
        <v>1821</v>
      </c>
      <c r="G270" s="372"/>
      <c r="H270" s="377"/>
      <c r="I270" s="378"/>
      <c r="J270" s="372"/>
      <c r="K270" s="399"/>
      <c r="L270" s="378"/>
    </row>
    <row r="271" spans="1:12" hidden="1" outlineLevel="3">
      <c r="A271" s="372"/>
      <c r="B271" s="376"/>
      <c r="C271" s="376"/>
      <c r="D271" s="372"/>
      <c r="E271" s="372"/>
      <c r="F271" s="422" t="s">
        <v>1822</v>
      </c>
      <c r="G271" s="372"/>
      <c r="H271" s="377"/>
      <c r="I271" s="378"/>
      <c r="J271" s="372"/>
      <c r="K271" s="399"/>
      <c r="L271" s="378"/>
    </row>
    <row r="272" spans="1:12" hidden="1" outlineLevel="3">
      <c r="A272" s="372"/>
      <c r="B272" s="376" t="s">
        <v>173</v>
      </c>
      <c r="C272" s="376" t="s">
        <v>173</v>
      </c>
      <c r="D272" s="372" t="s">
        <v>25</v>
      </c>
      <c r="E272" s="372" t="s">
        <v>26</v>
      </c>
      <c r="F272" s="422" t="s">
        <v>87</v>
      </c>
      <c r="G272" s="372"/>
      <c r="H272" s="377">
        <v>0.33579327979911056</v>
      </c>
      <c r="I272" s="378">
        <v>1</v>
      </c>
      <c r="J272" s="372"/>
      <c r="K272" s="399">
        <f t="shared" si="28"/>
        <v>0</v>
      </c>
      <c r="L272" s="378"/>
    </row>
    <row r="273" spans="1:12" hidden="1" outlineLevel="3">
      <c r="A273" s="372"/>
      <c r="B273" s="376"/>
      <c r="C273" s="376"/>
      <c r="D273" s="372"/>
      <c r="E273" s="372"/>
      <c r="F273" s="422" t="s">
        <v>1823</v>
      </c>
      <c r="G273" s="372"/>
      <c r="H273" s="377"/>
      <c r="I273" s="378"/>
      <c r="J273" s="372"/>
      <c r="K273" s="399"/>
      <c r="L273" s="378"/>
    </row>
    <row r="274" spans="1:12" hidden="1" outlineLevel="3">
      <c r="A274" s="372"/>
      <c r="B274" s="376"/>
      <c r="C274" s="376"/>
      <c r="D274" s="372"/>
      <c r="E274" s="372"/>
      <c r="F274" s="422" t="s">
        <v>1824</v>
      </c>
      <c r="G274" s="372"/>
      <c r="H274" s="377"/>
      <c r="I274" s="378"/>
      <c r="J274" s="372"/>
      <c r="K274" s="399"/>
      <c r="L274" s="378"/>
    </row>
    <row r="275" spans="1:12" hidden="1" outlineLevel="3">
      <c r="A275" s="372"/>
      <c r="B275" s="376" t="s">
        <v>173</v>
      </c>
      <c r="C275" s="376" t="s">
        <v>173</v>
      </c>
      <c r="D275" s="372" t="s">
        <v>25</v>
      </c>
      <c r="E275" s="372" t="s">
        <v>26</v>
      </c>
      <c r="F275" s="422" t="s">
        <v>107</v>
      </c>
      <c r="G275" s="372"/>
      <c r="H275" s="377">
        <v>3.0990830409541533E-2</v>
      </c>
      <c r="I275" s="378">
        <v>1</v>
      </c>
      <c r="J275" s="372"/>
      <c r="K275" s="399">
        <f t="shared" si="28"/>
        <v>0</v>
      </c>
      <c r="L275" s="378"/>
    </row>
    <row r="276" spans="1:12" hidden="1" outlineLevel="3">
      <c r="A276" s="372"/>
      <c r="B276" s="376"/>
      <c r="C276" s="376"/>
      <c r="D276" s="372"/>
      <c r="E276" s="372"/>
      <c r="F276" s="422" t="s">
        <v>1825</v>
      </c>
      <c r="G276" s="372"/>
      <c r="H276" s="377"/>
      <c r="I276" s="378"/>
      <c r="J276" s="372"/>
      <c r="K276" s="399"/>
      <c r="L276" s="378"/>
    </row>
    <row r="277" spans="1:12" hidden="1" outlineLevel="3">
      <c r="A277" s="372"/>
      <c r="B277" s="376"/>
      <c r="C277" s="376"/>
      <c r="D277" s="372"/>
      <c r="E277" s="372"/>
      <c r="F277" s="422" t="s">
        <v>1819</v>
      </c>
      <c r="G277" s="372"/>
      <c r="H277" s="377"/>
      <c r="I277" s="378"/>
      <c r="J277" s="372"/>
      <c r="K277" s="399"/>
      <c r="L277" s="378"/>
    </row>
    <row r="278" spans="1:12" hidden="1" outlineLevel="3">
      <c r="A278" s="372"/>
      <c r="B278" s="376" t="s">
        <v>173</v>
      </c>
      <c r="C278" s="376" t="s">
        <v>173</v>
      </c>
      <c r="D278" s="372" t="s">
        <v>25</v>
      </c>
      <c r="E278" s="372" t="s">
        <v>26</v>
      </c>
      <c r="F278" s="422" t="s">
        <v>88</v>
      </c>
      <c r="G278" s="372"/>
      <c r="H278" s="377">
        <v>6.1981660819083066E-2</v>
      </c>
      <c r="I278" s="378">
        <v>1</v>
      </c>
      <c r="J278" s="372"/>
      <c r="K278" s="399">
        <f t="shared" si="28"/>
        <v>6.1981660819083066E-2</v>
      </c>
      <c r="L278" s="378">
        <v>1</v>
      </c>
    </row>
    <row r="279" spans="1:12" hidden="1" outlineLevel="2">
      <c r="A279" s="372"/>
      <c r="B279" s="380" t="s">
        <v>173</v>
      </c>
      <c r="C279" s="380" t="s">
        <v>173</v>
      </c>
      <c r="D279" s="385" t="s">
        <v>27</v>
      </c>
      <c r="E279" s="385"/>
      <c r="F279" s="424" t="s">
        <v>112</v>
      </c>
      <c r="G279" s="385"/>
      <c r="H279" s="405">
        <f>SUM(H280:H285)</f>
        <v>0.31744391791449839</v>
      </c>
      <c r="I279" s="396">
        <f>SUM(I280:I285)</f>
        <v>4</v>
      </c>
      <c r="J279" s="385"/>
      <c r="K279" s="405">
        <f>SUM(K280:K285)</f>
        <v>0.26786993159541533</v>
      </c>
      <c r="L279" s="396">
        <f>SUM(L280:L285)</f>
        <v>3</v>
      </c>
    </row>
    <row r="280" spans="1:12" hidden="1" outlineLevel="3">
      <c r="A280" s="372"/>
      <c r="B280" s="376" t="s">
        <v>173</v>
      </c>
      <c r="C280" s="376" t="s">
        <v>173</v>
      </c>
      <c r="D280" s="372" t="s">
        <v>27</v>
      </c>
      <c r="E280" s="372" t="s">
        <v>28</v>
      </c>
      <c r="F280" s="422" t="s">
        <v>178</v>
      </c>
      <c r="G280" s="372"/>
      <c r="H280" s="377">
        <v>0.17350895211679071</v>
      </c>
      <c r="I280" s="378">
        <v>1</v>
      </c>
      <c r="J280" s="372"/>
      <c r="K280" s="399">
        <f t="shared" ref="K280:K285" si="29">IF(L280=1,H280,0)</f>
        <v>0.17350895211679071</v>
      </c>
      <c r="L280" s="378">
        <v>1</v>
      </c>
    </row>
    <row r="281" spans="1:12" hidden="1" outlineLevel="3">
      <c r="A281" s="372"/>
      <c r="B281" s="376" t="s">
        <v>173</v>
      </c>
      <c r="C281" s="376" t="s">
        <v>173</v>
      </c>
      <c r="D281" s="372" t="s">
        <v>27</v>
      </c>
      <c r="E281" s="372" t="s">
        <v>28</v>
      </c>
      <c r="F281" s="422" t="s">
        <v>1826</v>
      </c>
      <c r="G281" s="372"/>
      <c r="H281" s="399">
        <v>7.4360979478624606E-2</v>
      </c>
      <c r="I281" s="397">
        <v>1</v>
      </c>
      <c r="J281" s="372"/>
      <c r="K281" s="399">
        <v>7.4360979478624606E-2</v>
      </c>
      <c r="L281" s="397">
        <v>1</v>
      </c>
    </row>
    <row r="282" spans="1:12" hidden="1" outlineLevel="3">
      <c r="A282" s="372"/>
      <c r="B282" s="376" t="s">
        <v>173</v>
      </c>
      <c r="C282" s="376" t="s">
        <v>173</v>
      </c>
      <c r="D282" s="372" t="s">
        <v>27</v>
      </c>
      <c r="E282" s="372" t="s">
        <v>28</v>
      </c>
      <c r="F282" s="422" t="s">
        <v>107</v>
      </c>
      <c r="G282" s="372"/>
      <c r="H282" s="377">
        <v>4.9573986319083066E-2</v>
      </c>
      <c r="I282" s="378">
        <v>1</v>
      </c>
      <c r="J282" s="372"/>
      <c r="K282" s="399">
        <f>IF(L282=1,H282,0)</f>
        <v>0</v>
      </c>
      <c r="L282" s="378"/>
    </row>
    <row r="283" spans="1:12" hidden="1" outlineLevel="3">
      <c r="A283" s="372"/>
      <c r="B283" s="376"/>
      <c r="C283" s="376"/>
      <c r="D283" s="372"/>
      <c r="E283" s="372"/>
      <c r="F283" s="422" t="s">
        <v>1827</v>
      </c>
      <c r="G283" s="372"/>
      <c r="H283" s="377"/>
      <c r="I283" s="378"/>
      <c r="J283" s="372"/>
      <c r="K283" s="399"/>
      <c r="L283" s="378"/>
    </row>
    <row r="284" spans="1:12" hidden="1" outlineLevel="3">
      <c r="A284" s="372"/>
      <c r="B284" s="376"/>
      <c r="C284" s="376"/>
      <c r="D284" s="372"/>
      <c r="E284" s="372"/>
      <c r="F284" s="422" t="s">
        <v>1828</v>
      </c>
      <c r="G284" s="372"/>
      <c r="H284" s="377"/>
      <c r="I284" s="378"/>
      <c r="J284" s="372"/>
      <c r="K284" s="399"/>
      <c r="L284" s="378"/>
    </row>
    <row r="285" spans="1:12" hidden="1" outlineLevel="3">
      <c r="A285" s="372"/>
      <c r="B285" s="376" t="s">
        <v>173</v>
      </c>
      <c r="C285" s="376" t="s">
        <v>173</v>
      </c>
      <c r="D285" s="372" t="s">
        <v>27</v>
      </c>
      <c r="E285" s="372" t="s">
        <v>28</v>
      </c>
      <c r="F285" s="422" t="s">
        <v>88</v>
      </c>
      <c r="G285" s="372"/>
      <c r="H285" s="377">
        <v>0.02</v>
      </c>
      <c r="I285" s="378">
        <v>1</v>
      </c>
      <c r="J285" s="372"/>
      <c r="K285" s="399">
        <f t="shared" si="29"/>
        <v>0.02</v>
      </c>
      <c r="L285" s="378">
        <v>1</v>
      </c>
    </row>
    <row r="286" spans="1:12" hidden="1" outlineLevel="2">
      <c r="A286" s="372"/>
      <c r="B286" s="380" t="s">
        <v>173</v>
      </c>
      <c r="C286" s="380" t="s">
        <v>173</v>
      </c>
      <c r="D286" s="385" t="s">
        <v>58</v>
      </c>
      <c r="E286" s="385"/>
      <c r="F286" s="424" t="s">
        <v>112</v>
      </c>
      <c r="G286" s="385"/>
      <c r="H286" s="410">
        <f>SUM(H287:H289)</f>
        <v>0.18609824467671421</v>
      </c>
      <c r="I286" s="404">
        <f>SUM(I287:I289)</f>
        <v>3</v>
      </c>
      <c r="J286" s="385"/>
      <c r="K286" s="410">
        <f>SUM(K287:K289)</f>
        <v>0.18609824467671421</v>
      </c>
      <c r="L286" s="404">
        <f>SUM(L287:L289)</f>
        <v>3</v>
      </c>
    </row>
    <row r="287" spans="1:12" hidden="1" outlineLevel="3">
      <c r="A287" s="372"/>
      <c r="B287" s="376" t="s">
        <v>173</v>
      </c>
      <c r="C287" s="376" t="s">
        <v>173</v>
      </c>
      <c r="D287" s="372" t="s">
        <v>58</v>
      </c>
      <c r="E287" s="372" t="s">
        <v>28</v>
      </c>
      <c r="F287" s="422" t="s">
        <v>188</v>
      </c>
      <c r="G287" s="399">
        <v>9.7353721500000004E-2</v>
      </c>
      <c r="H287" s="399">
        <v>3.2451240499999999E-2</v>
      </c>
      <c r="I287" s="397">
        <v>1</v>
      </c>
      <c r="J287" s="379"/>
      <c r="K287" s="399">
        <v>3.2451240499999999E-2</v>
      </c>
      <c r="L287" s="397">
        <v>1</v>
      </c>
    </row>
    <row r="288" spans="1:12" hidden="1" outlineLevel="3">
      <c r="A288" s="372"/>
      <c r="B288" s="376" t="s">
        <v>173</v>
      </c>
      <c r="C288" s="376" t="s">
        <v>173</v>
      </c>
      <c r="D288" s="372" t="s">
        <v>58</v>
      </c>
      <c r="E288" s="372" t="s">
        <v>28</v>
      </c>
      <c r="F288" s="422" t="s">
        <v>1829</v>
      </c>
      <c r="G288" s="399"/>
      <c r="H288" s="399">
        <v>8.1128101250000001E-2</v>
      </c>
      <c r="I288" s="397">
        <v>1</v>
      </c>
      <c r="J288" s="379"/>
      <c r="K288" s="399">
        <v>8.1128101250000001E-2</v>
      </c>
      <c r="L288" s="397">
        <v>1</v>
      </c>
    </row>
    <row r="289" spans="1:12" hidden="1" outlineLevel="3">
      <c r="A289" s="372"/>
      <c r="B289" s="376" t="s">
        <v>173</v>
      </c>
      <c r="C289" s="376" t="s">
        <v>173</v>
      </c>
      <c r="D289" s="372" t="s">
        <v>58</v>
      </c>
      <c r="E289" s="372" t="s">
        <v>28</v>
      </c>
      <c r="F289" s="422" t="s">
        <v>108</v>
      </c>
      <c r="G289" s="372"/>
      <c r="H289" s="399">
        <v>7.2518902926714202E-2</v>
      </c>
      <c r="I289" s="378">
        <v>1</v>
      </c>
      <c r="J289" s="372"/>
      <c r="K289" s="399">
        <v>7.2518902926714202E-2</v>
      </c>
      <c r="L289" s="378">
        <v>1</v>
      </c>
    </row>
    <row r="290" spans="1:12" outlineLevel="1">
      <c r="A290" s="372"/>
      <c r="B290" s="632" t="s">
        <v>179</v>
      </c>
      <c r="C290" s="633" t="s">
        <v>70</v>
      </c>
      <c r="D290" s="632"/>
      <c r="E290" s="632"/>
      <c r="F290" s="634" t="s">
        <v>180</v>
      </c>
      <c r="G290" s="633"/>
      <c r="H290" s="635">
        <f>SUM(H291:H291)</f>
        <v>0.03</v>
      </c>
      <c r="I290" s="636">
        <f t="shared" ref="I290:I291" si="30">SUM(I291)</f>
        <v>1</v>
      </c>
      <c r="J290" s="633"/>
      <c r="K290" s="635">
        <f>SUM(K291:K291)</f>
        <v>0</v>
      </c>
      <c r="L290" s="636">
        <f t="shared" ref="L290:L291" si="31">SUM(L291)</f>
        <v>0</v>
      </c>
    </row>
    <row r="291" spans="1:12" outlineLevel="2">
      <c r="A291" s="372"/>
      <c r="B291" s="380" t="s">
        <v>179</v>
      </c>
      <c r="C291" s="385" t="s">
        <v>70</v>
      </c>
      <c r="D291" s="385" t="s">
        <v>25</v>
      </c>
      <c r="E291" s="385"/>
      <c r="F291" s="424" t="s">
        <v>77</v>
      </c>
      <c r="G291" s="385"/>
      <c r="H291" s="410">
        <f>SUM(H292)</f>
        <v>0.03</v>
      </c>
      <c r="I291" s="396">
        <f t="shared" si="30"/>
        <v>1</v>
      </c>
      <c r="J291" s="385"/>
      <c r="K291" s="410">
        <f>SUM(K292)</f>
        <v>0</v>
      </c>
      <c r="L291" s="396">
        <f t="shared" si="31"/>
        <v>0</v>
      </c>
    </row>
    <row r="292" spans="1:12" outlineLevel="3">
      <c r="A292" s="372"/>
      <c r="B292" s="376" t="s">
        <v>179</v>
      </c>
      <c r="C292" s="372" t="s">
        <v>70</v>
      </c>
      <c r="D292" s="372" t="s">
        <v>25</v>
      </c>
      <c r="E292" s="372" t="s">
        <v>26</v>
      </c>
      <c r="F292" s="422" t="s">
        <v>181</v>
      </c>
      <c r="G292" s="372"/>
      <c r="H292" s="377">
        <v>0.03</v>
      </c>
      <c r="I292" s="378">
        <v>1</v>
      </c>
      <c r="J292" s="372"/>
      <c r="K292" s="399">
        <f>IF(L292=1,H292,0)</f>
        <v>0</v>
      </c>
      <c r="L292" s="378"/>
    </row>
    <row r="293" spans="1:12" outlineLevel="3">
      <c r="A293" s="372"/>
      <c r="B293" s="376"/>
      <c r="C293" s="372"/>
      <c r="D293" s="372"/>
      <c r="E293" s="372"/>
      <c r="F293" s="379" t="s">
        <v>1830</v>
      </c>
      <c r="G293" s="372"/>
      <c r="H293" s="377"/>
      <c r="I293" s="378"/>
      <c r="J293" s="372"/>
      <c r="K293" s="399"/>
      <c r="L293" s="378"/>
    </row>
    <row r="294" spans="1:12" outlineLevel="1">
      <c r="A294" s="372"/>
      <c r="B294" s="639" t="s">
        <v>182</v>
      </c>
      <c r="C294" s="639" t="s">
        <v>182</v>
      </c>
      <c r="D294" s="639"/>
      <c r="E294" s="639"/>
      <c r="F294" s="634" t="s">
        <v>180</v>
      </c>
      <c r="G294" s="633"/>
      <c r="H294" s="646">
        <f>H295+H308+H329</f>
        <v>9.6589592526479322</v>
      </c>
      <c r="I294" s="645">
        <f>I295+I308+I329</f>
        <v>27</v>
      </c>
      <c r="J294" s="633"/>
      <c r="K294" s="646">
        <f>K295+K308+K329</f>
        <v>2.25123394992</v>
      </c>
      <c r="L294" s="645">
        <f>L295+L308+L329</f>
        <v>1</v>
      </c>
    </row>
    <row r="295" spans="1:12" outlineLevel="2">
      <c r="A295" s="372"/>
      <c r="B295" s="380" t="s">
        <v>182</v>
      </c>
      <c r="C295" s="380" t="s">
        <v>182</v>
      </c>
      <c r="D295" s="385" t="s">
        <v>17</v>
      </c>
      <c r="E295" s="386"/>
      <c r="F295" s="424" t="s">
        <v>183</v>
      </c>
      <c r="G295" s="385"/>
      <c r="H295" s="462">
        <f>SUM(H296:H307)</f>
        <v>5.8780133279200006</v>
      </c>
      <c r="I295" s="396">
        <f>SUM(I296:I307)</f>
        <v>10</v>
      </c>
      <c r="J295" s="385"/>
      <c r="K295" s="462">
        <f>SUM(K296:K307)</f>
        <v>0</v>
      </c>
      <c r="L295" s="396">
        <f>SUM(L296:L307)</f>
        <v>0</v>
      </c>
    </row>
    <row r="296" spans="1:12" outlineLevel="3">
      <c r="A296" s="372"/>
      <c r="B296" s="376" t="s">
        <v>182</v>
      </c>
      <c r="C296" s="376" t="s">
        <v>182</v>
      </c>
      <c r="D296" s="372" t="s">
        <v>17</v>
      </c>
      <c r="E296" s="387" t="s">
        <v>177</v>
      </c>
      <c r="F296" s="422" t="s">
        <v>184</v>
      </c>
      <c r="G296" s="372"/>
      <c r="H296" s="399">
        <v>0.22115071539599998</v>
      </c>
      <c r="I296" s="378">
        <v>1</v>
      </c>
      <c r="J296" s="372"/>
      <c r="K296" s="399">
        <f t="shared" ref="K296:K307" si="32">IF(L296=1,H296,0)</f>
        <v>0</v>
      </c>
      <c r="L296" s="378"/>
    </row>
    <row r="297" spans="1:12" outlineLevel="3">
      <c r="A297" s="372" t="s">
        <v>185</v>
      </c>
      <c r="B297" s="376" t="s">
        <v>182</v>
      </c>
      <c r="C297" s="376" t="s">
        <v>182</v>
      </c>
      <c r="D297" s="372" t="s">
        <v>17</v>
      </c>
      <c r="E297" s="387" t="s">
        <v>177</v>
      </c>
      <c r="F297" s="422" t="s">
        <v>186</v>
      </c>
      <c r="G297" s="372"/>
      <c r="H297" s="399">
        <v>7.3716905132000007E-2</v>
      </c>
      <c r="I297" s="397">
        <v>1</v>
      </c>
      <c r="J297" s="372"/>
      <c r="K297" s="399">
        <f t="shared" si="32"/>
        <v>0</v>
      </c>
      <c r="L297" s="397"/>
    </row>
    <row r="298" spans="1:12" outlineLevel="3">
      <c r="A298" s="372"/>
      <c r="B298" s="376" t="s">
        <v>182</v>
      </c>
      <c r="C298" s="376" t="s">
        <v>182</v>
      </c>
      <c r="D298" s="372" t="s">
        <v>17</v>
      </c>
      <c r="E298" s="387" t="s">
        <v>177</v>
      </c>
      <c r="F298" s="422" t="s">
        <v>187</v>
      </c>
      <c r="G298" s="372"/>
      <c r="H298" s="399">
        <v>7.3716905132000007E-2</v>
      </c>
      <c r="I298" s="378">
        <v>1</v>
      </c>
      <c r="J298" s="372"/>
      <c r="K298" s="399">
        <f t="shared" si="32"/>
        <v>0</v>
      </c>
      <c r="L298" s="378"/>
    </row>
    <row r="299" spans="1:12" outlineLevel="3">
      <c r="A299" s="372"/>
      <c r="B299" s="376" t="s">
        <v>182</v>
      </c>
      <c r="C299" s="376" t="s">
        <v>182</v>
      </c>
      <c r="D299" s="372" t="s">
        <v>17</v>
      </c>
      <c r="E299" s="387" t="s">
        <v>177</v>
      </c>
      <c r="F299" s="422" t="s">
        <v>190</v>
      </c>
      <c r="G299" s="372"/>
      <c r="H299" s="399">
        <v>6.4031962499999998E-2</v>
      </c>
      <c r="I299" s="378">
        <v>1</v>
      </c>
      <c r="J299" s="372"/>
      <c r="K299" s="399">
        <f t="shared" si="32"/>
        <v>0</v>
      </c>
      <c r="L299" s="378"/>
    </row>
    <row r="300" spans="1:12" outlineLevel="3">
      <c r="A300" s="372"/>
      <c r="B300" s="376"/>
      <c r="C300" s="376"/>
      <c r="D300" s="372"/>
      <c r="E300" s="387"/>
      <c r="F300" s="422" t="s">
        <v>1831</v>
      </c>
      <c r="G300" s="372"/>
      <c r="H300" s="399"/>
      <c r="I300" s="378"/>
      <c r="J300" s="372"/>
      <c r="K300" s="399"/>
      <c r="L300" s="378"/>
    </row>
    <row r="301" spans="1:12" outlineLevel="3">
      <c r="A301" s="372"/>
      <c r="B301" s="376" t="s">
        <v>182</v>
      </c>
      <c r="C301" s="376" t="s">
        <v>182</v>
      </c>
      <c r="D301" s="372" t="s">
        <v>17</v>
      </c>
      <c r="E301" s="387" t="s">
        <v>177</v>
      </c>
      <c r="F301" s="422" t="s">
        <v>191</v>
      </c>
      <c r="G301" s="372"/>
      <c r="H301" s="399">
        <v>0.54994955184000005</v>
      </c>
      <c r="I301" s="378">
        <v>1</v>
      </c>
      <c r="J301" s="372"/>
      <c r="K301" s="399">
        <f t="shared" si="32"/>
        <v>0</v>
      </c>
      <c r="L301" s="378"/>
    </row>
    <row r="302" spans="1:12" outlineLevel="3">
      <c r="A302" s="372"/>
      <c r="B302" s="376" t="s">
        <v>182</v>
      </c>
      <c r="C302" s="376" t="s">
        <v>182</v>
      </c>
      <c r="D302" s="372" t="s">
        <v>17</v>
      </c>
      <c r="E302" s="387" t="s">
        <v>177</v>
      </c>
      <c r="F302" s="422" t="s">
        <v>192</v>
      </c>
      <c r="G302" s="372"/>
      <c r="H302" s="399">
        <v>0.27497477592000003</v>
      </c>
      <c r="I302" s="378">
        <v>1</v>
      </c>
      <c r="J302" s="372"/>
      <c r="K302" s="399">
        <f t="shared" si="32"/>
        <v>0</v>
      </c>
      <c r="L302" s="378"/>
    </row>
    <row r="303" spans="1:12" outlineLevel="3">
      <c r="A303" s="372"/>
      <c r="B303" s="376"/>
      <c r="C303" s="376"/>
      <c r="D303" s="372"/>
      <c r="E303" s="387"/>
      <c r="F303" s="422" t="s">
        <v>1832</v>
      </c>
      <c r="G303" s="372"/>
      <c r="H303" s="399"/>
      <c r="I303" s="378"/>
      <c r="J303" s="372"/>
      <c r="K303" s="399"/>
      <c r="L303" s="378"/>
    </row>
    <row r="304" spans="1:12" outlineLevel="3">
      <c r="A304" s="372"/>
      <c r="B304" s="376" t="s">
        <v>182</v>
      </c>
      <c r="C304" s="376" t="s">
        <v>182</v>
      </c>
      <c r="D304" s="372" t="s">
        <v>17</v>
      </c>
      <c r="E304" s="387" t="s">
        <v>177</v>
      </c>
      <c r="F304" s="422" t="s">
        <v>193</v>
      </c>
      <c r="G304" s="372"/>
      <c r="H304" s="399">
        <v>2.2352362560000003</v>
      </c>
      <c r="I304" s="378">
        <v>1</v>
      </c>
      <c r="J304" s="372"/>
      <c r="K304" s="399">
        <f t="shared" si="32"/>
        <v>0</v>
      </c>
      <c r="L304" s="378"/>
    </row>
    <row r="305" spans="1:12" outlineLevel="3">
      <c r="A305" s="372"/>
      <c r="B305" s="376" t="s">
        <v>182</v>
      </c>
      <c r="C305" s="376" t="s">
        <v>182</v>
      </c>
      <c r="D305" s="372" t="s">
        <v>17</v>
      </c>
      <c r="E305" s="387" t="s">
        <v>177</v>
      </c>
      <c r="F305" s="422" t="s">
        <v>194</v>
      </c>
      <c r="G305" s="372"/>
      <c r="H305" s="399">
        <v>2.2352362560000003</v>
      </c>
      <c r="I305" s="378">
        <v>1</v>
      </c>
      <c r="J305" s="372"/>
      <c r="K305" s="399">
        <f t="shared" si="32"/>
        <v>0</v>
      </c>
      <c r="L305" s="378"/>
    </row>
    <row r="306" spans="1:12" outlineLevel="3">
      <c r="A306" s="372"/>
      <c r="B306" s="376" t="s">
        <v>182</v>
      </c>
      <c r="C306" s="376" t="s">
        <v>182</v>
      </c>
      <c r="D306" s="372" t="s">
        <v>17</v>
      </c>
      <c r="E306" s="387" t="s">
        <v>177</v>
      </c>
      <c r="F306" s="422" t="s">
        <v>195</v>
      </c>
      <c r="G306" s="372"/>
      <c r="H306" s="399">
        <v>0.1125</v>
      </c>
      <c r="I306" s="378">
        <v>1</v>
      </c>
      <c r="J306" s="372"/>
      <c r="K306" s="399">
        <f t="shared" si="32"/>
        <v>0</v>
      </c>
      <c r="L306" s="378"/>
    </row>
    <row r="307" spans="1:12" outlineLevel="3">
      <c r="A307" s="372"/>
      <c r="B307" s="376" t="s">
        <v>182</v>
      </c>
      <c r="C307" s="376" t="s">
        <v>182</v>
      </c>
      <c r="D307" s="372" t="s">
        <v>17</v>
      </c>
      <c r="E307" s="387" t="s">
        <v>177</v>
      </c>
      <c r="F307" s="422" t="s">
        <v>196</v>
      </c>
      <c r="G307" s="372"/>
      <c r="H307" s="399">
        <v>3.7499999999999999E-2</v>
      </c>
      <c r="I307" s="378">
        <v>1</v>
      </c>
      <c r="J307" s="372"/>
      <c r="K307" s="399">
        <f t="shared" si="32"/>
        <v>0</v>
      </c>
      <c r="L307" s="378"/>
    </row>
    <row r="308" spans="1:12" outlineLevel="2">
      <c r="A308" s="372"/>
      <c r="B308" s="380" t="s">
        <v>182</v>
      </c>
      <c r="C308" s="380" t="s">
        <v>182</v>
      </c>
      <c r="D308" s="385" t="s">
        <v>25</v>
      </c>
      <c r="E308" s="385"/>
      <c r="F308" s="424" t="s">
        <v>183</v>
      </c>
      <c r="G308" s="385"/>
      <c r="H308" s="410">
        <f>SUM(H309:H328)</f>
        <v>3.7440925898400006</v>
      </c>
      <c r="I308" s="396">
        <f>SUM(I309:I328)</f>
        <v>16</v>
      </c>
      <c r="J308" s="385"/>
      <c r="K308" s="410">
        <f>SUM(K309:K328)</f>
        <v>2.25123394992</v>
      </c>
      <c r="L308" s="396">
        <f>SUM(L309:L328)</f>
        <v>1</v>
      </c>
    </row>
    <row r="309" spans="1:12" outlineLevel="3">
      <c r="A309" s="372"/>
      <c r="B309" s="376" t="s">
        <v>182</v>
      </c>
      <c r="C309" s="376" t="s">
        <v>182</v>
      </c>
      <c r="D309" s="372" t="s">
        <v>25</v>
      </c>
      <c r="E309" s="372" t="s">
        <v>26</v>
      </c>
      <c r="F309" s="422" t="s">
        <v>197</v>
      </c>
      <c r="G309" s="372"/>
      <c r="H309" s="399">
        <v>2.25123394992</v>
      </c>
      <c r="I309" s="378">
        <v>1</v>
      </c>
      <c r="J309" s="372"/>
      <c r="K309" s="399">
        <f t="shared" ref="K309:K328" si="33">IF(L309=1,H309,0)</f>
        <v>2.25123394992</v>
      </c>
      <c r="L309" s="378">
        <v>1</v>
      </c>
    </row>
    <row r="310" spans="1:12" outlineLevel="3">
      <c r="A310" s="372"/>
      <c r="B310" s="376" t="s">
        <v>182</v>
      </c>
      <c r="C310" s="376" t="s">
        <v>182</v>
      </c>
      <c r="D310" s="372" t="s">
        <v>25</v>
      </c>
      <c r="E310" s="372" t="s">
        <v>26</v>
      </c>
      <c r="F310" s="422" t="s">
        <v>191</v>
      </c>
      <c r="G310" s="372"/>
      <c r="H310" s="399">
        <v>0.5295810499200001</v>
      </c>
      <c r="I310" s="378">
        <v>1</v>
      </c>
      <c r="J310" s="372"/>
      <c r="K310" s="399">
        <f t="shared" si="33"/>
        <v>0</v>
      </c>
      <c r="L310" s="378"/>
    </row>
    <row r="311" spans="1:12" outlineLevel="3">
      <c r="A311" s="372"/>
      <c r="B311" s="376" t="s">
        <v>182</v>
      </c>
      <c r="C311" s="376" t="s">
        <v>182</v>
      </c>
      <c r="D311" s="372" t="s">
        <v>25</v>
      </c>
      <c r="E311" s="372" t="s">
        <v>26</v>
      </c>
      <c r="F311" s="422" t="s">
        <v>198</v>
      </c>
      <c r="G311" s="372"/>
      <c r="H311" s="399">
        <v>2.5612785000000002E-2</v>
      </c>
      <c r="I311" s="378">
        <v>1</v>
      </c>
      <c r="J311" s="372"/>
      <c r="K311" s="399">
        <f t="shared" si="33"/>
        <v>0</v>
      </c>
      <c r="L311" s="378"/>
    </row>
    <row r="312" spans="1:12" outlineLevel="3">
      <c r="A312" s="372"/>
      <c r="B312" s="376"/>
      <c r="C312" s="376"/>
      <c r="D312" s="372"/>
      <c r="E312" s="372"/>
      <c r="F312" s="422" t="s">
        <v>1833</v>
      </c>
      <c r="G312" s="372"/>
      <c r="H312" s="399"/>
      <c r="I312" s="378"/>
      <c r="J312" s="372"/>
      <c r="K312" s="399"/>
      <c r="L312" s="378"/>
    </row>
    <row r="313" spans="1:12" outlineLevel="3">
      <c r="A313" s="372"/>
      <c r="B313" s="376" t="s">
        <v>182</v>
      </c>
      <c r="C313" s="376" t="s">
        <v>182</v>
      </c>
      <c r="D313" s="372" t="s">
        <v>25</v>
      </c>
      <c r="E313" s="372" t="s">
        <v>26</v>
      </c>
      <c r="F313" s="422" t="s">
        <v>200</v>
      </c>
      <c r="G313" s="372"/>
      <c r="H313" s="399">
        <v>0.10833933000000003</v>
      </c>
      <c r="I313" s="378">
        <v>1</v>
      </c>
      <c r="J313" s="372"/>
      <c r="K313" s="399">
        <f t="shared" si="33"/>
        <v>0</v>
      </c>
      <c r="L313" s="378"/>
    </row>
    <row r="314" spans="1:12" outlineLevel="3">
      <c r="A314" s="372"/>
      <c r="B314" s="376"/>
      <c r="C314" s="376"/>
      <c r="D314" s="372"/>
      <c r="E314" s="372"/>
      <c r="F314" s="422" t="s">
        <v>1834</v>
      </c>
      <c r="G314" s="372"/>
      <c r="H314" s="399"/>
      <c r="I314" s="378"/>
      <c r="J314" s="372"/>
      <c r="K314" s="399"/>
      <c r="L314" s="378"/>
    </row>
    <row r="315" spans="1:12" outlineLevel="3">
      <c r="A315" s="372"/>
      <c r="B315" s="376" t="s">
        <v>182</v>
      </c>
      <c r="C315" s="376" t="s">
        <v>182</v>
      </c>
      <c r="D315" s="372" t="s">
        <v>25</v>
      </c>
      <c r="E315" s="372" t="s">
        <v>26</v>
      </c>
      <c r="F315" s="422" t="s">
        <v>201</v>
      </c>
      <c r="G315" s="372"/>
      <c r="H315" s="399">
        <v>5.4169665000000013E-2</v>
      </c>
      <c r="I315" s="378">
        <v>1</v>
      </c>
      <c r="J315" s="372"/>
      <c r="K315" s="399">
        <f t="shared" si="33"/>
        <v>0</v>
      </c>
      <c r="L315" s="378"/>
    </row>
    <row r="316" spans="1:12" outlineLevel="3">
      <c r="A316" s="372"/>
      <c r="B316" s="376"/>
      <c r="C316" s="376"/>
      <c r="D316" s="372"/>
      <c r="E316" s="372"/>
      <c r="F316" s="422" t="s">
        <v>1835</v>
      </c>
      <c r="G316" s="372"/>
      <c r="H316" s="399"/>
      <c r="I316" s="378"/>
      <c r="J316" s="372"/>
      <c r="K316" s="399"/>
      <c r="L316" s="378"/>
    </row>
    <row r="317" spans="1:12" outlineLevel="3">
      <c r="A317" s="372"/>
      <c r="B317" s="376" t="s">
        <v>182</v>
      </c>
      <c r="C317" s="376" t="s">
        <v>182</v>
      </c>
      <c r="D317" s="372" t="s">
        <v>25</v>
      </c>
      <c r="E317" s="372" t="s">
        <v>26</v>
      </c>
      <c r="F317" s="422" t="s">
        <v>203</v>
      </c>
      <c r="G317" s="372"/>
      <c r="H317" s="399">
        <v>0.10833933000000003</v>
      </c>
      <c r="I317" s="378">
        <v>1</v>
      </c>
      <c r="J317" s="372"/>
      <c r="K317" s="399">
        <f t="shared" si="33"/>
        <v>0</v>
      </c>
      <c r="L317" s="378"/>
    </row>
    <row r="318" spans="1:12" outlineLevel="3">
      <c r="A318" s="372"/>
      <c r="B318" s="376" t="s">
        <v>182</v>
      </c>
      <c r="C318" s="376" t="s">
        <v>182</v>
      </c>
      <c r="D318" s="372" t="s">
        <v>25</v>
      </c>
      <c r="E318" s="372" t="s">
        <v>26</v>
      </c>
      <c r="F318" s="422" t="s">
        <v>205</v>
      </c>
      <c r="G318" s="372"/>
      <c r="H318" s="399">
        <v>5.4169665000000013E-2</v>
      </c>
      <c r="I318" s="378">
        <v>1</v>
      </c>
      <c r="J318" s="372"/>
      <c r="K318" s="399">
        <f t="shared" si="33"/>
        <v>0</v>
      </c>
      <c r="L318" s="378"/>
    </row>
    <row r="319" spans="1:12" outlineLevel="3">
      <c r="A319" s="372"/>
      <c r="B319" s="376" t="s">
        <v>182</v>
      </c>
      <c r="C319" s="376" t="s">
        <v>182</v>
      </c>
      <c r="D319" s="372" t="s">
        <v>25</v>
      </c>
      <c r="E319" s="372" t="s">
        <v>26</v>
      </c>
      <c r="F319" s="422" t="s">
        <v>207</v>
      </c>
      <c r="G319" s="372"/>
      <c r="H319" s="399">
        <v>0.10833933000000003</v>
      </c>
      <c r="I319" s="378">
        <v>1</v>
      </c>
      <c r="J319" s="372"/>
      <c r="K319" s="399">
        <f t="shared" si="33"/>
        <v>0</v>
      </c>
      <c r="L319" s="378"/>
    </row>
    <row r="320" spans="1:12" outlineLevel="3">
      <c r="A320" s="372"/>
      <c r="B320" s="376" t="s">
        <v>182</v>
      </c>
      <c r="C320" s="376" t="s">
        <v>182</v>
      </c>
      <c r="D320" s="372" t="s">
        <v>25</v>
      </c>
      <c r="E320" s="372" t="s">
        <v>26</v>
      </c>
      <c r="F320" s="422" t="s">
        <v>208</v>
      </c>
      <c r="G320" s="372"/>
      <c r="H320" s="399">
        <v>5.4169665000000013E-2</v>
      </c>
      <c r="I320" s="378">
        <v>1</v>
      </c>
      <c r="J320" s="372"/>
      <c r="K320" s="399">
        <f t="shared" si="33"/>
        <v>0</v>
      </c>
      <c r="L320" s="378"/>
    </row>
    <row r="321" spans="1:12" outlineLevel="3">
      <c r="A321" s="372"/>
      <c r="B321" s="376" t="s">
        <v>182</v>
      </c>
      <c r="C321" s="376" t="s">
        <v>182</v>
      </c>
      <c r="D321" s="372" t="s">
        <v>25</v>
      </c>
      <c r="E321" s="372" t="s">
        <v>26</v>
      </c>
      <c r="F321" s="422" t="s">
        <v>210</v>
      </c>
      <c r="G321" s="372"/>
      <c r="H321" s="399">
        <v>0.10833933000000003</v>
      </c>
      <c r="I321" s="378">
        <v>1</v>
      </c>
      <c r="J321" s="372"/>
      <c r="K321" s="399">
        <f t="shared" si="33"/>
        <v>0</v>
      </c>
      <c r="L321" s="378"/>
    </row>
    <row r="322" spans="1:12" outlineLevel="3">
      <c r="A322" s="372"/>
      <c r="B322" s="376"/>
      <c r="C322" s="376"/>
      <c r="D322" s="372"/>
      <c r="E322" s="372"/>
      <c r="F322" s="422" t="s">
        <v>1836</v>
      </c>
      <c r="G322" s="372"/>
      <c r="H322" s="399"/>
      <c r="I322" s="378"/>
      <c r="J322" s="372"/>
      <c r="K322" s="399"/>
      <c r="L322" s="378"/>
    </row>
    <row r="323" spans="1:12" outlineLevel="3">
      <c r="A323" s="372"/>
      <c r="B323" s="376" t="s">
        <v>182</v>
      </c>
      <c r="C323" s="376" t="s">
        <v>182</v>
      </c>
      <c r="D323" s="372" t="s">
        <v>25</v>
      </c>
      <c r="E323" s="372" t="s">
        <v>26</v>
      </c>
      <c r="F323" s="422" t="s">
        <v>211</v>
      </c>
      <c r="G323" s="372"/>
      <c r="H323" s="399">
        <v>0.10833933000000003</v>
      </c>
      <c r="I323" s="378">
        <v>1</v>
      </c>
      <c r="J323" s="372"/>
      <c r="K323" s="399">
        <f t="shared" si="33"/>
        <v>0</v>
      </c>
      <c r="L323" s="378"/>
    </row>
    <row r="324" spans="1:12" outlineLevel="3">
      <c r="A324" s="372"/>
      <c r="B324" s="376" t="s">
        <v>182</v>
      </c>
      <c r="C324" s="376" t="s">
        <v>182</v>
      </c>
      <c r="D324" s="372" t="s">
        <v>25</v>
      </c>
      <c r="E324" s="372" t="s">
        <v>26</v>
      </c>
      <c r="F324" s="422" t="s">
        <v>212</v>
      </c>
      <c r="G324" s="372"/>
      <c r="H324" s="399">
        <v>5.4169665000000013E-2</v>
      </c>
      <c r="I324" s="378">
        <v>1</v>
      </c>
      <c r="J324" s="372"/>
      <c r="K324" s="399">
        <f t="shared" si="33"/>
        <v>0</v>
      </c>
      <c r="L324" s="378"/>
    </row>
    <row r="325" spans="1:12" outlineLevel="3">
      <c r="A325" s="372"/>
      <c r="B325" s="376" t="s">
        <v>182</v>
      </c>
      <c r="C325" s="376" t="s">
        <v>182</v>
      </c>
      <c r="D325" s="372" t="s">
        <v>25</v>
      </c>
      <c r="E325" s="372" t="s">
        <v>26</v>
      </c>
      <c r="F325" s="422" t="s">
        <v>214</v>
      </c>
      <c r="G325" s="372"/>
      <c r="H325" s="399">
        <v>5.1225570000000005E-2</v>
      </c>
      <c r="I325" s="378">
        <v>1</v>
      </c>
      <c r="J325" s="372"/>
      <c r="K325" s="399">
        <f t="shared" si="33"/>
        <v>0</v>
      </c>
      <c r="L325" s="378"/>
    </row>
    <row r="326" spans="1:12" outlineLevel="3">
      <c r="A326" s="372"/>
      <c r="B326" s="376" t="s">
        <v>182</v>
      </c>
      <c r="C326" s="376" t="s">
        <v>182</v>
      </c>
      <c r="D326" s="372" t="s">
        <v>25</v>
      </c>
      <c r="E326" s="372" t="s">
        <v>26</v>
      </c>
      <c r="F326" s="422" t="s">
        <v>215</v>
      </c>
      <c r="G326" s="372"/>
      <c r="H326" s="399">
        <v>5.1225570000000005E-2</v>
      </c>
      <c r="I326" s="378">
        <v>1</v>
      </c>
      <c r="J326" s="372"/>
      <c r="K326" s="399">
        <f t="shared" si="33"/>
        <v>0</v>
      </c>
      <c r="L326" s="378"/>
    </row>
    <row r="327" spans="1:12" outlineLevel="3">
      <c r="A327" s="372"/>
      <c r="B327" s="376" t="s">
        <v>182</v>
      </c>
      <c r="C327" s="376" t="s">
        <v>182</v>
      </c>
      <c r="D327" s="372" t="s">
        <v>25</v>
      </c>
      <c r="E327" s="372" t="s">
        <v>26</v>
      </c>
      <c r="F327" s="422" t="s">
        <v>216</v>
      </c>
      <c r="G327" s="372"/>
      <c r="H327" s="399">
        <v>5.1225570000000005E-2</v>
      </c>
      <c r="I327" s="378">
        <v>1</v>
      </c>
      <c r="J327" s="372"/>
      <c r="K327" s="399">
        <f t="shared" si="33"/>
        <v>0</v>
      </c>
      <c r="L327" s="378"/>
    </row>
    <row r="328" spans="1:12" outlineLevel="3">
      <c r="A328" s="372"/>
      <c r="B328" s="376" t="s">
        <v>182</v>
      </c>
      <c r="C328" s="376" t="s">
        <v>182</v>
      </c>
      <c r="D328" s="372" t="s">
        <v>25</v>
      </c>
      <c r="E328" s="372" t="s">
        <v>26</v>
      </c>
      <c r="F328" s="422" t="s">
        <v>217</v>
      </c>
      <c r="G328" s="372"/>
      <c r="H328" s="399">
        <v>2.5612785000000002E-2</v>
      </c>
      <c r="I328" s="378">
        <v>1</v>
      </c>
      <c r="J328" s="372"/>
      <c r="K328" s="399">
        <f t="shared" si="33"/>
        <v>0</v>
      </c>
      <c r="L328" s="378"/>
    </row>
    <row r="329" spans="1:12" outlineLevel="2">
      <c r="A329" s="372"/>
      <c r="B329" s="380" t="s">
        <v>182</v>
      </c>
      <c r="C329" s="380" t="s">
        <v>182</v>
      </c>
      <c r="D329" s="385" t="s">
        <v>27</v>
      </c>
      <c r="E329" s="385"/>
      <c r="F329" s="424" t="s">
        <v>183</v>
      </c>
      <c r="G329" s="385"/>
      <c r="H329" s="410">
        <f>SUM(H330:H330)</f>
        <v>3.6853334887931043E-2</v>
      </c>
      <c r="I329" s="396">
        <f>SUM(I330:I330)</f>
        <v>1</v>
      </c>
      <c r="J329" s="385"/>
      <c r="K329" s="410">
        <f>SUM(K330:K330)</f>
        <v>0</v>
      </c>
      <c r="L329" s="396">
        <f>SUM(L330:L330)</f>
        <v>0</v>
      </c>
    </row>
    <row r="330" spans="1:12" outlineLevel="3">
      <c r="A330" s="372"/>
      <c r="B330" s="376" t="s">
        <v>182</v>
      </c>
      <c r="C330" s="376" t="s">
        <v>182</v>
      </c>
      <c r="D330" s="372" t="s">
        <v>27</v>
      </c>
      <c r="E330" s="372" t="s">
        <v>28</v>
      </c>
      <c r="F330" s="422" t="s">
        <v>220</v>
      </c>
      <c r="G330" s="372"/>
      <c r="H330" s="399">
        <v>3.6853334887931043E-2</v>
      </c>
      <c r="I330" s="378">
        <v>1</v>
      </c>
      <c r="J330" s="372"/>
      <c r="K330" s="399">
        <f>IF(L330=1,H330,0)</f>
        <v>0</v>
      </c>
      <c r="L330" s="378"/>
    </row>
    <row r="331" spans="1:12" outlineLevel="1" collapsed="1">
      <c r="A331" s="372"/>
      <c r="B331" s="632" t="s">
        <v>222</v>
      </c>
      <c r="C331" s="632" t="s">
        <v>222</v>
      </c>
      <c r="D331" s="632"/>
      <c r="E331" s="632"/>
      <c r="F331" s="634" t="s">
        <v>223</v>
      </c>
      <c r="G331" s="633"/>
      <c r="H331" s="635">
        <f>SUM(H332,H342,H349,H352)</f>
        <v>1.2186362892862301</v>
      </c>
      <c r="I331" s="636">
        <f>I332+I342+I349+I352</f>
        <v>17</v>
      </c>
      <c r="J331" s="633"/>
      <c r="K331" s="635">
        <f>SUM(K332,K342,K349,K352)</f>
        <v>0</v>
      </c>
      <c r="L331" s="636">
        <f>L332+L342+L349+L352</f>
        <v>0</v>
      </c>
    </row>
    <row r="332" spans="1:12" hidden="1" outlineLevel="2">
      <c r="A332" s="372"/>
      <c r="B332" s="380" t="s">
        <v>222</v>
      </c>
      <c r="C332" s="380" t="s">
        <v>222</v>
      </c>
      <c r="D332" s="385" t="s">
        <v>17</v>
      </c>
      <c r="E332" s="380"/>
      <c r="F332" s="424" t="s">
        <v>77</v>
      </c>
      <c r="G332" s="385"/>
      <c r="H332" s="410">
        <f>SUM(H333:H341)</f>
        <v>0.85178143075061052</v>
      </c>
      <c r="I332" s="396">
        <f>SUBTOTAL(9,I333:I341)</f>
        <v>9</v>
      </c>
      <c r="J332" s="385"/>
      <c r="K332" s="410">
        <f>SUM(K333:K341)</f>
        <v>0</v>
      </c>
      <c r="L332" s="396">
        <f>SUBTOTAL(9,L333:L341)</f>
        <v>0</v>
      </c>
    </row>
    <row r="333" spans="1:12" hidden="1" outlineLevel="3">
      <c r="A333" s="372"/>
      <c r="B333" s="376" t="s">
        <v>222</v>
      </c>
      <c r="C333" s="376" t="s">
        <v>222</v>
      </c>
      <c r="D333" s="372" t="s">
        <v>17</v>
      </c>
      <c r="E333" s="376" t="s">
        <v>177</v>
      </c>
      <c r="F333" s="422" t="s">
        <v>224</v>
      </c>
      <c r="G333" s="372"/>
      <c r="H333" s="377">
        <v>0.25575333042562204</v>
      </c>
      <c r="I333" s="378">
        <v>1</v>
      </c>
      <c r="J333" s="372"/>
      <c r="K333" s="399">
        <f t="shared" ref="K333:K341" si="34">IF(L333=1,H333,0)</f>
        <v>0</v>
      </c>
      <c r="L333" s="378"/>
    </row>
    <row r="334" spans="1:12" hidden="1" outlineLevel="3">
      <c r="A334" s="372"/>
      <c r="B334" s="376" t="s">
        <v>222</v>
      </c>
      <c r="C334" s="376" t="s">
        <v>222</v>
      </c>
      <c r="D334" s="372" t="s">
        <v>17</v>
      </c>
      <c r="E334" s="376" t="s">
        <v>177</v>
      </c>
      <c r="F334" s="422" t="s">
        <v>178</v>
      </c>
      <c r="G334" s="372"/>
      <c r="H334" s="377">
        <v>8.1564148364617506E-2</v>
      </c>
      <c r="I334" s="378">
        <v>1</v>
      </c>
      <c r="J334" s="372"/>
      <c r="K334" s="399">
        <f t="shared" si="34"/>
        <v>0</v>
      </c>
      <c r="L334" s="378"/>
    </row>
    <row r="335" spans="1:12" hidden="1" outlineLevel="3">
      <c r="A335" s="372"/>
      <c r="B335" s="376" t="s">
        <v>222</v>
      </c>
      <c r="C335" s="376" t="s">
        <v>222</v>
      </c>
      <c r="D335" s="372" t="s">
        <v>17</v>
      </c>
      <c r="E335" s="376" t="s">
        <v>177</v>
      </c>
      <c r="F335" s="422" t="s">
        <v>44</v>
      </c>
      <c r="G335" s="372"/>
      <c r="H335" s="377">
        <v>0.18696938245168926</v>
      </c>
      <c r="I335" s="378">
        <v>1</v>
      </c>
      <c r="J335" s="372"/>
      <c r="K335" s="399">
        <f t="shared" si="34"/>
        <v>0</v>
      </c>
      <c r="L335" s="378"/>
    </row>
    <row r="336" spans="1:12" hidden="1" outlineLevel="3">
      <c r="A336" s="372"/>
      <c r="B336" s="376" t="s">
        <v>222</v>
      </c>
      <c r="C336" s="376" t="s">
        <v>222</v>
      </c>
      <c r="D336" s="372" t="s">
        <v>17</v>
      </c>
      <c r="E336" s="376" t="s">
        <v>177</v>
      </c>
      <c r="F336" s="422" t="s">
        <v>107</v>
      </c>
      <c r="G336" s="372"/>
      <c r="H336" s="377">
        <v>2.7188049454872507E-2</v>
      </c>
      <c r="I336" s="378">
        <v>1</v>
      </c>
      <c r="J336" s="372"/>
      <c r="K336" s="399">
        <f t="shared" si="34"/>
        <v>0</v>
      </c>
      <c r="L336" s="378"/>
    </row>
    <row r="337" spans="1:12" hidden="1" outlineLevel="3">
      <c r="A337" s="372"/>
      <c r="B337" s="376" t="s">
        <v>222</v>
      </c>
      <c r="C337" s="376" t="s">
        <v>222</v>
      </c>
      <c r="D337" s="372" t="s">
        <v>17</v>
      </c>
      <c r="E337" s="376" t="s">
        <v>177</v>
      </c>
      <c r="F337" s="422" t="s">
        <v>65</v>
      </c>
      <c r="G337" s="372"/>
      <c r="H337" s="377">
        <v>0.11218162947101355</v>
      </c>
      <c r="I337" s="378">
        <v>1</v>
      </c>
      <c r="J337" s="372"/>
      <c r="K337" s="399">
        <f t="shared" si="34"/>
        <v>0</v>
      </c>
      <c r="L337" s="378"/>
    </row>
    <row r="338" spans="1:12" hidden="1" outlineLevel="3">
      <c r="A338" s="372"/>
      <c r="B338" s="376" t="s">
        <v>222</v>
      </c>
      <c r="C338" s="376" t="s">
        <v>222</v>
      </c>
      <c r="D338" s="372" t="s">
        <v>17</v>
      </c>
      <c r="E338" s="376" t="s">
        <v>177</v>
      </c>
      <c r="F338" s="422" t="s">
        <v>23</v>
      </c>
      <c r="G338" s="372"/>
      <c r="H338" s="377">
        <v>3.7393876490337853E-2</v>
      </c>
      <c r="I338" s="378">
        <v>1</v>
      </c>
      <c r="J338" s="372"/>
      <c r="K338" s="399">
        <f t="shared" si="34"/>
        <v>0</v>
      </c>
      <c r="L338" s="378"/>
    </row>
    <row r="339" spans="1:12" hidden="1" outlineLevel="3">
      <c r="A339" s="372"/>
      <c r="B339" s="376" t="s">
        <v>222</v>
      </c>
      <c r="C339" s="376" t="s">
        <v>222</v>
      </c>
      <c r="D339" s="372" t="s">
        <v>17</v>
      </c>
      <c r="E339" s="376" t="s">
        <v>177</v>
      </c>
      <c r="F339" s="429" t="s">
        <v>66</v>
      </c>
      <c r="G339" s="372"/>
      <c r="H339" s="377">
        <v>3.7393876490337853E-2</v>
      </c>
      <c r="I339" s="378">
        <v>1</v>
      </c>
      <c r="J339" s="372"/>
      <c r="K339" s="399">
        <f t="shared" si="34"/>
        <v>0</v>
      </c>
      <c r="L339" s="378"/>
    </row>
    <row r="340" spans="1:12" hidden="1" outlineLevel="3">
      <c r="A340" s="372"/>
      <c r="B340" s="376" t="s">
        <v>222</v>
      </c>
      <c r="C340" s="376" t="s">
        <v>222</v>
      </c>
      <c r="D340" s="372" t="s">
        <v>17</v>
      </c>
      <c r="E340" s="376" t="s">
        <v>177</v>
      </c>
      <c r="F340" s="422" t="s">
        <v>24</v>
      </c>
      <c r="G340" s="372"/>
      <c r="H340" s="377">
        <v>2.7188049454872507E-2</v>
      </c>
      <c r="I340" s="378">
        <v>1</v>
      </c>
      <c r="J340" s="372"/>
      <c r="K340" s="399">
        <f t="shared" si="34"/>
        <v>0</v>
      </c>
      <c r="L340" s="378"/>
    </row>
    <row r="341" spans="1:12" hidden="1" outlineLevel="3">
      <c r="A341" s="372"/>
      <c r="B341" s="376" t="s">
        <v>222</v>
      </c>
      <c r="C341" s="376" t="s">
        <v>222</v>
      </c>
      <c r="D341" s="372" t="s">
        <v>17</v>
      </c>
      <c r="E341" s="376" t="s">
        <v>177</v>
      </c>
      <c r="F341" s="429" t="s">
        <v>226</v>
      </c>
      <c r="G341" s="372"/>
      <c r="H341" s="400">
        <v>8.6149088147247421E-2</v>
      </c>
      <c r="I341" s="395">
        <v>1</v>
      </c>
      <c r="J341" s="372"/>
      <c r="K341" s="399">
        <f t="shared" si="34"/>
        <v>0</v>
      </c>
      <c r="L341" s="395"/>
    </row>
    <row r="342" spans="1:12" hidden="1" outlineLevel="2">
      <c r="A342" s="372"/>
      <c r="B342" s="380" t="s">
        <v>222</v>
      </c>
      <c r="C342" s="380" t="s">
        <v>222</v>
      </c>
      <c r="D342" s="385" t="s">
        <v>25</v>
      </c>
      <c r="E342" s="385"/>
      <c r="F342" s="424" t="s">
        <v>77</v>
      </c>
      <c r="G342" s="385"/>
      <c r="H342" s="410">
        <f>SUM(H343:H348)</f>
        <v>0.34545700083561953</v>
      </c>
      <c r="I342" s="396">
        <f>SUBTOTAL(9,I343:I348)</f>
        <v>6</v>
      </c>
      <c r="J342" s="385"/>
      <c r="K342" s="410">
        <f>SUM(K343:K348)</f>
        <v>0</v>
      </c>
      <c r="L342" s="396">
        <f>SUBTOTAL(9,L343:L348)</f>
        <v>0</v>
      </c>
    </row>
    <row r="343" spans="1:12" hidden="1" outlineLevel="3">
      <c r="A343" s="372"/>
      <c r="B343" s="376" t="s">
        <v>222</v>
      </c>
      <c r="C343" s="376" t="s">
        <v>222</v>
      </c>
      <c r="D343" s="372" t="s">
        <v>25</v>
      </c>
      <c r="E343" s="372" t="s">
        <v>26</v>
      </c>
      <c r="F343" s="422" t="s">
        <v>228</v>
      </c>
      <c r="G343" s="372"/>
      <c r="H343" s="377">
        <v>0.20115878538561949</v>
      </c>
      <c r="I343" s="378">
        <v>1</v>
      </c>
      <c r="J343" s="372"/>
      <c r="K343" s="399">
        <f t="shared" ref="K343:K348" si="35">IF(L343=1,H343,0)</f>
        <v>0</v>
      </c>
      <c r="L343" s="378"/>
    </row>
    <row r="344" spans="1:12" hidden="1" outlineLevel="3">
      <c r="A344" s="372"/>
      <c r="B344" s="376" t="s">
        <v>222</v>
      </c>
      <c r="C344" s="376" t="s">
        <v>222</v>
      </c>
      <c r="D344" s="372" t="s">
        <v>25</v>
      </c>
      <c r="E344" s="372" t="s">
        <v>26</v>
      </c>
      <c r="F344" s="422" t="s">
        <v>65</v>
      </c>
      <c r="G344" s="372"/>
      <c r="H344" s="377">
        <v>5.8456730700000001E-2</v>
      </c>
      <c r="I344" s="378">
        <v>1</v>
      </c>
      <c r="J344" s="372"/>
      <c r="K344" s="399">
        <f t="shared" si="35"/>
        <v>0</v>
      </c>
      <c r="L344" s="378"/>
    </row>
    <row r="345" spans="1:12" hidden="1" outlineLevel="3">
      <c r="A345" s="372"/>
      <c r="B345" s="376" t="s">
        <v>222</v>
      </c>
      <c r="C345" s="376" t="s">
        <v>222</v>
      </c>
      <c r="D345" s="372" t="s">
        <v>25</v>
      </c>
      <c r="E345" s="372" t="s">
        <v>26</v>
      </c>
      <c r="F345" s="422" t="s">
        <v>23</v>
      </c>
      <c r="G345" s="372"/>
      <c r="H345" s="377">
        <v>4.8713942250000003E-2</v>
      </c>
      <c r="I345" s="378">
        <v>1</v>
      </c>
      <c r="J345" s="372"/>
      <c r="K345" s="399">
        <f t="shared" si="35"/>
        <v>0</v>
      </c>
      <c r="L345" s="378"/>
    </row>
    <row r="346" spans="1:12" hidden="1" outlineLevel="3">
      <c r="A346" s="372"/>
      <c r="B346" s="376" t="s">
        <v>222</v>
      </c>
      <c r="C346" s="376" t="s">
        <v>222</v>
      </c>
      <c r="D346" s="372" t="s">
        <v>25</v>
      </c>
      <c r="E346" s="372" t="s">
        <v>26</v>
      </c>
      <c r="F346" s="422" t="s">
        <v>178</v>
      </c>
      <c r="G346" s="372"/>
      <c r="H346" s="377">
        <v>2.5989279749999997E-2</v>
      </c>
      <c r="I346" s="378">
        <v>1</v>
      </c>
      <c r="J346" s="372"/>
      <c r="K346" s="399">
        <f t="shared" si="35"/>
        <v>0</v>
      </c>
      <c r="L346" s="378"/>
    </row>
    <row r="347" spans="1:12" hidden="1" outlineLevel="3">
      <c r="A347" s="372"/>
      <c r="B347" s="376" t="s">
        <v>222</v>
      </c>
      <c r="C347" s="376" t="s">
        <v>222</v>
      </c>
      <c r="D347" s="372" t="s">
        <v>25</v>
      </c>
      <c r="E347" s="372" t="s">
        <v>26</v>
      </c>
      <c r="F347" s="422" t="s">
        <v>107</v>
      </c>
      <c r="G347" s="372"/>
      <c r="H347" s="377">
        <v>3.7127542499999998E-3</v>
      </c>
      <c r="I347" s="378">
        <v>1</v>
      </c>
      <c r="J347" s="372"/>
      <c r="K347" s="399">
        <f t="shared" si="35"/>
        <v>0</v>
      </c>
      <c r="L347" s="378"/>
    </row>
    <row r="348" spans="1:12" hidden="1" outlineLevel="3">
      <c r="A348" s="372"/>
      <c r="B348" s="376" t="s">
        <v>222</v>
      </c>
      <c r="C348" s="376" t="s">
        <v>222</v>
      </c>
      <c r="D348" s="372" t="s">
        <v>25</v>
      </c>
      <c r="E348" s="372" t="s">
        <v>26</v>
      </c>
      <c r="F348" s="422" t="s">
        <v>230</v>
      </c>
      <c r="G348" s="372"/>
      <c r="H348" s="377">
        <v>7.4255085000000005E-3</v>
      </c>
      <c r="I348" s="378">
        <v>1</v>
      </c>
      <c r="J348" s="372"/>
      <c r="K348" s="399">
        <f t="shared" si="35"/>
        <v>0</v>
      </c>
      <c r="L348" s="378"/>
    </row>
    <row r="349" spans="1:12" hidden="1" outlineLevel="2">
      <c r="A349" s="372"/>
      <c r="B349" s="380" t="s">
        <v>222</v>
      </c>
      <c r="C349" s="380" t="s">
        <v>222</v>
      </c>
      <c r="D349" s="385" t="s">
        <v>27</v>
      </c>
      <c r="E349" s="385"/>
      <c r="F349" s="424" t="s">
        <v>77</v>
      </c>
      <c r="G349" s="385"/>
      <c r="H349" s="410">
        <f>SUM(H350:H351)</f>
        <v>2.1397857699999998E-2</v>
      </c>
      <c r="I349" s="396">
        <f>SUBTOTAL(9,I350:I351)</f>
        <v>2</v>
      </c>
      <c r="J349" s="385"/>
      <c r="K349" s="410">
        <f>SUM(K350:K351)</f>
        <v>0</v>
      </c>
      <c r="L349" s="396">
        <f>SUBTOTAL(9,L350:L351)</f>
        <v>0</v>
      </c>
    </row>
    <row r="350" spans="1:12" hidden="1" outlineLevel="3">
      <c r="A350" s="372"/>
      <c r="B350" s="376" t="s">
        <v>222</v>
      </c>
      <c r="C350" s="376" t="s">
        <v>222</v>
      </c>
      <c r="D350" s="372" t="s">
        <v>27</v>
      </c>
      <c r="E350" s="372" t="s">
        <v>28</v>
      </c>
      <c r="F350" s="422" t="s">
        <v>231</v>
      </c>
      <c r="G350" s="372"/>
      <c r="H350" s="394">
        <v>2.0842521999999999E-2</v>
      </c>
      <c r="I350" s="378">
        <v>1</v>
      </c>
      <c r="J350" s="372"/>
      <c r="K350" s="399">
        <f t="shared" ref="K350:K351" si="36">IF(L350=1,H350,0)</f>
        <v>0</v>
      </c>
      <c r="L350" s="378"/>
    </row>
    <row r="351" spans="1:12" hidden="1" outlineLevel="3">
      <c r="A351" s="372"/>
      <c r="B351" s="376" t="s">
        <v>222</v>
      </c>
      <c r="C351" s="376" t="s">
        <v>222</v>
      </c>
      <c r="D351" s="372" t="s">
        <v>27</v>
      </c>
      <c r="E351" s="372" t="s">
        <v>28</v>
      </c>
      <c r="F351" s="422" t="s">
        <v>232</v>
      </c>
      <c r="G351" s="372"/>
      <c r="H351" s="394">
        <v>5.5533570000000003E-4</v>
      </c>
      <c r="I351" s="378">
        <v>1</v>
      </c>
      <c r="J351" s="372"/>
      <c r="K351" s="399">
        <f t="shared" si="36"/>
        <v>0</v>
      </c>
      <c r="L351" s="378"/>
    </row>
    <row r="352" spans="1:12" hidden="1" outlineLevel="2">
      <c r="A352" s="372"/>
      <c r="B352" s="380" t="s">
        <v>222</v>
      </c>
      <c r="C352" s="380" t="s">
        <v>222</v>
      </c>
      <c r="D352" s="385" t="s">
        <v>58</v>
      </c>
      <c r="E352" s="385"/>
      <c r="F352" s="424" t="s">
        <v>77</v>
      </c>
      <c r="G352" s="385"/>
      <c r="H352" s="410"/>
      <c r="I352" s="396"/>
      <c r="J352" s="385"/>
      <c r="K352" s="410"/>
      <c r="L352" s="396"/>
    </row>
    <row r="353" spans="1:12" outlineLevel="1" collapsed="1">
      <c r="A353" s="372"/>
      <c r="B353" s="632" t="s">
        <v>233</v>
      </c>
      <c r="C353" s="633" t="s">
        <v>233</v>
      </c>
      <c r="D353" s="633"/>
      <c r="E353" s="632"/>
      <c r="F353" s="634" t="s">
        <v>234</v>
      </c>
      <c r="G353" s="633"/>
      <c r="H353" s="635">
        <f>SUM(H354,H357,H358,H359)</f>
        <v>0.38041780000000003</v>
      </c>
      <c r="I353" s="636">
        <f>I354+I357+I358+I359</f>
        <v>2</v>
      </c>
      <c r="J353" s="633"/>
      <c r="K353" s="635">
        <f>SUM(K354,K357,K358,K359)</f>
        <v>0</v>
      </c>
      <c r="L353" s="636">
        <f>L354+L357+L358+L359</f>
        <v>0</v>
      </c>
    </row>
    <row r="354" spans="1:12" hidden="1" outlineLevel="2">
      <c r="A354" s="372"/>
      <c r="B354" s="385" t="s">
        <v>233</v>
      </c>
      <c r="C354" s="385" t="s">
        <v>233</v>
      </c>
      <c r="D354" s="385" t="s">
        <v>17</v>
      </c>
      <c r="E354" s="380"/>
      <c r="F354" s="424" t="s">
        <v>77</v>
      </c>
      <c r="G354" s="385"/>
      <c r="H354" s="405">
        <f>SUM(H355:H356)</f>
        <v>0.38041780000000003</v>
      </c>
      <c r="I354" s="404">
        <f>SUM(I355:I356)</f>
        <v>2</v>
      </c>
      <c r="J354" s="385"/>
      <c r="K354" s="405">
        <f>SUM(K355:K356)</f>
        <v>0</v>
      </c>
      <c r="L354" s="404">
        <f>SUM(L355:L356)</f>
        <v>0</v>
      </c>
    </row>
    <row r="355" spans="1:12" hidden="1" outlineLevel="3">
      <c r="A355" s="372"/>
      <c r="B355" s="372" t="s">
        <v>233</v>
      </c>
      <c r="C355" s="372" t="s">
        <v>233</v>
      </c>
      <c r="D355" s="372" t="s">
        <v>17</v>
      </c>
      <c r="E355" s="376" t="s">
        <v>177</v>
      </c>
      <c r="F355" s="422" t="s">
        <v>235</v>
      </c>
      <c r="G355" s="372"/>
      <c r="H355" s="399">
        <v>0.15216712000000002</v>
      </c>
      <c r="I355" s="397">
        <v>1</v>
      </c>
      <c r="J355" s="372"/>
      <c r="K355" s="399">
        <f t="shared" ref="K355:K356" si="37">IF(L355=1,H355,0)</f>
        <v>0</v>
      </c>
      <c r="L355" s="397"/>
    </row>
    <row r="356" spans="1:12" hidden="1" outlineLevel="3">
      <c r="A356" s="372"/>
      <c r="B356" s="372" t="s">
        <v>233</v>
      </c>
      <c r="C356" s="372" t="s">
        <v>233</v>
      </c>
      <c r="D356" s="372" t="s">
        <v>17</v>
      </c>
      <c r="E356" s="376" t="s">
        <v>177</v>
      </c>
      <c r="F356" s="422" t="s">
        <v>236</v>
      </c>
      <c r="G356" s="372"/>
      <c r="H356" s="399">
        <v>0.22825067999999998</v>
      </c>
      <c r="I356" s="397">
        <v>1</v>
      </c>
      <c r="J356" s="372"/>
      <c r="K356" s="399">
        <f t="shared" si="37"/>
        <v>0</v>
      </c>
      <c r="L356" s="397"/>
    </row>
    <row r="357" spans="1:12" hidden="1" outlineLevel="2">
      <c r="A357" s="372"/>
      <c r="B357" s="385" t="s">
        <v>233</v>
      </c>
      <c r="C357" s="385" t="s">
        <v>233</v>
      </c>
      <c r="D357" s="385" t="s">
        <v>25</v>
      </c>
      <c r="E357" s="385"/>
      <c r="F357" s="424" t="s">
        <v>77</v>
      </c>
      <c r="G357" s="385"/>
      <c r="H357" s="405"/>
      <c r="I357" s="404"/>
      <c r="J357" s="385"/>
      <c r="K357" s="405"/>
      <c r="L357" s="404"/>
    </row>
    <row r="358" spans="1:12" hidden="1" outlineLevel="2">
      <c r="A358" s="372"/>
      <c r="B358" s="385" t="s">
        <v>233</v>
      </c>
      <c r="C358" s="385" t="s">
        <v>233</v>
      </c>
      <c r="D358" s="385" t="s">
        <v>27</v>
      </c>
      <c r="E358" s="385"/>
      <c r="F358" s="424" t="s">
        <v>77</v>
      </c>
      <c r="G358" s="385"/>
      <c r="H358" s="405"/>
      <c r="I358" s="404"/>
      <c r="J358" s="385"/>
      <c r="K358" s="405"/>
      <c r="L358" s="404"/>
    </row>
    <row r="359" spans="1:12" hidden="1" outlineLevel="2">
      <c r="A359" s="372"/>
      <c r="B359" s="385" t="s">
        <v>233</v>
      </c>
      <c r="C359" s="385" t="s">
        <v>233</v>
      </c>
      <c r="D359" s="385" t="s">
        <v>58</v>
      </c>
      <c r="E359" s="385"/>
      <c r="F359" s="424" t="s">
        <v>77</v>
      </c>
      <c r="G359" s="385"/>
      <c r="H359" s="405"/>
      <c r="I359" s="404"/>
      <c r="J359" s="385"/>
      <c r="K359" s="405"/>
      <c r="L359" s="404"/>
    </row>
    <row r="360" spans="1:12" outlineLevel="1" collapsed="1">
      <c r="A360" s="372"/>
      <c r="B360" s="632" t="s">
        <v>240</v>
      </c>
      <c r="C360" s="632" t="s">
        <v>240</v>
      </c>
      <c r="D360" s="632"/>
      <c r="E360" s="632"/>
      <c r="F360" s="634" t="s">
        <v>234</v>
      </c>
      <c r="G360" s="633"/>
      <c r="H360" s="635">
        <f>SUM(H361,H365,H367,H370)</f>
        <v>0</v>
      </c>
      <c r="I360" s="636">
        <f>I361+I365+I367+I370</f>
        <v>0</v>
      </c>
      <c r="J360" s="633"/>
      <c r="K360" s="635">
        <f>SUM(K361,K365,K367,K370)</f>
        <v>0</v>
      </c>
      <c r="L360" s="636">
        <f>L361+L365+L367+L370</f>
        <v>0</v>
      </c>
    </row>
    <row r="361" spans="1:12" hidden="1" outlineLevel="2">
      <c r="A361" s="372"/>
      <c r="B361" s="380" t="s">
        <v>240</v>
      </c>
      <c r="C361" s="380" t="s">
        <v>240</v>
      </c>
      <c r="D361" s="385" t="s">
        <v>17</v>
      </c>
      <c r="E361" s="380"/>
      <c r="F361" s="424" t="s">
        <v>77</v>
      </c>
      <c r="G361" s="385"/>
      <c r="H361" s="410">
        <v>0</v>
      </c>
      <c r="I361" s="396">
        <f>SUM(I362:I364)</f>
        <v>0</v>
      </c>
      <c r="J361" s="385"/>
      <c r="K361" s="410">
        <v>0</v>
      </c>
      <c r="L361" s="396">
        <f>SUM(L362:L364)</f>
        <v>0</v>
      </c>
    </row>
    <row r="362" spans="1:12" hidden="1" outlineLevel="3">
      <c r="A362" s="372"/>
      <c r="B362" s="376" t="s">
        <v>240</v>
      </c>
      <c r="C362" s="376" t="s">
        <v>240</v>
      </c>
      <c r="D362" s="372" t="s">
        <v>17</v>
      </c>
      <c r="E362" s="376" t="s">
        <v>241</v>
      </c>
      <c r="F362" s="422" t="s">
        <v>235</v>
      </c>
      <c r="G362" s="372"/>
      <c r="H362" s="399">
        <v>0</v>
      </c>
      <c r="I362" s="397">
        <v>0</v>
      </c>
      <c r="J362" s="372"/>
      <c r="K362" s="399">
        <v>0</v>
      </c>
      <c r="L362" s="397">
        <v>0</v>
      </c>
    </row>
    <row r="363" spans="1:12" hidden="1" outlineLevel="3">
      <c r="A363" s="372"/>
      <c r="B363" s="376" t="s">
        <v>240</v>
      </c>
      <c r="C363" s="376" t="s">
        <v>240</v>
      </c>
      <c r="D363" s="372" t="s">
        <v>17</v>
      </c>
      <c r="E363" s="376" t="s">
        <v>241</v>
      </c>
      <c r="F363" s="422" t="s">
        <v>236</v>
      </c>
      <c r="G363" s="372"/>
      <c r="H363" s="399">
        <v>0</v>
      </c>
      <c r="I363" s="397">
        <v>0</v>
      </c>
      <c r="J363" s="372"/>
      <c r="K363" s="399">
        <v>0</v>
      </c>
      <c r="L363" s="397">
        <v>0</v>
      </c>
    </row>
    <row r="364" spans="1:12" hidden="1" outlineLevel="3">
      <c r="A364" s="372"/>
      <c r="B364" s="376" t="s">
        <v>240</v>
      </c>
      <c r="C364" s="376" t="s">
        <v>240</v>
      </c>
      <c r="D364" s="372" t="s">
        <v>17</v>
      </c>
      <c r="E364" s="376" t="s">
        <v>241</v>
      </c>
      <c r="F364" s="422" t="s">
        <v>32</v>
      </c>
      <c r="G364" s="372"/>
      <c r="H364" s="399">
        <v>0</v>
      </c>
      <c r="I364" s="397">
        <v>0</v>
      </c>
      <c r="J364" s="372"/>
      <c r="K364" s="399">
        <v>0</v>
      </c>
      <c r="L364" s="397">
        <v>0</v>
      </c>
    </row>
    <row r="365" spans="1:12" hidden="1" outlineLevel="2">
      <c r="A365" s="372"/>
      <c r="B365" s="380" t="s">
        <v>240</v>
      </c>
      <c r="C365" s="380" t="s">
        <v>240</v>
      </c>
      <c r="D365" s="385" t="s">
        <v>25</v>
      </c>
      <c r="E365" s="385"/>
      <c r="F365" s="424" t="s">
        <v>77</v>
      </c>
      <c r="G365" s="385"/>
      <c r="H365" s="410">
        <v>0</v>
      </c>
      <c r="I365" s="396">
        <f>SUM(I366:I366)</f>
        <v>0</v>
      </c>
      <c r="J365" s="385"/>
      <c r="K365" s="410">
        <v>0</v>
      </c>
      <c r="L365" s="396">
        <f>SUM(L366:L366)</f>
        <v>0</v>
      </c>
    </row>
    <row r="366" spans="1:12" hidden="1" outlineLevel="3">
      <c r="A366" s="372"/>
      <c r="B366" s="376" t="s">
        <v>240</v>
      </c>
      <c r="C366" s="376" t="s">
        <v>240</v>
      </c>
      <c r="D366" s="372" t="s">
        <v>25</v>
      </c>
      <c r="E366" s="372" t="s">
        <v>26</v>
      </c>
      <c r="F366" s="422" t="s">
        <v>236</v>
      </c>
      <c r="G366" s="372"/>
      <c r="H366" s="399">
        <v>0</v>
      </c>
      <c r="I366" s="397">
        <v>0</v>
      </c>
      <c r="J366" s="372"/>
      <c r="K366" s="399">
        <v>0</v>
      </c>
      <c r="L366" s="397">
        <v>0</v>
      </c>
    </row>
    <row r="367" spans="1:12" hidden="1" outlineLevel="2">
      <c r="A367" s="372"/>
      <c r="B367" s="380" t="s">
        <v>240</v>
      </c>
      <c r="C367" s="380" t="s">
        <v>240</v>
      </c>
      <c r="D367" s="385" t="s">
        <v>27</v>
      </c>
      <c r="E367" s="385"/>
      <c r="F367" s="424" t="s">
        <v>77</v>
      </c>
      <c r="G367" s="385"/>
      <c r="H367" s="410">
        <v>0</v>
      </c>
      <c r="I367" s="396">
        <f>SUM(I368:I369)</f>
        <v>0</v>
      </c>
      <c r="J367" s="385"/>
      <c r="K367" s="410">
        <v>0</v>
      </c>
      <c r="L367" s="396">
        <f>SUM(L368:L369)</f>
        <v>0</v>
      </c>
    </row>
    <row r="368" spans="1:12" hidden="1" outlineLevel="3">
      <c r="A368" s="372"/>
      <c r="B368" s="376" t="s">
        <v>240</v>
      </c>
      <c r="C368" s="376" t="s">
        <v>240</v>
      </c>
      <c r="D368" s="372" t="s">
        <v>27</v>
      </c>
      <c r="E368" s="372" t="s">
        <v>28</v>
      </c>
      <c r="F368" s="422" t="s">
        <v>236</v>
      </c>
      <c r="G368" s="372"/>
      <c r="H368" s="399">
        <v>0</v>
      </c>
      <c r="I368" s="397">
        <v>0</v>
      </c>
      <c r="J368" s="372"/>
      <c r="K368" s="399">
        <v>0</v>
      </c>
      <c r="L368" s="397">
        <v>0</v>
      </c>
    </row>
    <row r="369" spans="1:12" hidden="1" outlineLevel="3">
      <c r="A369" s="372"/>
      <c r="B369" s="376" t="s">
        <v>240</v>
      </c>
      <c r="C369" s="376" t="s">
        <v>240</v>
      </c>
      <c r="D369" s="372" t="s">
        <v>27</v>
      </c>
      <c r="E369" s="372" t="s">
        <v>28</v>
      </c>
      <c r="F369" s="422" t="s">
        <v>32</v>
      </c>
      <c r="G369" s="372"/>
      <c r="H369" s="399">
        <v>0</v>
      </c>
      <c r="I369" s="397">
        <v>0</v>
      </c>
      <c r="J369" s="372"/>
      <c r="K369" s="399">
        <v>0</v>
      </c>
      <c r="L369" s="397">
        <v>0</v>
      </c>
    </row>
    <row r="370" spans="1:12" hidden="1" outlineLevel="2">
      <c r="A370" s="372"/>
      <c r="B370" s="380" t="s">
        <v>240</v>
      </c>
      <c r="C370" s="380" t="s">
        <v>240</v>
      </c>
      <c r="D370" s="385" t="s">
        <v>58</v>
      </c>
      <c r="E370" s="385"/>
      <c r="F370" s="424" t="s">
        <v>77</v>
      </c>
      <c r="G370" s="385"/>
      <c r="H370" s="410">
        <v>0</v>
      </c>
      <c r="I370" s="396">
        <f>SUM(I371:I372)</f>
        <v>0</v>
      </c>
      <c r="J370" s="385"/>
      <c r="K370" s="410">
        <v>0</v>
      </c>
      <c r="L370" s="396">
        <f>SUM(L371:L372)</f>
        <v>0</v>
      </c>
    </row>
    <row r="371" spans="1:12" hidden="1" outlineLevel="3">
      <c r="A371" s="372"/>
      <c r="B371" s="376" t="s">
        <v>240</v>
      </c>
      <c r="C371" s="376" t="s">
        <v>240</v>
      </c>
      <c r="D371" s="372" t="s">
        <v>58</v>
      </c>
      <c r="E371" s="372" t="s">
        <v>28</v>
      </c>
      <c r="F371" s="422" t="s">
        <v>236</v>
      </c>
      <c r="G371" s="372"/>
      <c r="H371" s="399">
        <v>0</v>
      </c>
      <c r="I371" s="397">
        <v>0</v>
      </c>
      <c r="J371" s="372"/>
      <c r="K371" s="399">
        <v>0</v>
      </c>
      <c r="L371" s="397">
        <v>0</v>
      </c>
    </row>
    <row r="372" spans="1:12" hidden="1" outlineLevel="3">
      <c r="A372" s="372"/>
      <c r="B372" s="376" t="s">
        <v>240</v>
      </c>
      <c r="C372" s="376" t="s">
        <v>240</v>
      </c>
      <c r="D372" s="372" t="s">
        <v>58</v>
      </c>
      <c r="E372" s="372" t="s">
        <v>28</v>
      </c>
      <c r="F372" s="422" t="s">
        <v>32</v>
      </c>
      <c r="G372" s="372"/>
      <c r="H372" s="399">
        <v>0</v>
      </c>
      <c r="I372" s="397">
        <v>0</v>
      </c>
      <c r="J372" s="372"/>
      <c r="K372" s="399">
        <v>0</v>
      </c>
      <c r="L372" s="397">
        <v>0</v>
      </c>
    </row>
    <row r="373" spans="1:12" outlineLevel="1" collapsed="1">
      <c r="A373" s="372"/>
      <c r="B373" s="632" t="s">
        <v>243</v>
      </c>
      <c r="C373" s="632" t="s">
        <v>243</v>
      </c>
      <c r="D373" s="632"/>
      <c r="E373" s="632"/>
      <c r="F373" s="634" t="s">
        <v>244</v>
      </c>
      <c r="G373" s="633"/>
      <c r="H373" s="637">
        <f>SUM(H374,H378,H380,H383)</f>
        <v>0.69534587499999978</v>
      </c>
      <c r="I373" s="638">
        <f>I374+I378+I380+I383</f>
        <v>8</v>
      </c>
      <c r="J373" s="633"/>
      <c r="K373" s="637">
        <f>SUM(K374,K378,K380,K383)</f>
        <v>0</v>
      </c>
      <c r="L373" s="638">
        <f>L374+L378+L380+L383</f>
        <v>0</v>
      </c>
    </row>
    <row r="374" spans="1:12" hidden="1" outlineLevel="2">
      <c r="A374" s="372"/>
      <c r="B374" s="380" t="s">
        <v>243</v>
      </c>
      <c r="C374" s="380" t="s">
        <v>243</v>
      </c>
      <c r="D374" s="385" t="s">
        <v>17</v>
      </c>
      <c r="E374" s="380"/>
      <c r="F374" s="424" t="s">
        <v>77</v>
      </c>
      <c r="G374" s="385"/>
      <c r="H374" s="405">
        <f>SUM(H375:H377)</f>
        <v>0.54690124999999989</v>
      </c>
      <c r="I374" s="404">
        <f>SUM(I375:I377)</f>
        <v>3</v>
      </c>
      <c r="J374" s="385"/>
      <c r="K374" s="405">
        <f>SUM(K375:K377)</f>
        <v>0</v>
      </c>
      <c r="L374" s="404">
        <f>SUM(L375:L377)</f>
        <v>0</v>
      </c>
    </row>
    <row r="375" spans="1:12" hidden="1" outlineLevel="3">
      <c r="A375" s="372"/>
      <c r="B375" s="376" t="s">
        <v>243</v>
      </c>
      <c r="C375" s="376" t="s">
        <v>243</v>
      </c>
      <c r="D375" s="372" t="s">
        <v>17</v>
      </c>
      <c r="E375" s="376" t="s">
        <v>241</v>
      </c>
      <c r="F375" s="422" t="s">
        <v>235</v>
      </c>
      <c r="G375" s="372"/>
      <c r="H375" s="399">
        <v>0.15625749999999999</v>
      </c>
      <c r="I375" s="397">
        <v>1</v>
      </c>
      <c r="J375" s="372"/>
      <c r="K375" s="399">
        <f t="shared" ref="K375:K377" si="38">IF(L375=1,H375,0)</f>
        <v>0</v>
      </c>
      <c r="L375" s="397"/>
    </row>
    <row r="376" spans="1:12" hidden="1" outlineLevel="3">
      <c r="A376" s="372"/>
      <c r="B376" s="376" t="s">
        <v>243</v>
      </c>
      <c r="C376" s="376" t="s">
        <v>243</v>
      </c>
      <c r="D376" s="372" t="s">
        <v>17</v>
      </c>
      <c r="E376" s="376" t="s">
        <v>241</v>
      </c>
      <c r="F376" s="422" t="s">
        <v>236</v>
      </c>
      <c r="G376" s="372"/>
      <c r="H376" s="399">
        <v>0.23438624999999996</v>
      </c>
      <c r="I376" s="397">
        <v>1</v>
      </c>
      <c r="J376" s="372"/>
      <c r="K376" s="399">
        <f t="shared" si="38"/>
        <v>0</v>
      </c>
      <c r="L376" s="397"/>
    </row>
    <row r="377" spans="1:12" hidden="1" outlineLevel="3">
      <c r="A377" s="372"/>
      <c r="B377" s="376" t="s">
        <v>243</v>
      </c>
      <c r="C377" s="376" t="s">
        <v>243</v>
      </c>
      <c r="D377" s="372" t="s">
        <v>17</v>
      </c>
      <c r="E377" s="376" t="s">
        <v>241</v>
      </c>
      <c r="F377" s="422" t="s">
        <v>32</v>
      </c>
      <c r="G377" s="372"/>
      <c r="H377" s="399">
        <v>0.15625749999999999</v>
      </c>
      <c r="I377" s="397">
        <v>1</v>
      </c>
      <c r="J377" s="372"/>
      <c r="K377" s="399">
        <f t="shared" si="38"/>
        <v>0</v>
      </c>
      <c r="L377" s="397"/>
    </row>
    <row r="378" spans="1:12" hidden="1" outlineLevel="2">
      <c r="A378" s="372"/>
      <c r="B378" s="380" t="s">
        <v>243</v>
      </c>
      <c r="C378" s="380" t="s">
        <v>243</v>
      </c>
      <c r="D378" s="385" t="s">
        <v>25</v>
      </c>
      <c r="E378" s="385"/>
      <c r="F378" s="424" t="s">
        <v>77</v>
      </c>
      <c r="G378" s="385"/>
      <c r="H378" s="405">
        <f>SUM(H379:H379)</f>
        <v>7.1431999999999995E-2</v>
      </c>
      <c r="I378" s="404">
        <f>SUM(I379:I379)</f>
        <v>1</v>
      </c>
      <c r="J378" s="385"/>
      <c r="K378" s="405">
        <f>SUM(K379:K379)</f>
        <v>0</v>
      </c>
      <c r="L378" s="404">
        <f>SUM(L379:L379)</f>
        <v>0</v>
      </c>
    </row>
    <row r="379" spans="1:12" hidden="1" outlineLevel="3">
      <c r="A379" s="372"/>
      <c r="B379" s="376" t="s">
        <v>243</v>
      </c>
      <c r="C379" s="376" t="s">
        <v>243</v>
      </c>
      <c r="D379" s="372" t="s">
        <v>25</v>
      </c>
      <c r="E379" s="376" t="s">
        <v>241</v>
      </c>
      <c r="F379" s="422" t="s">
        <v>236</v>
      </c>
      <c r="G379" s="372"/>
      <c r="H379" s="399">
        <v>7.1431999999999995E-2</v>
      </c>
      <c r="I379" s="397">
        <v>1</v>
      </c>
      <c r="J379" s="372"/>
      <c r="K379" s="399">
        <f>IF(L379=1,H379,0)</f>
        <v>0</v>
      </c>
      <c r="L379" s="397"/>
    </row>
    <row r="380" spans="1:12" hidden="1" outlineLevel="2">
      <c r="A380" s="372"/>
      <c r="B380" s="380" t="s">
        <v>243</v>
      </c>
      <c r="C380" s="380" t="s">
        <v>243</v>
      </c>
      <c r="D380" s="385" t="s">
        <v>27</v>
      </c>
      <c r="E380" s="385"/>
      <c r="F380" s="424" t="s">
        <v>77</v>
      </c>
      <c r="G380" s="385"/>
      <c r="H380" s="405">
        <f>SUM(H381:H382)</f>
        <v>4.0180500000000001E-2</v>
      </c>
      <c r="I380" s="404">
        <f>SUM(I381:I382)</f>
        <v>2</v>
      </c>
      <c r="J380" s="385"/>
      <c r="K380" s="405">
        <f>SUM(K381:K382)</f>
        <v>0</v>
      </c>
      <c r="L380" s="404">
        <f>SUM(L381:L382)</f>
        <v>0</v>
      </c>
    </row>
    <row r="381" spans="1:12" hidden="1" outlineLevel="3">
      <c r="A381" s="372"/>
      <c r="B381" s="376" t="s">
        <v>243</v>
      </c>
      <c r="C381" s="376" t="s">
        <v>243</v>
      </c>
      <c r="D381" s="372" t="s">
        <v>27</v>
      </c>
      <c r="E381" s="376" t="s">
        <v>241</v>
      </c>
      <c r="F381" s="422" t="s">
        <v>236</v>
      </c>
      <c r="G381" s="372"/>
      <c r="H381" s="399">
        <v>2.009025E-2</v>
      </c>
      <c r="I381" s="397">
        <v>1</v>
      </c>
      <c r="J381" s="372"/>
      <c r="K381" s="399">
        <f t="shared" ref="K381:K382" si="39">IF(L381=1,H381,0)</f>
        <v>0</v>
      </c>
      <c r="L381" s="397"/>
    </row>
    <row r="382" spans="1:12" hidden="1" outlineLevel="3">
      <c r="A382" s="372"/>
      <c r="B382" s="376" t="s">
        <v>243</v>
      </c>
      <c r="C382" s="376" t="s">
        <v>243</v>
      </c>
      <c r="D382" s="372" t="s">
        <v>27</v>
      </c>
      <c r="E382" s="376" t="s">
        <v>241</v>
      </c>
      <c r="F382" s="422" t="s">
        <v>32</v>
      </c>
      <c r="G382" s="372"/>
      <c r="H382" s="399">
        <v>2.009025E-2</v>
      </c>
      <c r="I382" s="397">
        <v>1</v>
      </c>
      <c r="J382" s="372"/>
      <c r="K382" s="399">
        <f t="shared" si="39"/>
        <v>0</v>
      </c>
      <c r="L382" s="397"/>
    </row>
    <row r="383" spans="1:12" hidden="1" outlineLevel="2">
      <c r="A383" s="372"/>
      <c r="B383" s="380" t="s">
        <v>243</v>
      </c>
      <c r="C383" s="380" t="s">
        <v>243</v>
      </c>
      <c r="D383" s="385" t="s">
        <v>58</v>
      </c>
      <c r="E383" s="380"/>
      <c r="F383" s="424" t="s">
        <v>77</v>
      </c>
      <c r="G383" s="385"/>
      <c r="H383" s="405">
        <f>SUM(H384:H385)</f>
        <v>3.6832125E-2</v>
      </c>
      <c r="I383" s="404">
        <f>SUM(I384:I385)</f>
        <v>2</v>
      </c>
      <c r="J383" s="385"/>
      <c r="K383" s="405">
        <f>SUM(K384:K385)</f>
        <v>0</v>
      </c>
      <c r="L383" s="404">
        <f>SUM(L384:L385)</f>
        <v>0</v>
      </c>
    </row>
    <row r="384" spans="1:12" hidden="1" outlineLevel="3">
      <c r="A384" s="372"/>
      <c r="B384" s="376" t="s">
        <v>243</v>
      </c>
      <c r="C384" s="376" t="s">
        <v>243</v>
      </c>
      <c r="D384" s="372" t="s">
        <v>58</v>
      </c>
      <c r="E384" s="376" t="s">
        <v>241</v>
      </c>
      <c r="F384" s="422" t="s">
        <v>236</v>
      </c>
      <c r="G384" s="372"/>
      <c r="H384" s="399">
        <v>1.6741875E-2</v>
      </c>
      <c r="I384" s="397">
        <v>1</v>
      </c>
      <c r="J384" s="372"/>
      <c r="K384" s="399">
        <f t="shared" ref="K384:K385" si="40">IF(L384=1,H384,0)</f>
        <v>0</v>
      </c>
      <c r="L384" s="397"/>
    </row>
    <row r="385" spans="1:12" hidden="1" outlineLevel="3">
      <c r="A385" s="372"/>
      <c r="B385" s="376" t="s">
        <v>243</v>
      </c>
      <c r="C385" s="376" t="s">
        <v>243</v>
      </c>
      <c r="D385" s="372" t="s">
        <v>58</v>
      </c>
      <c r="E385" s="376" t="s">
        <v>241</v>
      </c>
      <c r="F385" s="422" t="s">
        <v>32</v>
      </c>
      <c r="G385" s="372"/>
      <c r="H385" s="399">
        <v>2.009025E-2</v>
      </c>
      <c r="I385" s="397">
        <v>1</v>
      </c>
      <c r="J385" s="372"/>
      <c r="K385" s="399">
        <f t="shared" si="40"/>
        <v>0</v>
      </c>
      <c r="L385" s="397"/>
    </row>
    <row r="386" spans="1:12" outlineLevel="1" collapsed="1">
      <c r="A386" s="372"/>
      <c r="B386" s="632" t="s">
        <v>245</v>
      </c>
      <c r="C386" s="632" t="s">
        <v>246</v>
      </c>
      <c r="D386" s="633"/>
      <c r="E386" s="632"/>
      <c r="F386" s="634" t="s">
        <v>247</v>
      </c>
      <c r="G386" s="633"/>
      <c r="H386" s="642">
        <f>SUM(H387,H390,H392,H395)</f>
        <v>0.14100000000000001</v>
      </c>
      <c r="I386" s="636">
        <f>SUM(I387,I390,I392,I395)</f>
        <v>6</v>
      </c>
      <c r="J386" s="633"/>
      <c r="K386" s="642">
        <f>SUM(K387,K390,K392,K395)</f>
        <v>0</v>
      </c>
      <c r="L386" s="636">
        <f>SUM(L387,L390,L392,L395)</f>
        <v>0</v>
      </c>
    </row>
    <row r="387" spans="1:12" hidden="1" outlineLevel="2">
      <c r="A387" s="372"/>
      <c r="B387" s="380" t="s">
        <v>245</v>
      </c>
      <c r="C387" s="380" t="s">
        <v>246</v>
      </c>
      <c r="D387" s="385" t="s">
        <v>17</v>
      </c>
      <c r="E387" s="380"/>
      <c r="F387" s="424" t="s">
        <v>77</v>
      </c>
      <c r="G387" s="385"/>
      <c r="H387" s="410">
        <f>SUM(H388:H389)</f>
        <v>0.10500000000000001</v>
      </c>
      <c r="I387" s="396">
        <f>SUM(I388:I389)</f>
        <v>2</v>
      </c>
      <c r="J387" s="385"/>
      <c r="K387" s="410">
        <f>SUM(K388:K389)</f>
        <v>0</v>
      </c>
      <c r="L387" s="396">
        <f>SUM(L388:L389)</f>
        <v>0</v>
      </c>
    </row>
    <row r="388" spans="1:12" hidden="1" outlineLevel="3">
      <c r="A388" s="372"/>
      <c r="B388" s="376" t="s">
        <v>245</v>
      </c>
      <c r="C388" s="376" t="s">
        <v>246</v>
      </c>
      <c r="D388" s="372" t="s">
        <v>17</v>
      </c>
      <c r="E388" s="376" t="s">
        <v>127</v>
      </c>
      <c r="F388" s="422" t="s">
        <v>236</v>
      </c>
      <c r="G388" s="372"/>
      <c r="H388" s="377">
        <v>6.3E-2</v>
      </c>
      <c r="I388" s="378">
        <v>1</v>
      </c>
      <c r="J388" s="372"/>
      <c r="K388" s="399">
        <f t="shared" ref="K388:K389" si="41">IF(L388=1,H388,0)</f>
        <v>0</v>
      </c>
      <c r="L388" s="378"/>
    </row>
    <row r="389" spans="1:12" hidden="1" outlineLevel="3">
      <c r="A389" s="372"/>
      <c r="B389" s="376" t="s">
        <v>245</v>
      </c>
      <c r="C389" s="376" t="s">
        <v>246</v>
      </c>
      <c r="D389" s="372" t="s">
        <v>17</v>
      </c>
      <c r="E389" s="376" t="s">
        <v>127</v>
      </c>
      <c r="F389" s="422" t="s">
        <v>32</v>
      </c>
      <c r="G389" s="372"/>
      <c r="H389" s="377">
        <v>4.2000000000000003E-2</v>
      </c>
      <c r="I389" s="378">
        <v>1</v>
      </c>
      <c r="J389" s="372"/>
      <c r="K389" s="399">
        <f t="shared" si="41"/>
        <v>0</v>
      </c>
      <c r="L389" s="378"/>
    </row>
    <row r="390" spans="1:12" hidden="1" outlineLevel="2">
      <c r="A390" s="372"/>
      <c r="B390" s="380" t="s">
        <v>245</v>
      </c>
      <c r="C390" s="380" t="s">
        <v>246</v>
      </c>
      <c r="D390" s="385" t="s">
        <v>25</v>
      </c>
      <c r="E390" s="385"/>
      <c r="F390" s="424" t="s">
        <v>77</v>
      </c>
      <c r="G390" s="385"/>
      <c r="H390" s="410">
        <f>SUM(H391:H391)</f>
        <v>1.9200000000000002E-2</v>
      </c>
      <c r="I390" s="396">
        <f>SUM(I391:I391)</f>
        <v>1</v>
      </c>
      <c r="J390" s="385"/>
      <c r="K390" s="410">
        <f>SUM(K391:K391)</f>
        <v>0</v>
      </c>
      <c r="L390" s="396">
        <f>SUM(L391:L391)</f>
        <v>0</v>
      </c>
    </row>
    <row r="391" spans="1:12" hidden="1" outlineLevel="3">
      <c r="A391" s="372"/>
      <c r="B391" s="376" t="s">
        <v>245</v>
      </c>
      <c r="C391" s="376" t="s">
        <v>246</v>
      </c>
      <c r="D391" s="372" t="s">
        <v>25</v>
      </c>
      <c r="E391" s="372" t="s">
        <v>26</v>
      </c>
      <c r="F391" s="422" t="s">
        <v>236</v>
      </c>
      <c r="G391" s="372"/>
      <c r="H391" s="399">
        <v>1.9200000000000002E-2</v>
      </c>
      <c r="I391" s="397">
        <v>1</v>
      </c>
      <c r="J391" s="372"/>
      <c r="K391" s="399">
        <f>IF(L391=1,H391,0)</f>
        <v>0</v>
      </c>
      <c r="L391" s="397"/>
    </row>
    <row r="392" spans="1:12" hidden="1" outlineLevel="2">
      <c r="A392" s="372"/>
      <c r="B392" s="380" t="s">
        <v>245</v>
      </c>
      <c r="C392" s="380" t="s">
        <v>246</v>
      </c>
      <c r="D392" s="385" t="s">
        <v>27</v>
      </c>
      <c r="E392" s="385"/>
      <c r="F392" s="424" t="s">
        <v>77</v>
      </c>
      <c r="G392" s="385"/>
      <c r="H392" s="410">
        <f>SUM(H393:H394)</f>
        <v>1.0800000000000001E-2</v>
      </c>
      <c r="I392" s="396">
        <f>SUM(I393:I394)</f>
        <v>2</v>
      </c>
      <c r="J392" s="385"/>
      <c r="K392" s="410">
        <f>SUM(K393:K394)</f>
        <v>0</v>
      </c>
      <c r="L392" s="396">
        <f>SUM(L393:L394)</f>
        <v>0</v>
      </c>
    </row>
    <row r="393" spans="1:12" hidden="1" outlineLevel="3">
      <c r="A393" s="372"/>
      <c r="B393" s="376" t="s">
        <v>245</v>
      </c>
      <c r="C393" s="376" t="s">
        <v>246</v>
      </c>
      <c r="D393" s="372" t="s">
        <v>27</v>
      </c>
      <c r="E393" s="372" t="s">
        <v>28</v>
      </c>
      <c r="F393" s="422" t="s">
        <v>236</v>
      </c>
      <c r="G393" s="372"/>
      <c r="H393" s="399">
        <v>5.4000000000000003E-3</v>
      </c>
      <c r="I393" s="397">
        <v>1</v>
      </c>
      <c r="J393" s="372"/>
      <c r="K393" s="399">
        <f t="shared" ref="K393:K394" si="42">IF(L393=1,H393,0)</f>
        <v>0</v>
      </c>
      <c r="L393" s="397"/>
    </row>
    <row r="394" spans="1:12" hidden="1" outlineLevel="3">
      <c r="A394" s="372"/>
      <c r="B394" s="376" t="s">
        <v>245</v>
      </c>
      <c r="C394" s="376" t="s">
        <v>246</v>
      </c>
      <c r="D394" s="372" t="s">
        <v>27</v>
      </c>
      <c r="E394" s="372" t="s">
        <v>28</v>
      </c>
      <c r="F394" s="422" t="s">
        <v>32</v>
      </c>
      <c r="G394" s="372"/>
      <c r="H394" s="399">
        <v>5.4000000000000003E-3</v>
      </c>
      <c r="I394" s="397">
        <v>1</v>
      </c>
      <c r="J394" s="372"/>
      <c r="K394" s="399">
        <f t="shared" si="42"/>
        <v>0</v>
      </c>
      <c r="L394" s="397"/>
    </row>
    <row r="395" spans="1:12" hidden="1" outlineLevel="2">
      <c r="A395" s="372"/>
      <c r="B395" s="380" t="s">
        <v>245</v>
      </c>
      <c r="C395" s="380" t="s">
        <v>246</v>
      </c>
      <c r="D395" s="385" t="s">
        <v>58</v>
      </c>
      <c r="E395" s="385"/>
      <c r="F395" s="424" t="s">
        <v>77</v>
      </c>
      <c r="G395" s="385"/>
      <c r="H395" s="410">
        <f>SUM(H396:H396)</f>
        <v>6.0000000000000001E-3</v>
      </c>
      <c r="I395" s="396">
        <f>SUM(I396:I396)</f>
        <v>1</v>
      </c>
      <c r="J395" s="385"/>
      <c r="K395" s="410">
        <f>SUM(K396:K396)</f>
        <v>0</v>
      </c>
      <c r="L395" s="396">
        <f>SUM(L396:L396)</f>
        <v>0</v>
      </c>
    </row>
    <row r="396" spans="1:12" hidden="1" outlineLevel="3">
      <c r="A396" s="372"/>
      <c r="B396" s="376" t="s">
        <v>245</v>
      </c>
      <c r="C396" s="376" t="s">
        <v>246</v>
      </c>
      <c r="D396" s="372" t="s">
        <v>58</v>
      </c>
      <c r="E396" s="372" t="s">
        <v>28</v>
      </c>
      <c r="F396" s="422" t="s">
        <v>236</v>
      </c>
      <c r="G396" s="372"/>
      <c r="H396" s="399">
        <v>6.0000000000000001E-3</v>
      </c>
      <c r="I396" s="397">
        <v>1</v>
      </c>
      <c r="J396" s="372"/>
      <c r="K396" s="399">
        <f>IF(L396=1,H396,0)</f>
        <v>0</v>
      </c>
      <c r="L396" s="397"/>
    </row>
    <row r="397" spans="1:12" outlineLevel="1" collapsed="1">
      <c r="A397" s="372"/>
      <c r="B397" s="632" t="s">
        <v>248</v>
      </c>
      <c r="C397" s="632" t="s">
        <v>249</v>
      </c>
      <c r="D397" s="633"/>
      <c r="E397" s="632"/>
      <c r="F397" s="634" t="s">
        <v>250</v>
      </c>
      <c r="G397" s="633"/>
      <c r="H397" s="642">
        <f>SUM(H398,H403,H407,H413)</f>
        <v>1.2330479999999999</v>
      </c>
      <c r="I397" s="636">
        <f>SUM(I398,I403,I407,I413)</f>
        <v>15</v>
      </c>
      <c r="J397" s="633"/>
      <c r="K397" s="642">
        <f>SUM(K398,K403,K407,K413)</f>
        <v>1.857E-2</v>
      </c>
      <c r="L397" s="636">
        <f>SUM(L398,L403,L407,L413)</f>
        <v>1</v>
      </c>
    </row>
    <row r="398" spans="1:12" hidden="1" outlineLevel="2">
      <c r="A398" s="372"/>
      <c r="B398" s="385" t="s">
        <v>248</v>
      </c>
      <c r="C398" s="380" t="s">
        <v>249</v>
      </c>
      <c r="D398" s="385" t="s">
        <v>17</v>
      </c>
      <c r="E398" s="380"/>
      <c r="F398" s="424" t="s">
        <v>77</v>
      </c>
      <c r="G398" s="385"/>
      <c r="H398" s="410">
        <f>SUM(H399:H402)</f>
        <v>0.77993999999999997</v>
      </c>
      <c r="I398" s="396">
        <f>SUM(I399:I402)</f>
        <v>4</v>
      </c>
      <c r="J398" s="385"/>
      <c r="K398" s="410">
        <f>SUM(K399:K402)</f>
        <v>0</v>
      </c>
      <c r="L398" s="396">
        <f>SUM(L399:L402)</f>
        <v>0</v>
      </c>
    </row>
    <row r="399" spans="1:12" hidden="1" outlineLevel="3">
      <c r="A399" s="372"/>
      <c r="B399" s="372" t="s">
        <v>248</v>
      </c>
      <c r="C399" s="376" t="s">
        <v>249</v>
      </c>
      <c r="D399" s="372" t="s">
        <v>17</v>
      </c>
      <c r="E399" s="376" t="s">
        <v>127</v>
      </c>
      <c r="F399" s="422" t="s">
        <v>237</v>
      </c>
      <c r="G399" s="372"/>
      <c r="H399" s="399">
        <v>0.12999000000000002</v>
      </c>
      <c r="I399" s="378">
        <v>1</v>
      </c>
      <c r="J399" s="372"/>
      <c r="K399" s="399">
        <f t="shared" ref="K399:K402" si="43">IF(L399=1,H399,0)</f>
        <v>0</v>
      </c>
      <c r="L399" s="378"/>
    </row>
    <row r="400" spans="1:12" hidden="1" outlineLevel="3">
      <c r="A400" s="372"/>
      <c r="B400" s="372" t="s">
        <v>248</v>
      </c>
      <c r="C400" s="376" t="s">
        <v>249</v>
      </c>
      <c r="D400" s="372" t="s">
        <v>17</v>
      </c>
      <c r="E400" s="376" t="s">
        <v>127</v>
      </c>
      <c r="F400" s="422" t="s">
        <v>238</v>
      </c>
      <c r="G400" s="372"/>
      <c r="H400" s="377">
        <v>0.25998000000000004</v>
      </c>
      <c r="I400" s="378">
        <v>1</v>
      </c>
      <c r="J400" s="372"/>
      <c r="K400" s="399">
        <f t="shared" si="43"/>
        <v>0</v>
      </c>
      <c r="L400" s="378"/>
    </row>
    <row r="401" spans="1:12" hidden="1" outlineLevel="3">
      <c r="A401" s="372"/>
      <c r="B401" s="372" t="s">
        <v>248</v>
      </c>
      <c r="C401" s="376" t="s">
        <v>249</v>
      </c>
      <c r="D401" s="372" t="s">
        <v>17</v>
      </c>
      <c r="E401" s="376" t="s">
        <v>127</v>
      </c>
      <c r="F401" s="422" t="s">
        <v>242</v>
      </c>
      <c r="G401" s="372"/>
      <c r="H401" s="377">
        <v>0.19498499999999999</v>
      </c>
      <c r="I401" s="378">
        <v>1</v>
      </c>
      <c r="J401" s="372"/>
      <c r="K401" s="399">
        <f t="shared" si="43"/>
        <v>0</v>
      </c>
      <c r="L401" s="378"/>
    </row>
    <row r="402" spans="1:12" hidden="1" outlineLevel="3">
      <c r="A402" s="372"/>
      <c r="B402" s="372" t="s">
        <v>248</v>
      </c>
      <c r="C402" s="376" t="s">
        <v>249</v>
      </c>
      <c r="D402" s="372" t="s">
        <v>17</v>
      </c>
      <c r="E402" s="376" t="s">
        <v>127</v>
      </c>
      <c r="F402" s="422" t="s">
        <v>239</v>
      </c>
      <c r="G402" s="372"/>
      <c r="H402" s="377">
        <v>0.19498499999999999</v>
      </c>
      <c r="I402" s="378">
        <v>1</v>
      </c>
      <c r="J402" s="372"/>
      <c r="K402" s="399">
        <f t="shared" si="43"/>
        <v>0</v>
      </c>
      <c r="L402" s="378"/>
    </row>
    <row r="403" spans="1:12" hidden="1" outlineLevel="2">
      <c r="A403" s="372"/>
      <c r="B403" s="385" t="s">
        <v>248</v>
      </c>
      <c r="C403" s="380" t="s">
        <v>249</v>
      </c>
      <c r="D403" s="385" t="s">
        <v>25</v>
      </c>
      <c r="E403" s="385"/>
      <c r="F403" s="424" t="s">
        <v>77</v>
      </c>
      <c r="G403" s="385"/>
      <c r="H403" s="405">
        <f>SUM(H404:H406)</f>
        <v>0.22284000000000001</v>
      </c>
      <c r="I403" s="404">
        <f>SUM(I404:I406)</f>
        <v>3</v>
      </c>
      <c r="J403" s="385"/>
      <c r="K403" s="405">
        <f>SUM(K404:K406)</f>
        <v>0</v>
      </c>
      <c r="L403" s="404">
        <f>SUM(L404:L406)</f>
        <v>0</v>
      </c>
    </row>
    <row r="404" spans="1:12" hidden="1" outlineLevel="3">
      <c r="A404" s="372"/>
      <c r="B404" s="372" t="s">
        <v>248</v>
      </c>
      <c r="C404" s="376" t="s">
        <v>249</v>
      </c>
      <c r="D404" s="372" t="s">
        <v>25</v>
      </c>
      <c r="E404" s="372" t="s">
        <v>26</v>
      </c>
      <c r="F404" s="422" t="s">
        <v>237</v>
      </c>
      <c r="G404" s="372"/>
      <c r="H404" s="399">
        <v>5.9424000000000005E-2</v>
      </c>
      <c r="I404" s="397">
        <v>1</v>
      </c>
      <c r="J404" s="372"/>
      <c r="K404" s="399">
        <f t="shared" ref="K404:K406" si="44">IF(L404=1,H404,0)</f>
        <v>0</v>
      </c>
      <c r="L404" s="397"/>
    </row>
    <row r="405" spans="1:12" hidden="1" outlineLevel="3">
      <c r="A405" s="372"/>
      <c r="B405" s="372" t="s">
        <v>248</v>
      </c>
      <c r="C405" s="376" t="s">
        <v>249</v>
      </c>
      <c r="D405" s="372" t="s">
        <v>25</v>
      </c>
      <c r="E405" s="372" t="s">
        <v>26</v>
      </c>
      <c r="F405" s="422" t="s">
        <v>238</v>
      </c>
      <c r="G405" s="372"/>
      <c r="H405" s="399">
        <v>0.14856</v>
      </c>
      <c r="I405" s="397">
        <v>1</v>
      </c>
      <c r="J405" s="372"/>
      <c r="K405" s="399">
        <f t="shared" si="44"/>
        <v>0</v>
      </c>
      <c r="L405" s="397"/>
    </row>
    <row r="406" spans="1:12" hidden="1" outlineLevel="3">
      <c r="A406" s="372"/>
      <c r="B406" s="372" t="s">
        <v>248</v>
      </c>
      <c r="C406" s="376" t="s">
        <v>249</v>
      </c>
      <c r="D406" s="372" t="s">
        <v>25</v>
      </c>
      <c r="E406" s="372" t="s">
        <v>26</v>
      </c>
      <c r="F406" s="422" t="s">
        <v>242</v>
      </c>
      <c r="G406" s="372"/>
      <c r="H406" s="399">
        <v>1.4856000000000001E-2</v>
      </c>
      <c r="I406" s="397">
        <v>1</v>
      </c>
      <c r="J406" s="372"/>
      <c r="K406" s="399">
        <f t="shared" si="44"/>
        <v>0</v>
      </c>
      <c r="L406" s="397"/>
    </row>
    <row r="407" spans="1:12" hidden="1" outlineLevel="2">
      <c r="A407" s="372"/>
      <c r="B407" s="385" t="s">
        <v>248</v>
      </c>
      <c r="C407" s="380" t="s">
        <v>249</v>
      </c>
      <c r="D407" s="385" t="s">
        <v>27</v>
      </c>
      <c r="E407" s="385"/>
      <c r="F407" s="424" t="s">
        <v>77</v>
      </c>
      <c r="G407" s="385"/>
      <c r="H407" s="405">
        <f>SUM(H408:H412)</f>
        <v>0.14206050000000001</v>
      </c>
      <c r="I407" s="404">
        <f>SUM(I408:I412)</f>
        <v>5</v>
      </c>
      <c r="J407" s="385"/>
      <c r="K407" s="405">
        <f>SUM(K408:K412)</f>
        <v>0</v>
      </c>
      <c r="L407" s="404">
        <f>SUM(L408:L412)</f>
        <v>0</v>
      </c>
    </row>
    <row r="408" spans="1:12" hidden="1" outlineLevel="3">
      <c r="A408" s="372"/>
      <c r="B408" s="372" t="s">
        <v>248</v>
      </c>
      <c r="C408" s="376" t="s">
        <v>249</v>
      </c>
      <c r="D408" s="372" t="s">
        <v>27</v>
      </c>
      <c r="E408" s="372" t="s">
        <v>28</v>
      </c>
      <c r="F408" s="422" t="s">
        <v>32</v>
      </c>
      <c r="G408" s="372"/>
      <c r="H408" s="399">
        <v>1.6713000000000002E-2</v>
      </c>
      <c r="I408" s="397">
        <v>1</v>
      </c>
      <c r="J408" s="372"/>
      <c r="K408" s="399">
        <f t="shared" ref="K408:K412" si="45">IF(L408=1,H408,0)</f>
        <v>0</v>
      </c>
      <c r="L408" s="397"/>
    </row>
    <row r="409" spans="1:12" hidden="1" outlineLevel="3">
      <c r="A409" s="372"/>
      <c r="B409" s="372" t="s">
        <v>248</v>
      </c>
      <c r="C409" s="376" t="s">
        <v>249</v>
      </c>
      <c r="D409" s="372" t="s">
        <v>27</v>
      </c>
      <c r="E409" s="372" t="s">
        <v>28</v>
      </c>
      <c r="F409" s="422" t="s">
        <v>237</v>
      </c>
      <c r="G409" s="372"/>
      <c r="H409" s="399">
        <v>1.6713000000000002E-2</v>
      </c>
      <c r="I409" s="397">
        <v>1</v>
      </c>
      <c r="J409" s="372"/>
      <c r="K409" s="399">
        <f t="shared" si="45"/>
        <v>0</v>
      </c>
      <c r="L409" s="397"/>
    </row>
    <row r="410" spans="1:12" hidden="1" outlineLevel="3">
      <c r="A410" s="372"/>
      <c r="B410" s="372" t="s">
        <v>248</v>
      </c>
      <c r="C410" s="376" t="s">
        <v>249</v>
      </c>
      <c r="D410" s="372" t="s">
        <v>27</v>
      </c>
      <c r="E410" s="372" t="s">
        <v>28</v>
      </c>
      <c r="F410" s="422" t="s">
        <v>238</v>
      </c>
      <c r="G410" s="372"/>
      <c r="H410" s="399">
        <v>5.8495499999999999E-2</v>
      </c>
      <c r="I410" s="397">
        <v>1</v>
      </c>
      <c r="J410" s="372"/>
      <c r="K410" s="399">
        <f t="shared" si="45"/>
        <v>0</v>
      </c>
      <c r="L410" s="397"/>
    </row>
    <row r="411" spans="1:12" hidden="1" outlineLevel="3">
      <c r="A411" s="372"/>
      <c r="B411" s="372" t="s">
        <v>248</v>
      </c>
      <c r="C411" s="376" t="s">
        <v>249</v>
      </c>
      <c r="D411" s="372" t="s">
        <v>27</v>
      </c>
      <c r="E411" s="372" t="s">
        <v>28</v>
      </c>
      <c r="F411" s="422" t="s">
        <v>242</v>
      </c>
      <c r="G411" s="372"/>
      <c r="H411" s="399">
        <v>2.5069499999999998E-2</v>
      </c>
      <c r="I411" s="397">
        <v>1</v>
      </c>
      <c r="J411" s="372"/>
      <c r="K411" s="399">
        <f t="shared" si="45"/>
        <v>0</v>
      </c>
      <c r="L411" s="397"/>
    </row>
    <row r="412" spans="1:12" hidden="1" outlineLevel="3">
      <c r="A412" s="372"/>
      <c r="B412" s="372" t="s">
        <v>248</v>
      </c>
      <c r="C412" s="376" t="s">
        <v>249</v>
      </c>
      <c r="D412" s="372" t="s">
        <v>27</v>
      </c>
      <c r="E412" s="372" t="s">
        <v>28</v>
      </c>
      <c r="F412" s="422" t="s">
        <v>239</v>
      </c>
      <c r="G412" s="372"/>
      <c r="H412" s="399">
        <v>2.5069499999999998E-2</v>
      </c>
      <c r="I412" s="397">
        <v>1</v>
      </c>
      <c r="J412" s="372"/>
      <c r="K412" s="399">
        <f t="shared" si="45"/>
        <v>0</v>
      </c>
      <c r="L412" s="397"/>
    </row>
    <row r="413" spans="1:12" hidden="1" outlineLevel="2">
      <c r="A413" s="372"/>
      <c r="B413" s="385" t="s">
        <v>248</v>
      </c>
      <c r="C413" s="380" t="s">
        <v>249</v>
      </c>
      <c r="D413" s="385" t="s">
        <v>58</v>
      </c>
      <c r="E413" s="385"/>
      <c r="F413" s="424" t="s">
        <v>77</v>
      </c>
      <c r="G413" s="385"/>
      <c r="H413" s="405">
        <f>SUM(H414:H416)</f>
        <v>8.8207499999999994E-2</v>
      </c>
      <c r="I413" s="404">
        <f>SUM(I414:I416)</f>
        <v>3</v>
      </c>
      <c r="J413" s="385"/>
      <c r="K413" s="405">
        <f>SUM(K414:K416)</f>
        <v>1.857E-2</v>
      </c>
      <c r="L413" s="404">
        <f>SUM(L414:L416)</f>
        <v>1</v>
      </c>
    </row>
    <row r="414" spans="1:12" hidden="1" outlineLevel="3">
      <c r="A414" s="372"/>
      <c r="B414" s="372" t="s">
        <v>248</v>
      </c>
      <c r="C414" s="376" t="s">
        <v>249</v>
      </c>
      <c r="D414" s="372" t="s">
        <v>58</v>
      </c>
      <c r="E414" s="372" t="s">
        <v>28</v>
      </c>
      <c r="F414" s="422" t="s">
        <v>236</v>
      </c>
      <c r="G414" s="372"/>
      <c r="H414" s="399">
        <v>1.857E-2</v>
      </c>
      <c r="I414" s="397">
        <v>1</v>
      </c>
      <c r="J414" s="372"/>
      <c r="K414" s="399">
        <f t="shared" ref="K414:K416" si="46">IF(L414=1,H414,0)</f>
        <v>1.857E-2</v>
      </c>
      <c r="L414" s="397">
        <v>1</v>
      </c>
    </row>
    <row r="415" spans="1:12" hidden="1" outlineLevel="3">
      <c r="A415" s="372"/>
      <c r="B415" s="372" t="s">
        <v>248</v>
      </c>
      <c r="C415" s="376" t="s">
        <v>249</v>
      </c>
      <c r="D415" s="372" t="s">
        <v>58</v>
      </c>
      <c r="E415" s="372" t="s">
        <v>28</v>
      </c>
      <c r="F415" s="422" t="s">
        <v>237</v>
      </c>
      <c r="G415" s="372"/>
      <c r="H415" s="399">
        <v>1.857E-2</v>
      </c>
      <c r="I415" s="397">
        <v>1</v>
      </c>
      <c r="J415" s="372"/>
      <c r="K415" s="399">
        <f t="shared" si="46"/>
        <v>0</v>
      </c>
      <c r="L415" s="397"/>
    </row>
    <row r="416" spans="1:12" hidden="1" outlineLevel="3">
      <c r="A416" s="372"/>
      <c r="B416" s="372" t="s">
        <v>248</v>
      </c>
      <c r="C416" s="376" t="s">
        <v>249</v>
      </c>
      <c r="D416" s="372" t="s">
        <v>58</v>
      </c>
      <c r="E416" s="372" t="s">
        <v>28</v>
      </c>
      <c r="F416" s="422" t="s">
        <v>242</v>
      </c>
      <c r="G416" s="372"/>
      <c r="H416" s="399">
        <v>5.1067500000000002E-2</v>
      </c>
      <c r="I416" s="397">
        <v>1</v>
      </c>
      <c r="J416" s="372"/>
      <c r="K416" s="399">
        <f t="shared" si="46"/>
        <v>0</v>
      </c>
      <c r="L416" s="397"/>
    </row>
    <row r="417" spans="1:12" outlineLevel="1" collapsed="1">
      <c r="A417" s="372"/>
      <c r="B417" s="632" t="s">
        <v>251</v>
      </c>
      <c r="C417" s="632" t="s">
        <v>252</v>
      </c>
      <c r="D417" s="633"/>
      <c r="E417" s="632"/>
      <c r="F417" s="634" t="s">
        <v>16</v>
      </c>
      <c r="G417" s="633"/>
      <c r="H417" s="635">
        <f>SUM(H418+H423)</f>
        <v>4.1130000000000003E-3</v>
      </c>
      <c r="I417" s="636">
        <f>SUM(I418+I423+I426)</f>
        <v>6</v>
      </c>
      <c r="J417" s="633"/>
      <c r="K417" s="635">
        <f>SUM(K418+K423)</f>
        <v>0</v>
      </c>
      <c r="L417" s="636">
        <f>SUM(L418+L423+L426)</f>
        <v>0</v>
      </c>
    </row>
    <row r="418" spans="1:12" hidden="1" outlineLevel="2">
      <c r="A418" s="372"/>
      <c r="B418" s="385" t="s">
        <v>251</v>
      </c>
      <c r="C418" s="380" t="s">
        <v>252</v>
      </c>
      <c r="D418" s="385" t="s">
        <v>17</v>
      </c>
      <c r="E418" s="380"/>
      <c r="F418" s="424" t="s">
        <v>77</v>
      </c>
      <c r="G418" s="385"/>
      <c r="H418" s="410">
        <f>SUM(H419:H422)</f>
        <v>4.0000000000000001E-3</v>
      </c>
      <c r="I418" s="396">
        <f>SUM(I419:I422)</f>
        <v>4</v>
      </c>
      <c r="J418" s="385"/>
      <c r="K418" s="410">
        <f>SUM(K419:K422)</f>
        <v>0</v>
      </c>
      <c r="L418" s="396">
        <f>SUM(L419:L422)</f>
        <v>0</v>
      </c>
    </row>
    <row r="419" spans="1:12" hidden="1" outlineLevel="3">
      <c r="A419" s="372"/>
      <c r="B419" s="372" t="s">
        <v>251</v>
      </c>
      <c r="C419" s="376" t="s">
        <v>252</v>
      </c>
      <c r="D419" s="372" t="s">
        <v>17</v>
      </c>
      <c r="E419" s="376" t="s">
        <v>241</v>
      </c>
      <c r="F419" s="422" t="s">
        <v>253</v>
      </c>
      <c r="G419" s="372"/>
      <c r="H419" s="399">
        <v>2.0999999999999999E-3</v>
      </c>
      <c r="I419" s="378">
        <v>1</v>
      </c>
      <c r="J419" s="372"/>
      <c r="K419" s="399">
        <f t="shared" ref="K419:K422" si="47">IF(L419=1,H419,0)</f>
        <v>0</v>
      </c>
      <c r="L419" s="378"/>
    </row>
    <row r="420" spans="1:12" hidden="1" outlineLevel="3">
      <c r="A420" s="372"/>
      <c r="B420" s="372" t="s">
        <v>251</v>
      </c>
      <c r="C420" s="376" t="s">
        <v>252</v>
      </c>
      <c r="D420" s="372" t="s">
        <v>17</v>
      </c>
      <c r="E420" s="376" t="s">
        <v>241</v>
      </c>
      <c r="F420" s="422" t="s">
        <v>254</v>
      </c>
      <c r="G420" s="372"/>
      <c r="H420" s="399">
        <v>8.7500000000000002E-4</v>
      </c>
      <c r="I420" s="378">
        <v>1</v>
      </c>
      <c r="J420" s="372"/>
      <c r="K420" s="399">
        <f t="shared" si="47"/>
        <v>0</v>
      </c>
      <c r="L420" s="378"/>
    </row>
    <row r="421" spans="1:12" hidden="1" outlineLevel="3">
      <c r="A421" s="372"/>
      <c r="B421" s="372" t="s">
        <v>251</v>
      </c>
      <c r="C421" s="376" t="s">
        <v>252</v>
      </c>
      <c r="D421" s="372" t="s">
        <v>17</v>
      </c>
      <c r="E421" s="376" t="s">
        <v>241</v>
      </c>
      <c r="F421" s="422" t="s">
        <v>255</v>
      </c>
      <c r="G421" s="372"/>
      <c r="H421" s="399">
        <v>5.2499999999999997E-4</v>
      </c>
      <c r="I421" s="378">
        <v>1</v>
      </c>
      <c r="J421" s="372"/>
      <c r="K421" s="399">
        <f t="shared" si="47"/>
        <v>0</v>
      </c>
      <c r="L421" s="378"/>
    </row>
    <row r="422" spans="1:12" hidden="1" outlineLevel="3">
      <c r="A422" s="372"/>
      <c r="B422" s="372" t="s">
        <v>251</v>
      </c>
      <c r="C422" s="376" t="s">
        <v>252</v>
      </c>
      <c r="D422" s="372" t="s">
        <v>17</v>
      </c>
      <c r="E422" s="376" t="s">
        <v>241</v>
      </c>
      <c r="F422" s="422" t="s">
        <v>256</v>
      </c>
      <c r="G422" s="372"/>
      <c r="H422" s="399">
        <v>5.0000000000000001E-4</v>
      </c>
      <c r="I422" s="378">
        <v>1</v>
      </c>
      <c r="J422" s="372"/>
      <c r="K422" s="399">
        <f t="shared" si="47"/>
        <v>0</v>
      </c>
      <c r="L422" s="378"/>
    </row>
    <row r="423" spans="1:12" hidden="1" outlineLevel="2">
      <c r="A423" s="372"/>
      <c r="B423" s="385" t="s">
        <v>251</v>
      </c>
      <c r="C423" s="380" t="s">
        <v>252</v>
      </c>
      <c r="D423" s="385" t="s">
        <v>58</v>
      </c>
      <c r="E423" s="385"/>
      <c r="F423" s="424" t="s">
        <v>77</v>
      </c>
      <c r="G423" s="385"/>
      <c r="H423" s="410">
        <f>SUM(H424:H424)</f>
        <v>1.13E-4</v>
      </c>
      <c r="I423" s="396">
        <f>SUM(I424:I424)</f>
        <v>1</v>
      </c>
      <c r="J423" s="385"/>
      <c r="K423" s="410">
        <f>SUM(K424:K424)</f>
        <v>0</v>
      </c>
      <c r="L423" s="396">
        <f>SUM(L424:L424)</f>
        <v>0</v>
      </c>
    </row>
    <row r="424" spans="1:12" hidden="1" outlineLevel="3">
      <c r="A424" s="372"/>
      <c r="B424" s="372" t="s">
        <v>251</v>
      </c>
      <c r="C424" s="376" t="s">
        <v>252</v>
      </c>
      <c r="D424" s="372" t="s">
        <v>58</v>
      </c>
      <c r="E424" s="372" t="s">
        <v>28</v>
      </c>
      <c r="F424" s="422" t="s">
        <v>257</v>
      </c>
      <c r="G424" s="372"/>
      <c r="H424" s="399">
        <v>1.13E-4</v>
      </c>
      <c r="I424" s="378">
        <v>1</v>
      </c>
      <c r="J424" s="372"/>
      <c r="K424" s="399">
        <f>IF(L424=1,H424,0)</f>
        <v>0</v>
      </c>
      <c r="L424" s="378"/>
    </row>
    <row r="425" spans="1:12" hidden="1" outlineLevel="3">
      <c r="A425" s="372"/>
      <c r="B425" s="372"/>
      <c r="C425" s="376"/>
      <c r="D425" s="372"/>
      <c r="E425" s="372"/>
      <c r="F425" s="422" t="s">
        <v>1837</v>
      </c>
      <c r="G425" s="372"/>
      <c r="H425" s="399"/>
      <c r="I425" s="378"/>
      <c r="J425" s="372"/>
      <c r="K425" s="399"/>
      <c r="L425" s="378"/>
    </row>
    <row r="426" spans="1:12" hidden="1" outlineLevel="2">
      <c r="A426" s="372"/>
      <c r="B426" s="385" t="s">
        <v>251</v>
      </c>
      <c r="C426" s="380" t="s">
        <v>252</v>
      </c>
      <c r="D426" s="385" t="s">
        <v>25</v>
      </c>
      <c r="E426" s="380"/>
      <c r="F426" s="424" t="s">
        <v>77</v>
      </c>
      <c r="G426" s="385"/>
      <c r="H426" s="410">
        <f>SUM(H427:H427)</f>
        <v>8.0000000000000004E-4</v>
      </c>
      <c r="I426" s="396">
        <f>SUM(I427:I427)</f>
        <v>1</v>
      </c>
      <c r="J426" s="385"/>
      <c r="K426" s="410">
        <f>SUM(K427:K427)</f>
        <v>0</v>
      </c>
      <c r="L426" s="396">
        <f>SUM(L427:L427)</f>
        <v>0</v>
      </c>
    </row>
    <row r="427" spans="1:12" hidden="1" outlineLevel="3">
      <c r="A427" s="372"/>
      <c r="B427" s="372" t="s">
        <v>251</v>
      </c>
      <c r="C427" s="376" t="s">
        <v>252</v>
      </c>
      <c r="D427" s="372" t="s">
        <v>25</v>
      </c>
      <c r="E427" s="376" t="s">
        <v>26</v>
      </c>
      <c r="F427" s="422" t="s">
        <v>256</v>
      </c>
      <c r="G427" s="372"/>
      <c r="H427" s="399">
        <v>8.0000000000000004E-4</v>
      </c>
      <c r="I427" s="378">
        <v>1</v>
      </c>
      <c r="J427" s="372"/>
      <c r="K427" s="399">
        <f>IF(L427=1,H427,0)</f>
        <v>0</v>
      </c>
      <c r="L427" s="378"/>
    </row>
    <row r="428" spans="1:12" hidden="1" outlineLevel="3">
      <c r="A428" s="372"/>
      <c r="B428" s="372"/>
      <c r="C428" s="376"/>
      <c r="D428" s="372"/>
      <c r="E428" s="376"/>
      <c r="F428" s="422" t="s">
        <v>1838</v>
      </c>
      <c r="G428" s="372"/>
      <c r="H428" s="399"/>
      <c r="I428" s="378"/>
      <c r="J428" s="372"/>
      <c r="K428" s="399"/>
      <c r="L428" s="378"/>
    </row>
    <row r="429" spans="1:12" outlineLevel="1" collapsed="1">
      <c r="A429" s="372"/>
      <c r="B429" s="632" t="s">
        <v>258</v>
      </c>
      <c r="C429" s="632" t="s">
        <v>259</v>
      </c>
      <c r="D429" s="633"/>
      <c r="E429" s="632"/>
      <c r="F429" s="634" t="s">
        <v>223</v>
      </c>
      <c r="G429" s="633"/>
      <c r="H429" s="637">
        <f>SUM(H430,H433,H434,H435)</f>
        <v>0.43996002400000001</v>
      </c>
      <c r="I429" s="636">
        <f>I430+I433+I434+I435</f>
        <v>2</v>
      </c>
      <c r="J429" s="633"/>
      <c r="K429" s="637">
        <f>SUM(K430,K433,K434,K435)</f>
        <v>0</v>
      </c>
      <c r="L429" s="636">
        <f>L430+L433+L434+L435</f>
        <v>0</v>
      </c>
    </row>
    <row r="430" spans="1:12" hidden="1" outlineLevel="2">
      <c r="A430" s="372"/>
      <c r="B430" s="380" t="s">
        <v>258</v>
      </c>
      <c r="C430" s="380" t="s">
        <v>259</v>
      </c>
      <c r="D430" s="385" t="s">
        <v>17</v>
      </c>
      <c r="E430" s="380"/>
      <c r="F430" s="424" t="s">
        <v>77</v>
      </c>
      <c r="G430" s="385"/>
      <c r="H430" s="405">
        <f>SUM(H431:H432)</f>
        <v>0.43996002400000001</v>
      </c>
      <c r="I430" s="404">
        <f>SUM(I431:I432)</f>
        <v>2</v>
      </c>
      <c r="J430" s="385"/>
      <c r="K430" s="405">
        <f>SUM(K431:K432)</f>
        <v>0</v>
      </c>
      <c r="L430" s="404">
        <f>SUM(L431:L432)</f>
        <v>0</v>
      </c>
    </row>
    <row r="431" spans="1:12" hidden="1" outlineLevel="3">
      <c r="A431" s="372"/>
      <c r="B431" s="376" t="s">
        <v>258</v>
      </c>
      <c r="C431" s="376" t="s">
        <v>259</v>
      </c>
      <c r="D431" s="372" t="s">
        <v>17</v>
      </c>
      <c r="E431" s="376" t="s">
        <v>127</v>
      </c>
      <c r="F431" s="422" t="s">
        <v>235</v>
      </c>
      <c r="G431" s="372"/>
      <c r="H431" s="399">
        <v>0.17598400959999999</v>
      </c>
      <c r="I431" s="397">
        <v>1</v>
      </c>
      <c r="J431" s="372"/>
      <c r="K431" s="399">
        <f t="shared" ref="K431:K432" si="48">IF(L431=1,H431,0)</f>
        <v>0</v>
      </c>
      <c r="L431" s="397"/>
    </row>
    <row r="432" spans="1:12" hidden="1" outlineLevel="3">
      <c r="A432" s="372"/>
      <c r="B432" s="376" t="s">
        <v>258</v>
      </c>
      <c r="C432" s="376" t="s">
        <v>259</v>
      </c>
      <c r="D432" s="372" t="s">
        <v>17</v>
      </c>
      <c r="E432" s="376" t="s">
        <v>127</v>
      </c>
      <c r="F432" s="422" t="s">
        <v>236</v>
      </c>
      <c r="G432" s="372"/>
      <c r="H432" s="399">
        <v>0.26397601440000001</v>
      </c>
      <c r="I432" s="397">
        <v>1</v>
      </c>
      <c r="J432" s="372"/>
      <c r="K432" s="399">
        <f t="shared" si="48"/>
        <v>0</v>
      </c>
      <c r="L432" s="397"/>
    </row>
    <row r="433" spans="1:13" hidden="1" outlineLevel="2">
      <c r="A433" s="372"/>
      <c r="B433" s="380" t="s">
        <v>258</v>
      </c>
      <c r="C433" s="380" t="s">
        <v>259</v>
      </c>
      <c r="D433" s="385" t="s">
        <v>25</v>
      </c>
      <c r="E433" s="385"/>
      <c r="F433" s="424" t="s">
        <v>77</v>
      </c>
      <c r="G433" s="385"/>
      <c r="H433" s="405"/>
      <c r="I433" s="404"/>
      <c r="J433" s="385"/>
      <c r="K433" s="405"/>
      <c r="L433" s="404"/>
      <c r="M433" s="372"/>
    </row>
    <row r="434" spans="1:13" hidden="1" outlineLevel="2">
      <c r="A434" s="372"/>
      <c r="B434" s="380" t="s">
        <v>258</v>
      </c>
      <c r="C434" s="380" t="s">
        <v>259</v>
      </c>
      <c r="D434" s="385" t="s">
        <v>27</v>
      </c>
      <c r="E434" s="385"/>
      <c r="F434" s="424" t="s">
        <v>77</v>
      </c>
      <c r="G434" s="385"/>
      <c r="H434" s="405"/>
      <c r="I434" s="404"/>
      <c r="J434" s="385"/>
      <c r="K434" s="405"/>
      <c r="L434" s="404"/>
      <c r="M434" s="372"/>
    </row>
    <row r="435" spans="1:13" hidden="1" outlineLevel="2">
      <c r="A435" s="372"/>
      <c r="B435" s="380" t="s">
        <v>258</v>
      </c>
      <c r="C435" s="380" t="s">
        <v>259</v>
      </c>
      <c r="D435" s="385" t="s">
        <v>58</v>
      </c>
      <c r="E435" s="385"/>
      <c r="F435" s="424" t="s">
        <v>77</v>
      </c>
      <c r="G435" s="385"/>
      <c r="H435" s="405"/>
      <c r="I435" s="404"/>
      <c r="J435" s="385"/>
      <c r="K435" s="405"/>
      <c r="L435" s="404"/>
      <c r="M435" s="372"/>
    </row>
    <row r="436" spans="1:13" outlineLevel="1" collapsed="1">
      <c r="A436" s="372"/>
      <c r="B436" s="647" t="s">
        <v>260</v>
      </c>
      <c r="C436" s="639" t="s">
        <v>261</v>
      </c>
      <c r="D436" s="639"/>
      <c r="E436" s="639"/>
      <c r="F436" s="634" t="s">
        <v>262</v>
      </c>
      <c r="G436" s="633"/>
      <c r="H436" s="646">
        <f>SUM(H437:H440)</f>
        <v>0</v>
      </c>
      <c r="I436" s="645">
        <f>SUM(I437:I441)</f>
        <v>11</v>
      </c>
      <c r="J436" s="633"/>
      <c r="K436" s="646">
        <f>SUM(K437:K440)</f>
        <v>0</v>
      </c>
      <c r="L436" s="645">
        <f>SUM(L437:L441)</f>
        <v>0</v>
      </c>
      <c r="M436" s="372"/>
    </row>
    <row r="437" spans="1:13" hidden="1" outlineLevel="2">
      <c r="A437" s="372"/>
      <c r="B437" s="385" t="s">
        <v>173</v>
      </c>
      <c r="C437" s="386" t="s">
        <v>261</v>
      </c>
      <c r="D437" s="385" t="s">
        <v>17</v>
      </c>
      <c r="E437" s="385" t="s">
        <v>263</v>
      </c>
      <c r="F437" s="426" t="s">
        <v>1839</v>
      </c>
      <c r="G437" s="385"/>
      <c r="H437" s="410"/>
      <c r="I437" s="396">
        <v>3</v>
      </c>
      <c r="J437" s="385"/>
      <c r="K437" s="410"/>
      <c r="L437" s="396"/>
      <c r="M437" s="372"/>
    </row>
    <row r="438" spans="1:13" hidden="1" outlineLevel="2">
      <c r="A438" s="372"/>
      <c r="B438" s="385" t="s">
        <v>265</v>
      </c>
      <c r="C438" s="386" t="s">
        <v>261</v>
      </c>
      <c r="D438" s="385" t="s">
        <v>17</v>
      </c>
      <c r="E438" s="385" t="s">
        <v>263</v>
      </c>
      <c r="F438" s="424" t="s">
        <v>1840</v>
      </c>
      <c r="G438" s="385"/>
      <c r="H438" s="410"/>
      <c r="I438" s="396">
        <v>3</v>
      </c>
      <c r="J438" s="385"/>
      <c r="K438" s="410"/>
      <c r="L438" s="396"/>
      <c r="M438" s="372"/>
    </row>
    <row r="439" spans="1:13" hidden="1" outlineLevel="2">
      <c r="A439" s="372"/>
      <c r="B439" s="385" t="s">
        <v>267</v>
      </c>
      <c r="C439" s="386" t="s">
        <v>261</v>
      </c>
      <c r="D439" s="385" t="s">
        <v>17</v>
      </c>
      <c r="E439" s="385" t="s">
        <v>263</v>
      </c>
      <c r="F439" s="424" t="s">
        <v>1841</v>
      </c>
      <c r="G439" s="385"/>
      <c r="H439" s="410"/>
      <c r="I439" s="396">
        <v>2</v>
      </c>
      <c r="J439" s="385"/>
      <c r="K439" s="410"/>
      <c r="L439" s="396"/>
      <c r="M439" s="372"/>
    </row>
    <row r="440" spans="1:13" hidden="1" outlineLevel="2">
      <c r="A440" s="372"/>
      <c r="B440" s="385" t="s">
        <v>269</v>
      </c>
      <c r="C440" s="386" t="s">
        <v>261</v>
      </c>
      <c r="D440" s="385" t="s">
        <v>17</v>
      </c>
      <c r="E440" s="385" t="s">
        <v>263</v>
      </c>
      <c r="F440" s="424" t="s">
        <v>1842</v>
      </c>
      <c r="G440" s="385"/>
      <c r="H440" s="410"/>
      <c r="I440" s="396">
        <v>1</v>
      </c>
      <c r="J440" s="385"/>
      <c r="K440" s="405"/>
      <c r="L440" s="396"/>
      <c r="M440" s="372"/>
    </row>
    <row r="441" spans="1:13" hidden="1" outlineLevel="2">
      <c r="A441" s="372"/>
      <c r="B441" s="385" t="s">
        <v>271</v>
      </c>
      <c r="C441" s="386" t="s">
        <v>261</v>
      </c>
      <c r="D441" s="385" t="s">
        <v>17</v>
      </c>
      <c r="E441" s="385" t="s">
        <v>263</v>
      </c>
      <c r="F441" s="424" t="s">
        <v>1843</v>
      </c>
      <c r="G441" s="385"/>
      <c r="H441" s="410"/>
      <c r="I441" s="396">
        <v>2</v>
      </c>
      <c r="J441" s="385"/>
      <c r="K441" s="410"/>
      <c r="L441" s="396"/>
      <c r="M441" s="372"/>
    </row>
    <row r="442" spans="1:13" outlineLevel="1" collapsed="1">
      <c r="A442" s="372"/>
      <c r="B442" s="648" t="s">
        <v>274</v>
      </c>
      <c r="C442" s="633" t="s">
        <v>275</v>
      </c>
      <c r="D442" s="633"/>
      <c r="E442" s="633"/>
      <c r="F442" s="634"/>
      <c r="G442" s="633"/>
      <c r="H442" s="635">
        <f>SUM(H443:H443)</f>
        <v>0.4</v>
      </c>
      <c r="I442" s="636">
        <f>SUM(I443)</f>
        <v>1</v>
      </c>
      <c r="J442" s="633"/>
      <c r="K442" s="635">
        <f>SUM(K443:K443)</f>
        <v>0</v>
      </c>
      <c r="L442" s="636">
        <f>SUM(L443)</f>
        <v>0</v>
      </c>
      <c r="M442" s="372"/>
    </row>
    <row r="443" spans="1:13" hidden="1" outlineLevel="2">
      <c r="A443" s="372"/>
      <c r="B443" s="385" t="s">
        <v>91</v>
      </c>
      <c r="C443" s="385" t="s">
        <v>92</v>
      </c>
      <c r="D443" s="385" t="s">
        <v>25</v>
      </c>
      <c r="E443" s="385" t="s">
        <v>26</v>
      </c>
      <c r="F443" s="424" t="s">
        <v>276</v>
      </c>
      <c r="G443" s="385"/>
      <c r="H443" s="410">
        <v>0.4</v>
      </c>
      <c r="I443" s="396">
        <v>1</v>
      </c>
      <c r="J443" s="385"/>
      <c r="K443" s="405">
        <f>IF(L443=1,H443,0)</f>
        <v>0</v>
      </c>
      <c r="L443" s="396"/>
      <c r="M443" s="372"/>
    </row>
    <row r="444" spans="1:13" ht="3" customHeight="1" outlineLevel="1">
      <c r="A444" s="372"/>
      <c r="B444" s="393"/>
      <c r="C444" s="372"/>
      <c r="D444" s="393"/>
      <c r="E444" s="393"/>
      <c r="F444" s="422"/>
      <c r="G444" s="372"/>
      <c r="H444" s="377"/>
      <c r="I444" s="378"/>
      <c r="J444" s="372"/>
      <c r="K444" s="377"/>
      <c r="L444" s="384"/>
      <c r="M444" s="372"/>
    </row>
    <row r="445" spans="1:13" ht="15">
      <c r="A445" s="372"/>
      <c r="B445" s="430" t="s">
        <v>280</v>
      </c>
      <c r="C445" s="431"/>
      <c r="D445" s="430"/>
      <c r="E445" s="430"/>
      <c r="F445" s="432"/>
      <c r="G445" s="372"/>
      <c r="H445" s="461">
        <f>SUM(H447,H462,H475,H490,H508,H519,H672,H530,H557,H575,H590,H617,H623,H629,H634,H647,H659)</f>
        <v>77.146601495601089</v>
      </c>
      <c r="I445" s="459">
        <f>SUM(I447,I462,I475,I490,I508,I519,I672,I530,I557,I575,I590,I617,I623,I629,I634,I647,I659)</f>
        <v>150</v>
      </c>
      <c r="J445" s="372"/>
      <c r="K445" s="461">
        <f>SUM(K447,K462,K475,K490,K508,K519,K672,K530,K557,K575,K590,K617,K623,K629,K634,K647,K659)</f>
        <v>2.6038746026479003</v>
      </c>
      <c r="L445" s="459">
        <f>SUM(L447,L462,L475,L490,L508,L519,L672,L530,L557,L575,L590,L617,L623,L629,L634,L647,L659)</f>
        <v>8</v>
      </c>
      <c r="M445" s="372"/>
    </row>
    <row r="446" spans="1:13" ht="3" customHeight="1" outlineLevel="1">
      <c r="A446" s="372"/>
      <c r="B446" s="376"/>
      <c r="C446" s="372"/>
      <c r="D446" s="376"/>
      <c r="E446" s="376"/>
      <c r="F446" s="422"/>
      <c r="G446" s="372"/>
      <c r="H446" s="399"/>
      <c r="I446" s="397"/>
      <c r="J446" s="372"/>
      <c r="K446" s="399"/>
      <c r="L446" s="397"/>
      <c r="M446" s="372"/>
    </row>
    <row r="447" spans="1:13" outlineLevel="1" collapsed="1">
      <c r="A447" s="372"/>
      <c r="B447" s="632" t="s">
        <v>281</v>
      </c>
      <c r="C447" s="633" t="s">
        <v>70</v>
      </c>
      <c r="D447" s="632"/>
      <c r="E447" s="632"/>
      <c r="F447" s="634" t="s">
        <v>282</v>
      </c>
      <c r="G447" s="633"/>
      <c r="H447" s="637">
        <f>SUM(H448,H454,H456,H459)</f>
        <v>1.6885800000000002</v>
      </c>
      <c r="I447" s="636">
        <f>SUM(I448,I454,I456,I459)</f>
        <v>10</v>
      </c>
      <c r="J447" s="633"/>
      <c r="K447" s="637">
        <f>SUM(K448,K454,K456,K459)</f>
        <v>0</v>
      </c>
      <c r="L447" s="636">
        <f>SUM(L448,L454,L456,L459)</f>
        <v>0</v>
      </c>
      <c r="M447" s="372"/>
    </row>
    <row r="448" spans="1:13" hidden="1" outlineLevel="2">
      <c r="A448" s="372"/>
      <c r="B448" s="380" t="s">
        <v>281</v>
      </c>
      <c r="C448" s="385" t="s">
        <v>70</v>
      </c>
      <c r="D448" s="385" t="s">
        <v>17</v>
      </c>
      <c r="E448" s="380"/>
      <c r="F448" s="424" t="s">
        <v>283</v>
      </c>
      <c r="G448" s="385"/>
      <c r="H448" s="405">
        <f>SUM(H449:H453)</f>
        <v>1.35</v>
      </c>
      <c r="I448" s="396">
        <f>SUM(I449:I453)</f>
        <v>5</v>
      </c>
      <c r="J448" s="385"/>
      <c r="K448" s="405">
        <f>SUM(K449:K453)</f>
        <v>0</v>
      </c>
      <c r="L448" s="396">
        <f>SUM(L449:L453)</f>
        <v>0</v>
      </c>
      <c r="M448" s="372"/>
    </row>
    <row r="449" spans="1:13" hidden="1" outlineLevel="3">
      <c r="A449" s="372"/>
      <c r="B449" s="376" t="s">
        <v>281</v>
      </c>
      <c r="C449" s="372" t="s">
        <v>70</v>
      </c>
      <c r="D449" s="372" t="s">
        <v>17</v>
      </c>
      <c r="E449" s="376" t="s">
        <v>127</v>
      </c>
      <c r="F449" s="422" t="s">
        <v>284</v>
      </c>
      <c r="G449" s="372"/>
      <c r="H449" s="377">
        <v>0.54</v>
      </c>
      <c r="I449" s="378">
        <v>1</v>
      </c>
      <c r="J449" s="372"/>
      <c r="K449" s="399">
        <f t="shared" ref="K449:K453" si="49">IF(L449=1,H449,0)</f>
        <v>0</v>
      </c>
      <c r="L449" s="378"/>
      <c r="M449" s="372"/>
    </row>
    <row r="450" spans="1:13" hidden="1" outlineLevel="3">
      <c r="A450" s="372"/>
      <c r="B450" s="376" t="s">
        <v>281</v>
      </c>
      <c r="C450" s="372" t="s">
        <v>70</v>
      </c>
      <c r="D450" s="372" t="s">
        <v>17</v>
      </c>
      <c r="E450" s="376" t="s">
        <v>127</v>
      </c>
      <c r="F450" s="422" t="s">
        <v>31</v>
      </c>
      <c r="G450" s="372"/>
      <c r="H450" s="377">
        <v>0.43</v>
      </c>
      <c r="I450" s="378">
        <v>1</v>
      </c>
      <c r="J450" s="372"/>
      <c r="K450" s="399">
        <f t="shared" si="49"/>
        <v>0</v>
      </c>
      <c r="L450" s="378"/>
      <c r="M450" s="372"/>
    </row>
    <row r="451" spans="1:13" hidden="1" outlineLevel="3">
      <c r="A451" s="372"/>
      <c r="B451" s="376" t="s">
        <v>281</v>
      </c>
      <c r="C451" s="372" t="s">
        <v>70</v>
      </c>
      <c r="D451" s="372" t="s">
        <v>17</v>
      </c>
      <c r="E451" s="376" t="s">
        <v>127</v>
      </c>
      <c r="F451" s="422" t="s">
        <v>32</v>
      </c>
      <c r="G451" s="372"/>
      <c r="H451" s="377">
        <v>0.21</v>
      </c>
      <c r="I451" s="378">
        <v>1</v>
      </c>
      <c r="J451" s="372"/>
      <c r="K451" s="399">
        <f t="shared" si="49"/>
        <v>0</v>
      </c>
      <c r="L451" s="378"/>
      <c r="M451" s="372"/>
    </row>
    <row r="452" spans="1:13" hidden="1" outlineLevel="3">
      <c r="A452" s="372"/>
      <c r="B452" s="376" t="s">
        <v>281</v>
      </c>
      <c r="C452" s="372" t="s">
        <v>70</v>
      </c>
      <c r="D452" s="372" t="s">
        <v>17</v>
      </c>
      <c r="E452" s="376" t="s">
        <v>177</v>
      </c>
      <c r="F452" s="422" t="s">
        <v>286</v>
      </c>
      <c r="G452" s="372"/>
      <c r="H452" s="399">
        <v>0.11</v>
      </c>
      <c r="I452" s="397">
        <v>1</v>
      </c>
      <c r="J452" s="372"/>
      <c r="K452" s="399">
        <f t="shared" si="49"/>
        <v>0</v>
      </c>
      <c r="L452" s="397"/>
      <c r="M452" s="372"/>
    </row>
    <row r="453" spans="1:13" hidden="1" outlineLevel="3">
      <c r="A453" s="372"/>
      <c r="B453" s="376" t="s">
        <v>281</v>
      </c>
      <c r="C453" s="372" t="s">
        <v>70</v>
      </c>
      <c r="D453" s="372" t="s">
        <v>17</v>
      </c>
      <c r="E453" s="376" t="s">
        <v>177</v>
      </c>
      <c r="F453" s="422" t="s">
        <v>287</v>
      </c>
      <c r="G453" s="372"/>
      <c r="H453" s="399">
        <v>0.06</v>
      </c>
      <c r="I453" s="397">
        <v>1</v>
      </c>
      <c r="J453" s="372"/>
      <c r="K453" s="399">
        <f t="shared" si="49"/>
        <v>0</v>
      </c>
      <c r="L453" s="397"/>
      <c r="M453" s="372"/>
    </row>
    <row r="454" spans="1:13" hidden="1" outlineLevel="2">
      <c r="A454" s="372"/>
      <c r="B454" s="380" t="s">
        <v>281</v>
      </c>
      <c r="C454" s="385" t="s">
        <v>70</v>
      </c>
      <c r="D454" s="385" t="s">
        <v>25</v>
      </c>
      <c r="E454" s="385"/>
      <c r="F454" s="424" t="s">
        <v>283</v>
      </c>
      <c r="G454" s="385"/>
      <c r="H454" s="405">
        <f>SUM(H455:H455)</f>
        <v>0.17172000000000001</v>
      </c>
      <c r="I454" s="396">
        <f>SUM(I455:I455)</f>
        <v>1</v>
      </c>
      <c r="J454" s="385"/>
      <c r="K454" s="405">
        <f>SUM(K455:K455)</f>
        <v>0</v>
      </c>
      <c r="L454" s="396">
        <f>SUM(L455:L455)</f>
        <v>0</v>
      </c>
      <c r="M454" s="372"/>
    </row>
    <row r="455" spans="1:13" hidden="1" outlineLevel="4">
      <c r="A455" s="372"/>
      <c r="B455" s="376" t="s">
        <v>281</v>
      </c>
      <c r="C455" s="372" t="s">
        <v>70</v>
      </c>
      <c r="D455" s="372" t="s">
        <v>25</v>
      </c>
      <c r="E455" s="372" t="s">
        <v>26</v>
      </c>
      <c r="F455" s="427" t="s">
        <v>31</v>
      </c>
      <c r="G455" s="372"/>
      <c r="H455" s="377">
        <v>0.17172000000000001</v>
      </c>
      <c r="I455" s="378">
        <v>1</v>
      </c>
      <c r="J455" s="372"/>
      <c r="K455" s="399">
        <f>IF(L455=1,H455,0)</f>
        <v>0</v>
      </c>
      <c r="L455" s="378"/>
      <c r="M455" s="372"/>
    </row>
    <row r="456" spans="1:13" hidden="1" outlineLevel="2">
      <c r="A456" s="372"/>
      <c r="B456" s="380" t="s">
        <v>281</v>
      </c>
      <c r="C456" s="385" t="s">
        <v>70</v>
      </c>
      <c r="D456" s="385" t="s">
        <v>27</v>
      </c>
      <c r="E456" s="385"/>
      <c r="F456" s="424" t="s">
        <v>283</v>
      </c>
      <c r="G456" s="385"/>
      <c r="H456" s="405">
        <f>SUM(H457:H458)</f>
        <v>9.5579999999999998E-2</v>
      </c>
      <c r="I456" s="396">
        <f>SUM(I457:I458)</f>
        <v>2</v>
      </c>
      <c r="J456" s="385"/>
      <c r="K456" s="405">
        <f>SUM(K457:K458)</f>
        <v>0</v>
      </c>
      <c r="L456" s="396">
        <f>SUM(L457:L458)</f>
        <v>0</v>
      </c>
      <c r="M456" s="372"/>
    </row>
    <row r="457" spans="1:13" hidden="1" outlineLevel="4">
      <c r="A457" s="372"/>
      <c r="B457" s="376" t="s">
        <v>281</v>
      </c>
      <c r="C457" s="372" t="s">
        <v>70</v>
      </c>
      <c r="D457" s="372" t="s">
        <v>27</v>
      </c>
      <c r="E457" s="372" t="s">
        <v>28</v>
      </c>
      <c r="F457" s="422" t="s">
        <v>31</v>
      </c>
      <c r="G457" s="372"/>
      <c r="H457" s="377">
        <v>6.3719999999999999E-2</v>
      </c>
      <c r="I457" s="378">
        <v>1</v>
      </c>
      <c r="J457" s="372"/>
      <c r="K457" s="399">
        <f t="shared" ref="K457:K458" si="50">IF(L457=1,H457,0)</f>
        <v>0</v>
      </c>
      <c r="L457" s="378"/>
      <c r="M457" s="372"/>
    </row>
    <row r="458" spans="1:13" hidden="1" outlineLevel="4">
      <c r="A458" s="372"/>
      <c r="B458" s="376" t="s">
        <v>281</v>
      </c>
      <c r="C458" s="372" t="s">
        <v>70</v>
      </c>
      <c r="D458" s="372" t="s">
        <v>27</v>
      </c>
      <c r="E458" s="372" t="s">
        <v>28</v>
      </c>
      <c r="F458" s="422" t="s">
        <v>32</v>
      </c>
      <c r="G458" s="372"/>
      <c r="H458" s="377">
        <v>3.1859999999999999E-2</v>
      </c>
      <c r="I458" s="378">
        <v>1</v>
      </c>
      <c r="J458" s="372"/>
      <c r="K458" s="399">
        <f t="shared" si="50"/>
        <v>0</v>
      </c>
      <c r="L458" s="378"/>
      <c r="M458" s="372"/>
    </row>
    <row r="459" spans="1:13" hidden="1" outlineLevel="2">
      <c r="A459" s="372"/>
      <c r="B459" s="380" t="s">
        <v>281</v>
      </c>
      <c r="C459" s="385" t="s">
        <v>70</v>
      </c>
      <c r="D459" s="385" t="s">
        <v>58</v>
      </c>
      <c r="E459" s="385"/>
      <c r="F459" s="424" t="s">
        <v>283</v>
      </c>
      <c r="G459" s="385"/>
      <c r="H459" s="405">
        <f>SUM(H460:H461)</f>
        <v>7.1279999999999996E-2</v>
      </c>
      <c r="I459" s="396">
        <f>SUM(I460:I461)</f>
        <v>2</v>
      </c>
      <c r="J459" s="385"/>
      <c r="K459" s="405">
        <f>SUM(K460:K461)</f>
        <v>0</v>
      </c>
      <c r="L459" s="396">
        <f>SUM(L460:L461)</f>
        <v>0</v>
      </c>
      <c r="M459" s="372"/>
    </row>
    <row r="460" spans="1:13" hidden="1" outlineLevel="4">
      <c r="A460" s="372"/>
      <c r="B460" s="376" t="s">
        <v>281</v>
      </c>
      <c r="C460" s="372" t="s">
        <v>70</v>
      </c>
      <c r="D460" s="372" t="s">
        <v>58</v>
      </c>
      <c r="E460" s="372" t="s">
        <v>28</v>
      </c>
      <c r="F460" s="422" t="s">
        <v>31</v>
      </c>
      <c r="G460" s="372"/>
      <c r="H460" s="377">
        <v>5.3460000000000001E-2</v>
      </c>
      <c r="I460" s="613">
        <v>1</v>
      </c>
      <c r="J460" s="372"/>
      <c r="K460" s="399">
        <f t="shared" ref="K460:K461" si="51">IF(L460=1,H460,0)</f>
        <v>0</v>
      </c>
      <c r="L460" s="613"/>
      <c r="M460" s="372"/>
    </row>
    <row r="461" spans="1:13" hidden="1" outlineLevel="4">
      <c r="A461" s="372"/>
      <c r="B461" s="376" t="s">
        <v>281</v>
      </c>
      <c r="C461" s="372" t="s">
        <v>70</v>
      </c>
      <c r="D461" s="372" t="s">
        <v>58</v>
      </c>
      <c r="E461" s="372" t="s">
        <v>28</v>
      </c>
      <c r="F461" s="422" t="s">
        <v>32</v>
      </c>
      <c r="G461" s="372"/>
      <c r="H461" s="377">
        <v>1.7819999999999999E-2</v>
      </c>
      <c r="I461" s="613">
        <v>1</v>
      </c>
      <c r="J461" s="372"/>
      <c r="K461" s="399">
        <f t="shared" si="51"/>
        <v>0</v>
      </c>
      <c r="L461" s="613"/>
      <c r="M461" s="372"/>
    </row>
    <row r="462" spans="1:13" outlineLevel="1" collapsed="1">
      <c r="A462" s="372"/>
      <c r="B462" s="632" t="s">
        <v>289</v>
      </c>
      <c r="C462" s="632" t="s">
        <v>29</v>
      </c>
      <c r="D462" s="632"/>
      <c r="E462" s="632"/>
      <c r="F462" s="634" t="s">
        <v>290</v>
      </c>
      <c r="G462" s="633"/>
      <c r="H462" s="635">
        <f>SUM(H463,H467,H469,H472)</f>
        <v>0.77324456000000008</v>
      </c>
      <c r="I462" s="636">
        <f>SUM(I463,I467,I469,I472)</f>
        <v>8</v>
      </c>
      <c r="J462" s="633"/>
      <c r="K462" s="635">
        <f>SUM(K463,K467,K469,K472)</f>
        <v>0</v>
      </c>
      <c r="L462" s="636">
        <f>SUM(L463,L467,L469,L472)</f>
        <v>0</v>
      </c>
      <c r="M462" s="372"/>
    </row>
    <row r="463" spans="1:13" hidden="1" outlineLevel="2">
      <c r="A463" s="372"/>
      <c r="B463" s="385" t="s">
        <v>289</v>
      </c>
      <c r="C463" s="380" t="s">
        <v>29</v>
      </c>
      <c r="D463" s="385" t="s">
        <v>17</v>
      </c>
      <c r="E463" s="380"/>
      <c r="F463" s="424" t="s">
        <v>291</v>
      </c>
      <c r="G463" s="385"/>
      <c r="H463" s="405">
        <f>SUM(H464:H466)</f>
        <v>0.61820000000000008</v>
      </c>
      <c r="I463" s="404">
        <f>SUM(I464:I466)</f>
        <v>3</v>
      </c>
      <c r="J463" s="385"/>
      <c r="K463" s="405">
        <f>SUM(K464:K466)</f>
        <v>0</v>
      </c>
      <c r="L463" s="404">
        <f>SUM(L464:L466)</f>
        <v>0</v>
      </c>
      <c r="M463" s="372"/>
    </row>
    <row r="464" spans="1:13" hidden="1" outlineLevel="3">
      <c r="A464" s="372"/>
      <c r="B464" s="372" t="s">
        <v>289</v>
      </c>
      <c r="C464" s="376" t="s">
        <v>29</v>
      </c>
      <c r="D464" s="372" t="s">
        <v>17</v>
      </c>
      <c r="E464" s="376" t="s">
        <v>64</v>
      </c>
      <c r="F464" s="422" t="s">
        <v>284</v>
      </c>
      <c r="G464" s="372"/>
      <c r="H464" s="399">
        <v>0.24728000000000006</v>
      </c>
      <c r="I464" s="397">
        <v>1</v>
      </c>
      <c r="J464" s="372"/>
      <c r="K464" s="399">
        <f t="shared" ref="K464:K466" si="52">IF(L464=1,H464,0)</f>
        <v>0</v>
      </c>
      <c r="L464" s="397"/>
      <c r="M464" s="372"/>
    </row>
    <row r="465" spans="1:13" hidden="1" outlineLevel="3">
      <c r="A465" s="372"/>
      <c r="B465" s="372" t="s">
        <v>289</v>
      </c>
      <c r="C465" s="376" t="s">
        <v>29</v>
      </c>
      <c r="D465" s="372" t="s">
        <v>17</v>
      </c>
      <c r="E465" s="376" t="s">
        <v>64</v>
      </c>
      <c r="F465" s="422" t="s">
        <v>31</v>
      </c>
      <c r="G465" s="372"/>
      <c r="H465" s="399">
        <v>0.24728000000000006</v>
      </c>
      <c r="I465" s="397">
        <v>1</v>
      </c>
      <c r="J465" s="372"/>
      <c r="K465" s="399">
        <f t="shared" si="52"/>
        <v>0</v>
      </c>
      <c r="L465" s="397"/>
      <c r="M465" s="372"/>
    </row>
    <row r="466" spans="1:13" hidden="1" outlineLevel="3">
      <c r="A466" s="372"/>
      <c r="B466" s="372" t="s">
        <v>289</v>
      </c>
      <c r="C466" s="376" t="s">
        <v>29</v>
      </c>
      <c r="D466" s="372" t="s">
        <v>17</v>
      </c>
      <c r="E466" s="372" t="s">
        <v>64</v>
      </c>
      <c r="F466" s="422" t="s">
        <v>32</v>
      </c>
      <c r="G466" s="372"/>
      <c r="H466" s="399">
        <v>0.12364000000000003</v>
      </c>
      <c r="I466" s="397">
        <v>1</v>
      </c>
      <c r="J466" s="372"/>
      <c r="K466" s="399">
        <f t="shared" si="52"/>
        <v>0</v>
      </c>
      <c r="L466" s="397"/>
      <c r="M466" s="372"/>
    </row>
    <row r="467" spans="1:13" hidden="1" outlineLevel="2">
      <c r="A467" s="372"/>
      <c r="B467" s="385" t="s">
        <v>289</v>
      </c>
      <c r="C467" s="380" t="s">
        <v>29</v>
      </c>
      <c r="D467" s="385" t="s">
        <v>25</v>
      </c>
      <c r="E467" s="385"/>
      <c r="F467" s="424" t="s">
        <v>294</v>
      </c>
      <c r="G467" s="385"/>
      <c r="H467" s="405">
        <f>SUM(H468:H468)</f>
        <v>7.8635040000000003E-2</v>
      </c>
      <c r="I467" s="404">
        <f>SUM(I468:I468)</f>
        <v>1</v>
      </c>
      <c r="J467" s="385"/>
      <c r="K467" s="405">
        <f>SUM(K468:K468)</f>
        <v>0</v>
      </c>
      <c r="L467" s="404">
        <f>SUM(L468:L468)</f>
        <v>0</v>
      </c>
      <c r="M467" s="372"/>
    </row>
    <row r="468" spans="1:13" hidden="1" outlineLevel="3">
      <c r="A468" s="372"/>
      <c r="B468" s="372" t="s">
        <v>289</v>
      </c>
      <c r="C468" s="376" t="s">
        <v>29</v>
      </c>
      <c r="D468" s="372" t="s">
        <v>25</v>
      </c>
      <c r="E468" s="372" t="s">
        <v>26</v>
      </c>
      <c r="F468" s="422" t="s">
        <v>31</v>
      </c>
      <c r="G468" s="372"/>
      <c r="H468" s="399">
        <v>7.8635040000000003E-2</v>
      </c>
      <c r="I468" s="397">
        <v>1</v>
      </c>
      <c r="J468" s="372"/>
      <c r="K468" s="399">
        <f>IF(L468=1,H468,0)</f>
        <v>0</v>
      </c>
      <c r="L468" s="397"/>
      <c r="M468" s="372"/>
    </row>
    <row r="469" spans="1:13" hidden="1" outlineLevel="2">
      <c r="A469" s="372"/>
      <c r="B469" s="385" t="s">
        <v>289</v>
      </c>
      <c r="C469" s="380" t="s">
        <v>29</v>
      </c>
      <c r="D469" s="385" t="s">
        <v>27</v>
      </c>
      <c r="E469" s="385"/>
      <c r="F469" s="424" t="s">
        <v>295</v>
      </c>
      <c r="G469" s="385"/>
      <c r="H469" s="410">
        <f>SUM(H470:H471)</f>
        <v>4.3768560000000005E-2</v>
      </c>
      <c r="I469" s="396">
        <f>SUM(I470:I471)</f>
        <v>2</v>
      </c>
      <c r="J469" s="385"/>
      <c r="K469" s="410">
        <f>SUM(K470:K471)</f>
        <v>0</v>
      </c>
      <c r="L469" s="396">
        <f>SUM(L470:L471)</f>
        <v>0</v>
      </c>
      <c r="M469" s="372"/>
    </row>
    <row r="470" spans="1:13" hidden="1" outlineLevel="3" collapsed="1">
      <c r="A470" s="372"/>
      <c r="B470" s="372" t="s">
        <v>289</v>
      </c>
      <c r="C470" s="376" t="s">
        <v>29</v>
      </c>
      <c r="D470" s="372" t="s">
        <v>27</v>
      </c>
      <c r="E470" s="372" t="s">
        <v>28</v>
      </c>
      <c r="F470" s="422" t="s">
        <v>31</v>
      </c>
      <c r="G470" s="372"/>
      <c r="H470" s="399">
        <v>2.9179040000000003E-2</v>
      </c>
      <c r="I470" s="397">
        <v>1</v>
      </c>
      <c r="J470" s="372"/>
      <c r="K470" s="399">
        <f t="shared" ref="K470:K471" si="53">IF(L470=1,H470,0)</f>
        <v>0</v>
      </c>
      <c r="L470" s="397"/>
      <c r="M470" s="372"/>
    </row>
    <row r="471" spans="1:13" hidden="1" outlineLevel="3">
      <c r="A471" s="372"/>
      <c r="B471" s="372" t="s">
        <v>289</v>
      </c>
      <c r="C471" s="376" t="s">
        <v>29</v>
      </c>
      <c r="D471" s="372" t="s">
        <v>27</v>
      </c>
      <c r="E471" s="372" t="s">
        <v>28</v>
      </c>
      <c r="F471" s="422" t="s">
        <v>32</v>
      </c>
      <c r="G471" s="372"/>
      <c r="H471" s="377">
        <v>1.4589520000000002E-2</v>
      </c>
      <c r="I471" s="378">
        <v>1</v>
      </c>
      <c r="J471" s="372"/>
      <c r="K471" s="399">
        <f t="shared" si="53"/>
        <v>0</v>
      </c>
      <c r="L471" s="378"/>
      <c r="M471" s="372"/>
    </row>
    <row r="472" spans="1:13" hidden="1" outlineLevel="2">
      <c r="A472" s="372"/>
      <c r="B472" s="385" t="s">
        <v>289</v>
      </c>
      <c r="C472" s="380" t="s">
        <v>29</v>
      </c>
      <c r="D472" s="385" t="s">
        <v>58</v>
      </c>
      <c r="E472" s="385"/>
      <c r="F472" s="424" t="s">
        <v>295</v>
      </c>
      <c r="G472" s="385"/>
      <c r="H472" s="405">
        <f>SUM(H473:H474)</f>
        <v>3.2640960000000004E-2</v>
      </c>
      <c r="I472" s="404">
        <f>SUM(I473:I474)</f>
        <v>2</v>
      </c>
      <c r="J472" s="385"/>
      <c r="K472" s="405">
        <f>SUM(K473:K474)</f>
        <v>0</v>
      </c>
      <c r="L472" s="404">
        <f>SUM(L473:L474)</f>
        <v>0</v>
      </c>
      <c r="M472" s="372"/>
    </row>
    <row r="473" spans="1:13" hidden="1" outlineLevel="3">
      <c r="A473" s="372"/>
      <c r="B473" s="372" t="s">
        <v>289</v>
      </c>
      <c r="C473" s="376" t="s">
        <v>29</v>
      </c>
      <c r="D473" s="372" t="s">
        <v>58</v>
      </c>
      <c r="E473" s="372" t="s">
        <v>28</v>
      </c>
      <c r="F473" s="422" t="s">
        <v>31</v>
      </c>
      <c r="G473" s="372"/>
      <c r="H473" s="399">
        <v>2.4480720000000001E-2</v>
      </c>
      <c r="I473" s="397">
        <v>1</v>
      </c>
      <c r="J473" s="372"/>
      <c r="K473" s="399">
        <f t="shared" ref="K473:K474" si="54">IF(L473=1,H473,0)</f>
        <v>0</v>
      </c>
      <c r="L473" s="397"/>
      <c r="M473" s="372"/>
    </row>
    <row r="474" spans="1:13" hidden="1" outlineLevel="3">
      <c r="A474" s="372"/>
      <c r="B474" s="372" t="s">
        <v>289</v>
      </c>
      <c r="C474" s="376" t="s">
        <v>29</v>
      </c>
      <c r="D474" s="372" t="s">
        <v>58</v>
      </c>
      <c r="E474" s="372" t="s">
        <v>28</v>
      </c>
      <c r="F474" s="422" t="s">
        <v>32</v>
      </c>
      <c r="G474" s="372"/>
      <c r="H474" s="399">
        <v>8.1602400000000009E-3</v>
      </c>
      <c r="I474" s="397">
        <v>1</v>
      </c>
      <c r="J474" s="372"/>
      <c r="K474" s="399">
        <f t="shared" si="54"/>
        <v>0</v>
      </c>
      <c r="L474" s="397"/>
      <c r="M474" s="372"/>
    </row>
    <row r="475" spans="1:13" s="390" customFormat="1" outlineLevel="1" collapsed="1">
      <c r="A475" s="385"/>
      <c r="B475" s="639" t="s">
        <v>296</v>
      </c>
      <c r="C475" s="639" t="s">
        <v>297</v>
      </c>
      <c r="D475" s="639"/>
      <c r="E475" s="639"/>
      <c r="F475" s="641" t="s">
        <v>298</v>
      </c>
      <c r="G475" s="633"/>
      <c r="H475" s="637">
        <f>H476+H480+H483+H487</f>
        <v>14.203906041162936</v>
      </c>
      <c r="I475" s="645">
        <f>I476+I480+I483+I487</f>
        <v>10</v>
      </c>
      <c r="J475" s="633"/>
      <c r="K475" s="637">
        <f>K476+K480+K483+K487</f>
        <v>0</v>
      </c>
      <c r="L475" s="645">
        <f>L476+L480+L483+L487</f>
        <v>0</v>
      </c>
      <c r="M475" s="385"/>
    </row>
    <row r="476" spans="1:13" hidden="1" outlineLevel="2">
      <c r="A476" s="372"/>
      <c r="B476" s="380" t="s">
        <v>296</v>
      </c>
      <c r="C476" s="385" t="s">
        <v>297</v>
      </c>
      <c r="D476" s="385" t="s">
        <v>17</v>
      </c>
      <c r="E476" s="380"/>
      <c r="F476" s="424" t="s">
        <v>299</v>
      </c>
      <c r="G476" s="385"/>
      <c r="H476" s="405">
        <f>SUM(H477:H479)</f>
        <v>8.7813947704253064</v>
      </c>
      <c r="I476" s="404">
        <f>SUM(I477:I479)</f>
        <v>3</v>
      </c>
      <c r="J476" s="385"/>
      <c r="K476" s="405">
        <f>SUM(K477:K479)</f>
        <v>0</v>
      </c>
      <c r="L476" s="404">
        <f>SUM(L477:L479)</f>
        <v>0</v>
      </c>
      <c r="M476" s="372"/>
    </row>
    <row r="477" spans="1:13" hidden="1" outlineLevel="3">
      <c r="A477" s="372"/>
      <c r="B477" s="376" t="s">
        <v>296</v>
      </c>
      <c r="C477" s="372" t="s">
        <v>297</v>
      </c>
      <c r="D477" s="372" t="s">
        <v>17</v>
      </c>
      <c r="E477" s="376" t="s">
        <v>127</v>
      </c>
      <c r="F477" s="422" t="s">
        <v>33</v>
      </c>
      <c r="G477" s="372"/>
      <c r="H477" s="399">
        <v>4.3906973852126532</v>
      </c>
      <c r="I477" s="397">
        <v>1</v>
      </c>
      <c r="J477" s="372"/>
      <c r="K477" s="399">
        <f t="shared" ref="K477:K479" si="55">IF(L477=1,H477,0)</f>
        <v>0</v>
      </c>
      <c r="L477" s="397"/>
      <c r="M477" s="372"/>
    </row>
    <row r="478" spans="1:13" hidden="1" outlineLevel="3">
      <c r="A478" s="372"/>
      <c r="B478" s="376" t="s">
        <v>296</v>
      </c>
      <c r="C478" s="372" t="s">
        <v>297</v>
      </c>
      <c r="D478" s="372" t="s">
        <v>17</v>
      </c>
      <c r="E478" s="376" t="s">
        <v>127</v>
      </c>
      <c r="F478" s="422" t="s">
        <v>170</v>
      </c>
      <c r="G478" s="372"/>
      <c r="H478" s="399">
        <v>2.1953486926063266</v>
      </c>
      <c r="I478" s="397">
        <v>1</v>
      </c>
      <c r="J478" s="372"/>
      <c r="K478" s="399">
        <f t="shared" si="55"/>
        <v>0</v>
      </c>
      <c r="L478" s="397"/>
      <c r="M478" s="372"/>
    </row>
    <row r="479" spans="1:13" hidden="1" outlineLevel="3">
      <c r="A479" s="372"/>
      <c r="B479" s="376" t="s">
        <v>296</v>
      </c>
      <c r="C479" s="372" t="s">
        <v>297</v>
      </c>
      <c r="D479" s="372" t="s">
        <v>17</v>
      </c>
      <c r="E479" s="376" t="s">
        <v>127</v>
      </c>
      <c r="F479" s="422" t="s">
        <v>285</v>
      </c>
      <c r="G479" s="372"/>
      <c r="H479" s="399">
        <v>2.1953486926063266</v>
      </c>
      <c r="I479" s="397">
        <v>1</v>
      </c>
      <c r="J479" s="372"/>
      <c r="K479" s="399">
        <f t="shared" si="55"/>
        <v>0</v>
      </c>
      <c r="L479" s="397"/>
      <c r="M479" s="372"/>
    </row>
    <row r="480" spans="1:13" hidden="1" outlineLevel="2">
      <c r="A480" s="372"/>
      <c r="B480" s="380" t="s">
        <v>296</v>
      </c>
      <c r="C480" s="385" t="s">
        <v>297</v>
      </c>
      <c r="D480" s="385" t="s">
        <v>25</v>
      </c>
      <c r="E480" s="385"/>
      <c r="F480" s="424" t="s">
        <v>299</v>
      </c>
      <c r="G480" s="385"/>
      <c r="H480" s="405">
        <f>SUM(H481:H482)</f>
        <v>3.257897459827789</v>
      </c>
      <c r="I480" s="404">
        <f>SUM(I481:I482)</f>
        <v>2</v>
      </c>
      <c r="J480" s="385"/>
      <c r="K480" s="405">
        <f>SUM(K481:K482)</f>
        <v>0</v>
      </c>
      <c r="L480" s="404">
        <f>SUM(L481:L482)</f>
        <v>0</v>
      </c>
      <c r="M480" s="372"/>
    </row>
    <row r="481" spans="1:13" hidden="1" outlineLevel="3">
      <c r="A481" s="372"/>
      <c r="B481" s="376" t="s">
        <v>296</v>
      </c>
      <c r="C481" s="372" t="s">
        <v>297</v>
      </c>
      <c r="D481" s="372" t="s">
        <v>25</v>
      </c>
      <c r="E481" s="372" t="s">
        <v>26</v>
      </c>
      <c r="F481" s="427" t="s">
        <v>31</v>
      </c>
      <c r="G481" s="372"/>
      <c r="H481" s="399">
        <v>1.3962417684976238</v>
      </c>
      <c r="I481" s="397">
        <v>1</v>
      </c>
      <c r="J481" s="372"/>
      <c r="K481" s="399">
        <f t="shared" ref="K481:K482" si="56">IF(L481=1,H481,0)</f>
        <v>0</v>
      </c>
      <c r="L481" s="397"/>
      <c r="M481" s="372"/>
    </row>
    <row r="482" spans="1:13" hidden="1" outlineLevel="3">
      <c r="A482" s="372"/>
      <c r="B482" s="376" t="s">
        <v>296</v>
      </c>
      <c r="C482" s="372" t="s">
        <v>297</v>
      </c>
      <c r="D482" s="372" t="s">
        <v>25</v>
      </c>
      <c r="E482" s="372" t="s">
        <v>26</v>
      </c>
      <c r="F482" s="422" t="s">
        <v>33</v>
      </c>
      <c r="G482" s="372"/>
      <c r="H482" s="399">
        <v>1.8616556913301652</v>
      </c>
      <c r="I482" s="397">
        <v>1</v>
      </c>
      <c r="J482" s="372"/>
      <c r="K482" s="399">
        <f t="shared" si="56"/>
        <v>0</v>
      </c>
      <c r="L482" s="397"/>
      <c r="M482" s="372"/>
    </row>
    <row r="483" spans="1:13" hidden="1" outlineLevel="2">
      <c r="A483" s="372"/>
      <c r="B483" s="380" t="s">
        <v>296</v>
      </c>
      <c r="C483" s="385" t="s">
        <v>297</v>
      </c>
      <c r="D483" s="385" t="s">
        <v>27</v>
      </c>
      <c r="E483" s="385"/>
      <c r="F483" s="424" t="s">
        <v>299</v>
      </c>
      <c r="G483" s="385"/>
      <c r="H483" s="405">
        <f>SUM(H484:H486)</f>
        <v>1.2952557286377333</v>
      </c>
      <c r="I483" s="396">
        <f>SUM(I484:I486)</f>
        <v>3</v>
      </c>
      <c r="J483" s="385"/>
      <c r="K483" s="405">
        <f>SUM(K484:K486)</f>
        <v>0</v>
      </c>
      <c r="L483" s="396">
        <f>SUM(L484:L486)</f>
        <v>0</v>
      </c>
      <c r="M483" s="372"/>
    </row>
    <row r="484" spans="1:13" hidden="1" outlineLevel="3">
      <c r="A484" s="372"/>
      <c r="B484" s="376" t="s">
        <v>296</v>
      </c>
      <c r="C484" s="372" t="s">
        <v>297</v>
      </c>
      <c r="D484" s="372" t="s">
        <v>27</v>
      </c>
      <c r="E484" s="372" t="s">
        <v>28</v>
      </c>
      <c r="F484" s="422" t="s">
        <v>31</v>
      </c>
      <c r="G484" s="372"/>
      <c r="H484" s="399">
        <v>0.51810229145509312</v>
      </c>
      <c r="I484" s="397">
        <v>1</v>
      </c>
      <c r="J484" s="372"/>
      <c r="K484" s="399">
        <f t="shared" ref="K484:K486" si="57">IF(L484=1,H484,0)</f>
        <v>0</v>
      </c>
      <c r="L484" s="397"/>
      <c r="M484" s="372"/>
    </row>
    <row r="485" spans="1:13" hidden="1" outlineLevel="3">
      <c r="A485" s="372"/>
      <c r="B485" s="376" t="s">
        <v>296</v>
      </c>
      <c r="C485" s="372" t="s">
        <v>297</v>
      </c>
      <c r="D485" s="372" t="s">
        <v>27</v>
      </c>
      <c r="E485" s="372" t="s">
        <v>28</v>
      </c>
      <c r="F485" s="422" t="s">
        <v>33</v>
      </c>
      <c r="G485" s="372"/>
      <c r="H485" s="399">
        <v>0.51810229145509312</v>
      </c>
      <c r="I485" s="397">
        <v>1</v>
      </c>
      <c r="J485" s="372"/>
      <c r="K485" s="399">
        <f t="shared" si="57"/>
        <v>0</v>
      </c>
      <c r="L485" s="397"/>
      <c r="M485" s="372"/>
    </row>
    <row r="486" spans="1:13" hidden="1" outlineLevel="3">
      <c r="A486" s="372"/>
      <c r="B486" s="376" t="s">
        <v>296</v>
      </c>
      <c r="C486" s="372" t="s">
        <v>297</v>
      </c>
      <c r="D486" s="372" t="s">
        <v>27</v>
      </c>
      <c r="E486" s="372" t="s">
        <v>28</v>
      </c>
      <c r="F486" s="422" t="s">
        <v>170</v>
      </c>
      <c r="G486" s="372"/>
      <c r="H486" s="399">
        <v>0.25905114572754701</v>
      </c>
      <c r="I486" s="397">
        <v>1</v>
      </c>
      <c r="J486" s="372"/>
      <c r="K486" s="399">
        <f t="shared" si="57"/>
        <v>0</v>
      </c>
      <c r="L486" s="397"/>
      <c r="M486" s="372"/>
    </row>
    <row r="487" spans="1:13" hidden="1" outlineLevel="2">
      <c r="A487" s="372"/>
      <c r="B487" s="380" t="s">
        <v>296</v>
      </c>
      <c r="C487" s="385" t="s">
        <v>297</v>
      </c>
      <c r="D487" s="385" t="s">
        <v>58</v>
      </c>
      <c r="E487" s="385"/>
      <c r="F487" s="424" t="s">
        <v>299</v>
      </c>
      <c r="G487" s="385"/>
      <c r="H487" s="405">
        <f>SUM(H488:H489)</f>
        <v>0.86935808227210531</v>
      </c>
      <c r="I487" s="404">
        <f>SUM(I488:I489)</f>
        <v>2</v>
      </c>
      <c r="J487" s="385"/>
      <c r="K487" s="405">
        <f>SUM(K488:K489)</f>
        <v>0</v>
      </c>
      <c r="L487" s="404">
        <f>SUM(L488:L489)</f>
        <v>0</v>
      </c>
      <c r="M487" s="372"/>
    </row>
    <row r="488" spans="1:13" hidden="1" outlineLevel="3">
      <c r="A488" s="372"/>
      <c r="B488" s="376" t="s">
        <v>296</v>
      </c>
      <c r="C488" s="372" t="s">
        <v>297</v>
      </c>
      <c r="D488" s="372" t="s">
        <v>58</v>
      </c>
      <c r="E488" s="372" t="s">
        <v>28</v>
      </c>
      <c r="F488" s="422" t="s">
        <v>31</v>
      </c>
      <c r="G488" s="372"/>
      <c r="H488" s="399">
        <v>0.43467904113605266</v>
      </c>
      <c r="I488" s="397">
        <v>1</v>
      </c>
      <c r="J488" s="372"/>
      <c r="K488" s="399">
        <f t="shared" ref="K488:K489" si="58">IF(L488=1,H488,0)</f>
        <v>0</v>
      </c>
      <c r="L488" s="397"/>
      <c r="M488" s="372"/>
    </row>
    <row r="489" spans="1:13" hidden="1" outlineLevel="3">
      <c r="A489" s="372"/>
      <c r="B489" s="376" t="s">
        <v>296</v>
      </c>
      <c r="C489" s="372" t="s">
        <v>297</v>
      </c>
      <c r="D489" s="372" t="s">
        <v>58</v>
      </c>
      <c r="E489" s="372" t="s">
        <v>28</v>
      </c>
      <c r="F489" s="422" t="s">
        <v>33</v>
      </c>
      <c r="G489" s="372"/>
      <c r="H489" s="399">
        <v>0.43467904113605266</v>
      </c>
      <c r="I489" s="397">
        <v>1</v>
      </c>
      <c r="J489" s="372"/>
      <c r="K489" s="399">
        <f t="shared" si="58"/>
        <v>0</v>
      </c>
      <c r="L489" s="397"/>
      <c r="M489" s="372"/>
    </row>
    <row r="490" spans="1:13" s="439" customFormat="1" ht="26.4" outlineLevel="1" collapsed="1">
      <c r="A490" s="393"/>
      <c r="B490" s="639" t="s">
        <v>300</v>
      </c>
      <c r="C490" s="639" t="s">
        <v>301</v>
      </c>
      <c r="D490" s="640"/>
      <c r="E490" s="639"/>
      <c r="F490" s="641" t="s">
        <v>302</v>
      </c>
      <c r="G490" s="640"/>
      <c r="H490" s="646">
        <f>SUM(H491,H498,H501,H505)</f>
        <v>18.105283200000006</v>
      </c>
      <c r="I490" s="645">
        <f>I491+I498+I501+I505</f>
        <v>13</v>
      </c>
      <c r="J490" s="640"/>
      <c r="K490" s="646">
        <f>SUM(K491,K498,K501,K505)</f>
        <v>0</v>
      </c>
      <c r="L490" s="645">
        <f>L491+L498+L501+L505</f>
        <v>0</v>
      </c>
      <c r="M490" s="441"/>
    </row>
    <row r="491" spans="1:13" s="439" customFormat="1" hidden="1" outlineLevel="2">
      <c r="A491" s="393"/>
      <c r="B491" s="386" t="s">
        <v>301</v>
      </c>
      <c r="C491" s="386" t="s">
        <v>301</v>
      </c>
      <c r="D491" s="407" t="s">
        <v>17</v>
      </c>
      <c r="E491" s="386"/>
      <c r="F491" s="426" t="s">
        <v>303</v>
      </c>
      <c r="G491" s="407"/>
      <c r="H491" s="408">
        <f>SUM(H492:H497)</f>
        <v>14.323800000000004</v>
      </c>
      <c r="I491" s="409">
        <f>SUM(I492:I497)</f>
        <v>6</v>
      </c>
      <c r="J491" s="407"/>
      <c r="K491" s="408">
        <f>SUM(K492:K497)</f>
        <v>0</v>
      </c>
      <c r="L491" s="409">
        <f>SUM(L492:L497)</f>
        <v>0</v>
      </c>
      <c r="M491" s="441"/>
    </row>
    <row r="492" spans="1:13" s="439" customFormat="1" hidden="1" outlineLevel="3">
      <c r="A492" s="393"/>
      <c r="B492" s="387" t="s">
        <v>301</v>
      </c>
      <c r="C492" s="387" t="s">
        <v>301</v>
      </c>
      <c r="D492" s="441" t="s">
        <v>17</v>
      </c>
      <c r="E492" s="387" t="s">
        <v>127</v>
      </c>
      <c r="F492" s="428" t="s">
        <v>284</v>
      </c>
      <c r="G492" s="441"/>
      <c r="H492" s="388">
        <v>4.7746000000000013</v>
      </c>
      <c r="I492" s="389">
        <v>1</v>
      </c>
      <c r="J492" s="441"/>
      <c r="K492" s="399">
        <f t="shared" ref="K492:K497" si="59">IF(L492=1,H492,0)</f>
        <v>0</v>
      </c>
      <c r="L492" s="389"/>
      <c r="M492" s="441"/>
    </row>
    <row r="493" spans="1:13" s="439" customFormat="1" hidden="1" outlineLevel="3">
      <c r="A493" s="393"/>
      <c r="B493" s="387" t="s">
        <v>301</v>
      </c>
      <c r="C493" s="387" t="s">
        <v>301</v>
      </c>
      <c r="D493" s="441" t="s">
        <v>17</v>
      </c>
      <c r="E493" s="387" t="s">
        <v>127</v>
      </c>
      <c r="F493" s="428" t="s">
        <v>31</v>
      </c>
      <c r="G493" s="441"/>
      <c r="H493" s="388">
        <v>4.3640000000000008</v>
      </c>
      <c r="I493" s="389">
        <v>1</v>
      </c>
      <c r="J493" s="441"/>
      <c r="K493" s="399">
        <f t="shared" si="59"/>
        <v>0</v>
      </c>
      <c r="L493" s="389"/>
      <c r="M493" s="441"/>
    </row>
    <row r="494" spans="1:13" s="439" customFormat="1" hidden="1" outlineLevel="3">
      <c r="A494" s="393"/>
      <c r="B494" s="387" t="s">
        <v>301</v>
      </c>
      <c r="C494" s="387" t="s">
        <v>301</v>
      </c>
      <c r="D494" s="441" t="s">
        <v>17</v>
      </c>
      <c r="E494" s="387" t="s">
        <v>127</v>
      </c>
      <c r="F494" s="428" t="s">
        <v>32</v>
      </c>
      <c r="G494" s="441"/>
      <c r="H494" s="388">
        <v>2.2846500000000005</v>
      </c>
      <c r="I494" s="389">
        <v>1</v>
      </c>
      <c r="J494" s="441"/>
      <c r="K494" s="399">
        <f t="shared" si="59"/>
        <v>0</v>
      </c>
      <c r="L494" s="389"/>
      <c r="M494" s="441"/>
    </row>
    <row r="495" spans="1:13" s="439" customFormat="1" hidden="1" outlineLevel="3">
      <c r="A495" s="393"/>
      <c r="B495" s="387" t="s">
        <v>301</v>
      </c>
      <c r="C495" s="387" t="s">
        <v>301</v>
      </c>
      <c r="D495" s="441" t="s">
        <v>17</v>
      </c>
      <c r="E495" s="387" t="s">
        <v>127</v>
      </c>
      <c r="F495" s="428" t="s">
        <v>170</v>
      </c>
      <c r="G495" s="441"/>
      <c r="H495" s="388">
        <v>2.3873000000000006</v>
      </c>
      <c r="I495" s="389">
        <v>1</v>
      </c>
      <c r="J495" s="441"/>
      <c r="K495" s="399">
        <f t="shared" si="59"/>
        <v>0</v>
      </c>
      <c r="L495" s="389"/>
      <c r="M495" s="441"/>
    </row>
    <row r="496" spans="1:13" s="439" customFormat="1" hidden="1" outlineLevel="3">
      <c r="A496" s="393"/>
      <c r="B496" s="387" t="s">
        <v>301</v>
      </c>
      <c r="C496" s="387" t="s">
        <v>301</v>
      </c>
      <c r="D496" s="441" t="s">
        <v>17</v>
      </c>
      <c r="E496" s="387" t="s">
        <v>177</v>
      </c>
      <c r="F496" s="428" t="s">
        <v>304</v>
      </c>
      <c r="G496" s="441"/>
      <c r="H496" s="388">
        <v>0.41060000000000008</v>
      </c>
      <c r="I496" s="389">
        <v>1</v>
      </c>
      <c r="J496" s="441"/>
      <c r="K496" s="399">
        <f t="shared" si="59"/>
        <v>0</v>
      </c>
      <c r="L496" s="389"/>
      <c r="M496" s="441"/>
    </row>
    <row r="497" spans="1:13" s="439" customFormat="1" hidden="1" outlineLevel="3">
      <c r="A497" s="393"/>
      <c r="B497" s="387" t="s">
        <v>301</v>
      </c>
      <c r="C497" s="387" t="s">
        <v>301</v>
      </c>
      <c r="D497" s="441" t="s">
        <v>17</v>
      </c>
      <c r="E497" s="387" t="s">
        <v>177</v>
      </c>
      <c r="F497" s="428" t="s">
        <v>305</v>
      </c>
      <c r="G497" s="441"/>
      <c r="H497" s="388">
        <v>0.10265000000000002</v>
      </c>
      <c r="I497" s="389">
        <v>1</v>
      </c>
      <c r="J497" s="441"/>
      <c r="K497" s="399">
        <f t="shared" si="59"/>
        <v>0</v>
      </c>
      <c r="L497" s="389"/>
      <c r="M497" s="441"/>
    </row>
    <row r="498" spans="1:13" s="439" customFormat="1" hidden="1" outlineLevel="2">
      <c r="A498" s="393"/>
      <c r="B498" s="386" t="s">
        <v>301</v>
      </c>
      <c r="C498" s="386" t="s">
        <v>301</v>
      </c>
      <c r="D498" s="407" t="s">
        <v>25</v>
      </c>
      <c r="E498" s="407"/>
      <c r="F498" s="426" t="s">
        <v>303</v>
      </c>
      <c r="G498" s="407"/>
      <c r="H498" s="408">
        <f>SUM(H499:H500)</f>
        <v>2.0244304000000004</v>
      </c>
      <c r="I498" s="409">
        <f>SUM(I499:I500)</f>
        <v>2</v>
      </c>
      <c r="J498" s="407"/>
      <c r="K498" s="408">
        <f>SUM(K499:K500)</f>
        <v>0</v>
      </c>
      <c r="L498" s="409">
        <f>SUM(L499:L500)</f>
        <v>0</v>
      </c>
      <c r="M498" s="441"/>
    </row>
    <row r="499" spans="1:13" s="439" customFormat="1" hidden="1" outlineLevel="3">
      <c r="A499" s="393"/>
      <c r="B499" s="387" t="s">
        <v>301</v>
      </c>
      <c r="C499" s="387" t="s">
        <v>301</v>
      </c>
      <c r="D499" s="441" t="s">
        <v>25</v>
      </c>
      <c r="E499" s="441" t="s">
        <v>26</v>
      </c>
      <c r="F499" s="428" t="s">
        <v>31</v>
      </c>
      <c r="G499" s="441"/>
      <c r="H499" s="388">
        <v>1.5183228000000002</v>
      </c>
      <c r="I499" s="389">
        <v>1</v>
      </c>
      <c r="J499" s="441"/>
      <c r="K499" s="399">
        <f t="shared" ref="K499:K500" si="60">IF(L499=1,H499,0)</f>
        <v>0</v>
      </c>
      <c r="L499" s="389"/>
      <c r="M499" s="441"/>
    </row>
    <row r="500" spans="1:13" s="439" customFormat="1" hidden="1" outlineLevel="3">
      <c r="A500" s="393"/>
      <c r="B500" s="387" t="s">
        <v>301</v>
      </c>
      <c r="C500" s="387" t="s">
        <v>301</v>
      </c>
      <c r="D500" s="441" t="s">
        <v>25</v>
      </c>
      <c r="E500" s="441" t="s">
        <v>26</v>
      </c>
      <c r="F500" s="428" t="s">
        <v>170</v>
      </c>
      <c r="G500" s="441"/>
      <c r="H500" s="388">
        <v>0.5061076000000001</v>
      </c>
      <c r="I500" s="389">
        <v>1</v>
      </c>
      <c r="J500" s="441"/>
      <c r="K500" s="399">
        <f t="shared" si="60"/>
        <v>0</v>
      </c>
      <c r="L500" s="389"/>
      <c r="M500" s="441"/>
    </row>
    <row r="501" spans="1:13" s="439" customFormat="1" hidden="1" outlineLevel="2">
      <c r="A501" s="393"/>
      <c r="B501" s="386" t="s">
        <v>301</v>
      </c>
      <c r="C501" s="386" t="s">
        <v>301</v>
      </c>
      <c r="D501" s="407" t="s">
        <v>27</v>
      </c>
      <c r="E501" s="407"/>
      <c r="F501" s="426" t="s">
        <v>303</v>
      </c>
      <c r="G501" s="407"/>
      <c r="H501" s="408">
        <f>SUM(H502:H504)</f>
        <v>1.1268056000000002</v>
      </c>
      <c r="I501" s="409">
        <f>SUM(I502:I504)</f>
        <v>3</v>
      </c>
      <c r="J501" s="407"/>
      <c r="K501" s="408">
        <f>SUM(K502:K504)</f>
        <v>0</v>
      </c>
      <c r="L501" s="409">
        <f>SUM(L502:L504)</f>
        <v>0</v>
      </c>
      <c r="M501" s="441"/>
    </row>
    <row r="502" spans="1:13" s="439" customFormat="1" hidden="1" outlineLevel="3">
      <c r="A502" s="393"/>
      <c r="B502" s="387" t="s">
        <v>301</v>
      </c>
      <c r="C502" s="387" t="s">
        <v>301</v>
      </c>
      <c r="D502" s="441" t="s">
        <v>27</v>
      </c>
      <c r="E502" s="441" t="s">
        <v>28</v>
      </c>
      <c r="F502" s="428" t="s">
        <v>31</v>
      </c>
      <c r="G502" s="441"/>
      <c r="H502" s="388">
        <v>0.56340280000000009</v>
      </c>
      <c r="I502" s="389">
        <v>1</v>
      </c>
      <c r="J502" s="441"/>
      <c r="K502" s="399">
        <f t="shared" ref="K502:K504" si="61">IF(L502=1,H502,0)</f>
        <v>0</v>
      </c>
      <c r="L502" s="389"/>
      <c r="M502" s="441"/>
    </row>
    <row r="503" spans="1:13" s="439" customFormat="1" hidden="1" outlineLevel="3">
      <c r="A503" s="393"/>
      <c r="B503" s="387" t="s">
        <v>301</v>
      </c>
      <c r="C503" s="387" t="s">
        <v>301</v>
      </c>
      <c r="D503" s="441" t="s">
        <v>27</v>
      </c>
      <c r="E503" s="441" t="s">
        <v>28</v>
      </c>
      <c r="F503" s="428" t="s">
        <v>32</v>
      </c>
      <c r="G503" s="441"/>
      <c r="H503" s="388">
        <v>0.28170140000000005</v>
      </c>
      <c r="I503" s="389">
        <v>1</v>
      </c>
      <c r="J503" s="441"/>
      <c r="K503" s="399">
        <f t="shared" si="61"/>
        <v>0</v>
      </c>
      <c r="L503" s="389"/>
      <c r="M503" s="441"/>
    </row>
    <row r="504" spans="1:13" s="439" customFormat="1" hidden="1" outlineLevel="3">
      <c r="A504" s="393"/>
      <c r="B504" s="387" t="s">
        <v>301</v>
      </c>
      <c r="C504" s="387" t="s">
        <v>301</v>
      </c>
      <c r="D504" s="441" t="s">
        <v>27</v>
      </c>
      <c r="E504" s="441" t="s">
        <v>28</v>
      </c>
      <c r="F504" s="428" t="s">
        <v>170</v>
      </c>
      <c r="G504" s="441"/>
      <c r="H504" s="388">
        <v>0.28170140000000005</v>
      </c>
      <c r="I504" s="389">
        <v>1</v>
      </c>
      <c r="J504" s="441"/>
      <c r="K504" s="399">
        <f t="shared" si="61"/>
        <v>0</v>
      </c>
      <c r="L504" s="389"/>
      <c r="M504" s="441"/>
    </row>
    <row r="505" spans="1:13" s="439" customFormat="1" hidden="1" outlineLevel="2">
      <c r="A505" s="393">
        <v>2</v>
      </c>
      <c r="B505" s="386" t="s">
        <v>301</v>
      </c>
      <c r="C505" s="386" t="s">
        <v>301</v>
      </c>
      <c r="D505" s="407" t="s">
        <v>58</v>
      </c>
      <c r="E505" s="407"/>
      <c r="F505" s="426" t="s">
        <v>306</v>
      </c>
      <c r="G505" s="407"/>
      <c r="H505" s="408">
        <f>SUM(H506:H507)</f>
        <v>0.63024720000000012</v>
      </c>
      <c r="I505" s="409">
        <f>SUM(I506:I507)</f>
        <v>2</v>
      </c>
      <c r="J505" s="407"/>
      <c r="K505" s="408">
        <f>SUM(K506:K507)</f>
        <v>0</v>
      </c>
      <c r="L505" s="409">
        <f>SUM(L506:L507)</f>
        <v>0</v>
      </c>
      <c r="M505" s="441"/>
    </row>
    <row r="506" spans="1:13" s="439" customFormat="1" hidden="1" outlineLevel="3">
      <c r="A506" s="393"/>
      <c r="B506" s="387" t="s">
        <v>301</v>
      </c>
      <c r="C506" s="387" t="s">
        <v>301</v>
      </c>
      <c r="D506" s="441" t="s">
        <v>58</v>
      </c>
      <c r="E506" s="441" t="s">
        <v>28</v>
      </c>
      <c r="F506" s="428" t="s">
        <v>31</v>
      </c>
      <c r="G506" s="441"/>
      <c r="H506" s="388">
        <v>0.47268540000000003</v>
      </c>
      <c r="I506" s="389">
        <v>1</v>
      </c>
      <c r="J506" s="441"/>
      <c r="K506" s="399">
        <f t="shared" ref="K506:K507" si="62">IF(L506=1,H506,0)</f>
        <v>0</v>
      </c>
      <c r="L506" s="389"/>
      <c r="M506" s="441"/>
    </row>
    <row r="507" spans="1:13" s="439" customFormat="1" hidden="1" outlineLevel="3">
      <c r="A507" s="393"/>
      <c r="B507" s="387" t="s">
        <v>301</v>
      </c>
      <c r="C507" s="387" t="s">
        <v>301</v>
      </c>
      <c r="D507" s="441" t="s">
        <v>58</v>
      </c>
      <c r="E507" s="441" t="s">
        <v>28</v>
      </c>
      <c r="F507" s="428" t="s">
        <v>170</v>
      </c>
      <c r="G507" s="441"/>
      <c r="H507" s="388">
        <v>0.15756180000000003</v>
      </c>
      <c r="I507" s="389">
        <v>1</v>
      </c>
      <c r="J507" s="441"/>
      <c r="K507" s="399">
        <f t="shared" si="62"/>
        <v>0</v>
      </c>
      <c r="L507" s="389"/>
      <c r="M507" s="441"/>
    </row>
    <row r="508" spans="1:13" s="439" customFormat="1" outlineLevel="1" collapsed="1">
      <c r="A508" s="393"/>
      <c r="B508" s="639" t="s">
        <v>307</v>
      </c>
      <c r="C508" s="639" t="s">
        <v>308</v>
      </c>
      <c r="D508" s="639"/>
      <c r="E508" s="639"/>
      <c r="F508" s="641" t="s">
        <v>309</v>
      </c>
      <c r="G508" s="640"/>
      <c r="H508" s="646">
        <f>SUM(H509,H513,H515,H518)</f>
        <v>13.48481799</v>
      </c>
      <c r="I508" s="645">
        <f>I509+I513+I515+I518</f>
        <v>6</v>
      </c>
      <c r="J508" s="640"/>
      <c r="K508" s="646">
        <f>SUM(K509,K513,K515,K518)</f>
        <v>0</v>
      </c>
      <c r="L508" s="645">
        <f>L509+L513+L515+L518</f>
        <v>0</v>
      </c>
      <c r="M508" s="441"/>
    </row>
    <row r="509" spans="1:13" s="439" customFormat="1" hidden="1" outlineLevel="2">
      <c r="A509" s="393"/>
      <c r="B509" s="386" t="s">
        <v>308</v>
      </c>
      <c r="C509" s="386" t="s">
        <v>308</v>
      </c>
      <c r="D509" s="407" t="s">
        <v>17</v>
      </c>
      <c r="E509" s="386"/>
      <c r="F509" s="426" t="s">
        <v>310</v>
      </c>
      <c r="G509" s="407"/>
      <c r="H509" s="412">
        <f>SUM(H510:H512)</f>
        <v>11.053129500000001</v>
      </c>
      <c r="I509" s="413">
        <f>SUM(I510:I512)</f>
        <v>3</v>
      </c>
      <c r="J509" s="407"/>
      <c r="K509" s="412">
        <f>SUM(K510:K512)</f>
        <v>0</v>
      </c>
      <c r="L509" s="413">
        <f>SUM(L510:L512)</f>
        <v>0</v>
      </c>
      <c r="M509" s="441"/>
    </row>
    <row r="510" spans="1:13" s="439" customFormat="1" hidden="1" outlineLevel="3" collapsed="1">
      <c r="A510" s="393"/>
      <c r="B510" s="387" t="s">
        <v>308</v>
      </c>
      <c r="C510" s="387" t="s">
        <v>308</v>
      </c>
      <c r="D510" s="441" t="s">
        <v>17</v>
      </c>
      <c r="E510" s="387" t="s">
        <v>64</v>
      </c>
      <c r="F510" s="428" t="s">
        <v>284</v>
      </c>
      <c r="G510" s="441"/>
      <c r="H510" s="402">
        <v>3.6843765000000008</v>
      </c>
      <c r="I510" s="403">
        <v>1</v>
      </c>
      <c r="J510" s="441"/>
      <c r="K510" s="399">
        <f t="shared" ref="K510:K512" si="63">IF(L510=1,H510,0)</f>
        <v>0</v>
      </c>
      <c r="L510" s="403"/>
      <c r="M510" s="441"/>
    </row>
    <row r="511" spans="1:13" s="439" customFormat="1" hidden="1" outlineLevel="3">
      <c r="A511" s="393"/>
      <c r="B511" s="387" t="s">
        <v>308</v>
      </c>
      <c r="C511" s="387" t="s">
        <v>308</v>
      </c>
      <c r="D511" s="441" t="s">
        <v>17</v>
      </c>
      <c r="E511" s="387" t="s">
        <v>64</v>
      </c>
      <c r="F511" s="428" t="s">
        <v>31</v>
      </c>
      <c r="G511" s="441"/>
      <c r="H511" s="402">
        <v>3.6843765000000008</v>
      </c>
      <c r="I511" s="403">
        <v>1</v>
      </c>
      <c r="J511" s="441"/>
      <c r="K511" s="399">
        <f t="shared" si="63"/>
        <v>0</v>
      </c>
      <c r="L511" s="403"/>
      <c r="M511" s="441"/>
    </row>
    <row r="512" spans="1:13" s="439" customFormat="1" hidden="1" outlineLevel="3">
      <c r="A512" s="393"/>
      <c r="B512" s="387" t="s">
        <v>308</v>
      </c>
      <c r="C512" s="387" t="s">
        <v>308</v>
      </c>
      <c r="D512" s="441" t="s">
        <v>17</v>
      </c>
      <c r="E512" s="387" t="s">
        <v>64</v>
      </c>
      <c r="F512" s="428" t="s">
        <v>32</v>
      </c>
      <c r="G512" s="441"/>
      <c r="H512" s="402">
        <v>3.6843764999999999</v>
      </c>
      <c r="I512" s="403">
        <v>1</v>
      </c>
      <c r="J512" s="441"/>
      <c r="K512" s="399">
        <f t="shared" si="63"/>
        <v>0</v>
      </c>
      <c r="L512" s="403"/>
      <c r="M512" s="441"/>
    </row>
    <row r="513" spans="1:13" s="439" customFormat="1" hidden="1" outlineLevel="2">
      <c r="A513" s="393"/>
      <c r="B513" s="386" t="s">
        <v>308</v>
      </c>
      <c r="C513" s="386" t="s">
        <v>308</v>
      </c>
      <c r="D513" s="407" t="s">
        <v>25</v>
      </c>
      <c r="E513" s="407"/>
      <c r="F513" s="426" t="s">
        <v>310</v>
      </c>
      <c r="G513" s="407"/>
      <c r="H513" s="412">
        <f>SUM(H514:H514)</f>
        <v>1.5621756360000001</v>
      </c>
      <c r="I513" s="413">
        <f>SUM(I514:I514)</f>
        <v>1</v>
      </c>
      <c r="J513" s="407"/>
      <c r="K513" s="412">
        <f>SUM(K514:K514)</f>
        <v>0</v>
      </c>
      <c r="L513" s="413">
        <f>SUM(L514:L514)</f>
        <v>0</v>
      </c>
      <c r="M513" s="441"/>
    </row>
    <row r="514" spans="1:13" s="439" customFormat="1" hidden="1" outlineLevel="3">
      <c r="A514" s="393"/>
      <c r="B514" s="387" t="s">
        <v>308</v>
      </c>
      <c r="C514" s="387" t="s">
        <v>308</v>
      </c>
      <c r="D514" s="441" t="s">
        <v>25</v>
      </c>
      <c r="E514" s="441" t="s">
        <v>26</v>
      </c>
      <c r="F514" s="428" t="s">
        <v>31</v>
      </c>
      <c r="G514" s="441"/>
      <c r="H514" s="402">
        <v>1.5621756360000001</v>
      </c>
      <c r="I514" s="403">
        <v>1</v>
      </c>
      <c r="J514" s="441"/>
      <c r="K514" s="399">
        <f>IF(L514=1,H514,0)</f>
        <v>0</v>
      </c>
      <c r="L514" s="403"/>
      <c r="M514" s="441"/>
    </row>
    <row r="515" spans="1:13" s="439" customFormat="1" hidden="1" outlineLevel="2">
      <c r="A515" s="393"/>
      <c r="B515" s="386" t="s">
        <v>308</v>
      </c>
      <c r="C515" s="386" t="s">
        <v>308</v>
      </c>
      <c r="D515" s="407" t="s">
        <v>27</v>
      </c>
      <c r="E515" s="407"/>
      <c r="F515" s="426" t="s">
        <v>310</v>
      </c>
      <c r="G515" s="407"/>
      <c r="H515" s="412">
        <f>SUM(H516:H517)</f>
        <v>0.86951285400000011</v>
      </c>
      <c r="I515" s="413">
        <f>SUM(I516:I517)</f>
        <v>2</v>
      </c>
      <c r="J515" s="407"/>
      <c r="K515" s="412">
        <f>SUM(K516:K517)</f>
        <v>0</v>
      </c>
      <c r="L515" s="413">
        <f>SUM(L516:L517)</f>
        <v>0</v>
      </c>
      <c r="M515" s="441"/>
    </row>
    <row r="516" spans="1:13" s="439" customFormat="1" hidden="1" outlineLevel="3">
      <c r="A516" s="393"/>
      <c r="B516" s="387" t="s">
        <v>308</v>
      </c>
      <c r="C516" s="387" t="s">
        <v>308</v>
      </c>
      <c r="D516" s="441" t="s">
        <v>27</v>
      </c>
      <c r="E516" s="441" t="s">
        <v>28</v>
      </c>
      <c r="F516" s="428" t="s">
        <v>31</v>
      </c>
      <c r="G516" s="441"/>
      <c r="H516" s="402">
        <v>0.43475642700000006</v>
      </c>
      <c r="I516" s="403">
        <v>1</v>
      </c>
      <c r="J516" s="441"/>
      <c r="K516" s="399">
        <f t="shared" ref="K516:K517" si="64">IF(L516=1,H516,0)</f>
        <v>0</v>
      </c>
      <c r="L516" s="403"/>
      <c r="M516" s="441"/>
    </row>
    <row r="517" spans="1:13" s="439" customFormat="1" ht="11.25" hidden="1" customHeight="1" outlineLevel="3">
      <c r="A517" s="393"/>
      <c r="B517" s="387" t="s">
        <v>308</v>
      </c>
      <c r="C517" s="387" t="s">
        <v>308</v>
      </c>
      <c r="D517" s="441" t="s">
        <v>27</v>
      </c>
      <c r="E517" s="441" t="s">
        <v>28</v>
      </c>
      <c r="F517" s="428" t="s">
        <v>32</v>
      </c>
      <c r="G517" s="441"/>
      <c r="H517" s="402">
        <v>0.43475642700000006</v>
      </c>
      <c r="I517" s="403">
        <v>1</v>
      </c>
      <c r="J517" s="441"/>
      <c r="K517" s="399">
        <f t="shared" si="64"/>
        <v>0</v>
      </c>
      <c r="L517" s="403"/>
      <c r="M517" s="441"/>
    </row>
    <row r="518" spans="1:13" s="439" customFormat="1" hidden="1" outlineLevel="2">
      <c r="A518" s="393"/>
      <c r="B518" s="386" t="s">
        <v>308</v>
      </c>
      <c r="C518" s="386" t="s">
        <v>308</v>
      </c>
      <c r="D518" s="407" t="s">
        <v>58</v>
      </c>
      <c r="E518" s="407"/>
      <c r="F518" s="426" t="s">
        <v>310</v>
      </c>
      <c r="G518" s="407"/>
      <c r="H518" s="412"/>
      <c r="I518" s="413"/>
      <c r="J518" s="407"/>
      <c r="K518" s="412"/>
      <c r="L518" s="413"/>
      <c r="M518" s="441"/>
    </row>
    <row r="519" spans="1:13" s="439" customFormat="1" outlineLevel="1" collapsed="1">
      <c r="A519" s="393"/>
      <c r="B519" s="639" t="s">
        <v>311</v>
      </c>
      <c r="C519" s="639" t="s">
        <v>312</v>
      </c>
      <c r="D519" s="639"/>
      <c r="E519" s="639"/>
      <c r="F519" s="641" t="s">
        <v>309</v>
      </c>
      <c r="G519" s="640"/>
      <c r="H519" s="646">
        <f>SUM(H520,H524,H526,H529)</f>
        <v>4.4949393300000002</v>
      </c>
      <c r="I519" s="645">
        <f>I520+I524+I526+I529</f>
        <v>6</v>
      </c>
      <c r="J519" s="640"/>
      <c r="K519" s="646">
        <f>SUM(K520,K524,K526,K529)</f>
        <v>0</v>
      </c>
      <c r="L519" s="645">
        <f>L520+L524+L526+L529</f>
        <v>0</v>
      </c>
      <c r="M519" s="441"/>
    </row>
    <row r="520" spans="1:13" hidden="1" outlineLevel="2">
      <c r="A520" s="372"/>
      <c r="B520" s="386" t="s">
        <v>312</v>
      </c>
      <c r="C520" s="386" t="s">
        <v>312</v>
      </c>
      <c r="D520" s="385" t="s">
        <v>17</v>
      </c>
      <c r="E520" s="386"/>
      <c r="F520" s="426" t="s">
        <v>310</v>
      </c>
      <c r="G520" s="385"/>
      <c r="H520" s="412">
        <f>SUM(H521:H523)</f>
        <v>3.6843765000000004</v>
      </c>
      <c r="I520" s="413">
        <f>SUM(I521:I523)</f>
        <v>3</v>
      </c>
      <c r="J520" s="385"/>
      <c r="K520" s="412">
        <f>SUM(K521:K523)</f>
        <v>0</v>
      </c>
      <c r="L520" s="413">
        <f>SUM(L521:L523)</f>
        <v>0</v>
      </c>
      <c r="M520" s="372"/>
    </row>
    <row r="521" spans="1:13" hidden="1" outlineLevel="3" collapsed="1">
      <c r="A521" s="372"/>
      <c r="B521" s="387" t="s">
        <v>312</v>
      </c>
      <c r="C521" s="387" t="s">
        <v>312</v>
      </c>
      <c r="D521" s="372" t="s">
        <v>17</v>
      </c>
      <c r="E521" s="387" t="s">
        <v>64</v>
      </c>
      <c r="F521" s="428" t="s">
        <v>284</v>
      </c>
      <c r="G521" s="372"/>
      <c r="H521" s="402">
        <v>1.2281255000000002</v>
      </c>
      <c r="I521" s="403">
        <v>1</v>
      </c>
      <c r="J521" s="372"/>
      <c r="K521" s="399">
        <f t="shared" ref="K521:K523" si="65">IF(L521=1,H521,0)</f>
        <v>0</v>
      </c>
      <c r="L521" s="403"/>
      <c r="M521" s="372"/>
    </row>
    <row r="522" spans="1:13" hidden="1" outlineLevel="3">
      <c r="A522" s="372"/>
      <c r="B522" s="387" t="s">
        <v>312</v>
      </c>
      <c r="C522" s="387" t="s">
        <v>312</v>
      </c>
      <c r="D522" s="372" t="s">
        <v>17</v>
      </c>
      <c r="E522" s="387" t="s">
        <v>64</v>
      </c>
      <c r="F522" s="428" t="s">
        <v>31</v>
      </c>
      <c r="G522" s="372"/>
      <c r="H522" s="402">
        <v>1.2281255000000002</v>
      </c>
      <c r="I522" s="403">
        <v>1</v>
      </c>
      <c r="J522" s="372"/>
      <c r="K522" s="399">
        <f t="shared" si="65"/>
        <v>0</v>
      </c>
      <c r="L522" s="403"/>
      <c r="M522" s="372"/>
    </row>
    <row r="523" spans="1:13" hidden="1" outlineLevel="3">
      <c r="A523" s="372"/>
      <c r="B523" s="387" t="s">
        <v>312</v>
      </c>
      <c r="C523" s="387" t="s">
        <v>312</v>
      </c>
      <c r="D523" s="372" t="s">
        <v>17</v>
      </c>
      <c r="E523" s="387" t="s">
        <v>64</v>
      </c>
      <c r="F523" s="428" t="s">
        <v>32</v>
      </c>
      <c r="G523" s="372"/>
      <c r="H523" s="402">
        <v>1.2281255</v>
      </c>
      <c r="I523" s="403">
        <v>1</v>
      </c>
      <c r="J523" s="372"/>
      <c r="K523" s="399">
        <f t="shared" si="65"/>
        <v>0</v>
      </c>
      <c r="L523" s="403"/>
      <c r="M523" s="372"/>
    </row>
    <row r="524" spans="1:13" hidden="1" outlineLevel="2">
      <c r="A524" s="372"/>
      <c r="B524" s="386" t="s">
        <v>312</v>
      </c>
      <c r="C524" s="386" t="s">
        <v>312</v>
      </c>
      <c r="D524" s="385" t="s">
        <v>25</v>
      </c>
      <c r="E524" s="385"/>
      <c r="F524" s="426" t="s">
        <v>310</v>
      </c>
      <c r="G524" s="385"/>
      <c r="H524" s="412">
        <f>SUM(H525:H525)</f>
        <v>0.52072521199999999</v>
      </c>
      <c r="I524" s="413">
        <f>SUM(I525:I525)</f>
        <v>1</v>
      </c>
      <c r="J524" s="385"/>
      <c r="K524" s="412">
        <f>SUM(K525:K525)</f>
        <v>0</v>
      </c>
      <c r="L524" s="413">
        <f>SUM(L525:L525)</f>
        <v>0</v>
      </c>
      <c r="M524" s="372"/>
    </row>
    <row r="525" spans="1:13" hidden="1" outlineLevel="3">
      <c r="A525" s="372"/>
      <c r="B525" s="387" t="s">
        <v>312</v>
      </c>
      <c r="C525" s="387" t="s">
        <v>312</v>
      </c>
      <c r="D525" s="372" t="s">
        <v>25</v>
      </c>
      <c r="E525" s="372" t="s">
        <v>26</v>
      </c>
      <c r="F525" s="428" t="s">
        <v>31</v>
      </c>
      <c r="G525" s="372"/>
      <c r="H525" s="402">
        <v>0.52072521199999999</v>
      </c>
      <c r="I525" s="403">
        <v>1</v>
      </c>
      <c r="J525" s="372"/>
      <c r="K525" s="399">
        <f>IF(L525=1,H525,0)</f>
        <v>0</v>
      </c>
      <c r="L525" s="403"/>
      <c r="M525" s="372"/>
    </row>
    <row r="526" spans="1:13" hidden="1" outlineLevel="2">
      <c r="A526" s="372"/>
      <c r="B526" s="386" t="s">
        <v>312</v>
      </c>
      <c r="C526" s="386" t="s">
        <v>312</v>
      </c>
      <c r="D526" s="385" t="s">
        <v>27</v>
      </c>
      <c r="E526" s="385"/>
      <c r="F526" s="426" t="s">
        <v>313</v>
      </c>
      <c r="G526" s="385"/>
      <c r="H526" s="412">
        <f>SUM(H527:H528)</f>
        <v>0.28983761800000002</v>
      </c>
      <c r="I526" s="413">
        <f>SUM(I527:I528)</f>
        <v>2</v>
      </c>
      <c r="J526" s="385"/>
      <c r="K526" s="412">
        <f>SUM(K527:K528)</f>
        <v>0</v>
      </c>
      <c r="L526" s="413">
        <f>SUM(L527:L528)</f>
        <v>0</v>
      </c>
      <c r="M526" s="372"/>
    </row>
    <row r="527" spans="1:13" hidden="1" outlineLevel="3">
      <c r="A527" s="372"/>
      <c r="B527" s="387" t="s">
        <v>312</v>
      </c>
      <c r="C527" s="387" t="s">
        <v>312</v>
      </c>
      <c r="D527" s="372" t="s">
        <v>27</v>
      </c>
      <c r="E527" s="372" t="s">
        <v>28</v>
      </c>
      <c r="F527" s="428" t="s">
        <v>31</v>
      </c>
      <c r="G527" s="372"/>
      <c r="H527" s="402">
        <v>0.14491880900000001</v>
      </c>
      <c r="I527" s="403">
        <v>1</v>
      </c>
      <c r="J527" s="372"/>
      <c r="K527" s="399">
        <f t="shared" ref="K527:K528" si="66">IF(L527=1,H527,0)</f>
        <v>0</v>
      </c>
      <c r="L527" s="403"/>
      <c r="M527" s="372"/>
    </row>
    <row r="528" spans="1:13" hidden="1" outlineLevel="3">
      <c r="A528" s="372"/>
      <c r="B528" s="387" t="s">
        <v>312</v>
      </c>
      <c r="C528" s="387" t="s">
        <v>312</v>
      </c>
      <c r="D528" s="372" t="s">
        <v>27</v>
      </c>
      <c r="E528" s="372" t="s">
        <v>28</v>
      </c>
      <c r="F528" s="428" t="s">
        <v>32</v>
      </c>
      <c r="G528" s="372"/>
      <c r="H528" s="402">
        <v>0.14491880900000001</v>
      </c>
      <c r="I528" s="403">
        <v>1</v>
      </c>
      <c r="J528" s="372"/>
      <c r="K528" s="399">
        <f t="shared" si="66"/>
        <v>0</v>
      </c>
      <c r="L528" s="403"/>
      <c r="M528" s="372"/>
    </row>
    <row r="529" spans="1:13" hidden="1" outlineLevel="2">
      <c r="A529" s="372"/>
      <c r="B529" s="386" t="s">
        <v>312</v>
      </c>
      <c r="C529" s="386" t="s">
        <v>312</v>
      </c>
      <c r="D529" s="385" t="s">
        <v>58</v>
      </c>
      <c r="E529" s="385"/>
      <c r="F529" s="426" t="s">
        <v>313</v>
      </c>
      <c r="G529" s="385"/>
      <c r="H529" s="412"/>
      <c r="I529" s="413"/>
      <c r="J529" s="385"/>
      <c r="K529" s="412"/>
      <c r="L529" s="413"/>
      <c r="M529" s="372"/>
    </row>
    <row r="530" spans="1:13" outlineLevel="1">
      <c r="A530" s="372"/>
      <c r="B530" s="632" t="s">
        <v>271</v>
      </c>
      <c r="C530" s="632" t="s">
        <v>271</v>
      </c>
      <c r="D530" s="633"/>
      <c r="E530" s="632"/>
      <c r="F530" s="634" t="s">
        <v>314</v>
      </c>
      <c r="G530" s="633"/>
      <c r="H530" s="635">
        <f>SUM(H531,H538,H543,H547,H552)</f>
        <v>3.9379500000000003</v>
      </c>
      <c r="I530" s="636">
        <f>SUM(I531,I538,I543,I547,I552)</f>
        <v>19</v>
      </c>
      <c r="J530" s="633"/>
      <c r="K530" s="635">
        <f>SUM(K531,K538,K543,K547,K552)</f>
        <v>7.9649999999999999E-2</v>
      </c>
      <c r="L530" s="636">
        <f>SUM(L531,L538,L543,L547,L552)</f>
        <v>1</v>
      </c>
      <c r="M530" s="372"/>
    </row>
    <row r="531" spans="1:13" outlineLevel="2">
      <c r="A531" s="372"/>
      <c r="B531" s="385" t="s">
        <v>271</v>
      </c>
      <c r="C531" s="380" t="s">
        <v>271</v>
      </c>
      <c r="D531" s="385" t="s">
        <v>175</v>
      </c>
      <c r="E531" s="385"/>
      <c r="F531" s="424" t="s">
        <v>315</v>
      </c>
      <c r="G531" s="385"/>
      <c r="H531" s="405">
        <f>SUM(H532:H537)</f>
        <v>2.7524999999999999</v>
      </c>
      <c r="I531" s="404">
        <f>SUM(I532:I537)</f>
        <v>6</v>
      </c>
      <c r="J531" s="385"/>
      <c r="K531" s="405">
        <f>SUM(K532:K537)</f>
        <v>0</v>
      </c>
      <c r="L531" s="404">
        <f>SUM(L532:L537)</f>
        <v>0</v>
      </c>
      <c r="M531" s="372"/>
    </row>
    <row r="532" spans="1:13" outlineLevel="3">
      <c r="A532" s="372"/>
      <c r="B532" s="372" t="s">
        <v>271</v>
      </c>
      <c r="C532" s="376" t="s">
        <v>271</v>
      </c>
      <c r="D532" s="372" t="s">
        <v>175</v>
      </c>
      <c r="E532" s="372" t="s">
        <v>64</v>
      </c>
      <c r="F532" s="422" t="s">
        <v>316</v>
      </c>
      <c r="G532" s="372"/>
      <c r="H532" s="399">
        <v>0.33750000000000002</v>
      </c>
      <c r="I532" s="397">
        <v>1</v>
      </c>
      <c r="J532" s="372"/>
      <c r="K532" s="399">
        <f t="shared" ref="K532:K537" si="67">IF(L532=1,H532,0)</f>
        <v>0</v>
      </c>
      <c r="L532" s="397"/>
      <c r="M532" s="372"/>
    </row>
    <row r="533" spans="1:13" outlineLevel="3">
      <c r="A533" s="372"/>
      <c r="B533" s="372" t="s">
        <v>271</v>
      </c>
      <c r="C533" s="376" t="s">
        <v>271</v>
      </c>
      <c r="D533" s="372" t="s">
        <v>175</v>
      </c>
      <c r="E533" s="372" t="s">
        <v>64</v>
      </c>
      <c r="F533" s="422" t="s">
        <v>31</v>
      </c>
      <c r="G533" s="372"/>
      <c r="H533" s="399">
        <v>0.58000000000000007</v>
      </c>
      <c r="I533" s="378">
        <v>1</v>
      </c>
      <c r="J533" s="372"/>
      <c r="K533" s="399">
        <f t="shared" si="67"/>
        <v>0</v>
      </c>
      <c r="L533" s="378"/>
      <c r="M533" s="372"/>
    </row>
    <row r="534" spans="1:13" outlineLevel="3">
      <c r="A534" s="372"/>
      <c r="B534" s="372" t="s">
        <v>271</v>
      </c>
      <c r="C534" s="376" t="s">
        <v>271</v>
      </c>
      <c r="D534" s="372" t="s">
        <v>175</v>
      </c>
      <c r="E534" s="372" t="s">
        <v>64</v>
      </c>
      <c r="F534" s="422" t="s">
        <v>317</v>
      </c>
      <c r="G534" s="372"/>
      <c r="H534" s="399">
        <v>0.58000000000000007</v>
      </c>
      <c r="I534" s="397">
        <v>1</v>
      </c>
      <c r="J534" s="372"/>
      <c r="K534" s="399">
        <f t="shared" si="67"/>
        <v>0</v>
      </c>
      <c r="L534" s="397"/>
      <c r="M534" s="372"/>
    </row>
    <row r="535" spans="1:13" outlineLevel="3">
      <c r="A535" s="372"/>
      <c r="B535" s="372" t="s">
        <v>271</v>
      </c>
      <c r="C535" s="376" t="s">
        <v>271</v>
      </c>
      <c r="D535" s="372" t="s">
        <v>175</v>
      </c>
      <c r="E535" s="372" t="s">
        <v>64</v>
      </c>
      <c r="F535" s="422" t="s">
        <v>318</v>
      </c>
      <c r="G535" s="372"/>
      <c r="H535" s="399">
        <v>0.58000000000000007</v>
      </c>
      <c r="I535" s="397">
        <v>1</v>
      </c>
      <c r="J535" s="372"/>
      <c r="K535" s="399">
        <f t="shared" si="67"/>
        <v>0</v>
      </c>
      <c r="L535" s="397"/>
      <c r="M535" s="372"/>
    </row>
    <row r="536" spans="1:13" outlineLevel="3">
      <c r="A536" s="372"/>
      <c r="B536" s="372" t="s">
        <v>271</v>
      </c>
      <c r="C536" s="376" t="s">
        <v>271</v>
      </c>
      <c r="D536" s="372" t="s">
        <v>175</v>
      </c>
      <c r="E536" s="372" t="s">
        <v>64</v>
      </c>
      <c r="F536" s="422" t="s">
        <v>285</v>
      </c>
      <c r="G536" s="372"/>
      <c r="H536" s="399">
        <v>0.33750000000000002</v>
      </c>
      <c r="I536" s="397">
        <v>1</v>
      </c>
      <c r="J536" s="372"/>
      <c r="K536" s="399">
        <f t="shared" si="67"/>
        <v>0</v>
      </c>
      <c r="L536" s="397"/>
      <c r="M536" s="372"/>
    </row>
    <row r="537" spans="1:13" outlineLevel="3">
      <c r="A537" s="372"/>
      <c r="B537" s="372" t="s">
        <v>271</v>
      </c>
      <c r="C537" s="376" t="s">
        <v>271</v>
      </c>
      <c r="D537" s="372" t="s">
        <v>175</v>
      </c>
      <c r="E537" s="372" t="s">
        <v>64</v>
      </c>
      <c r="F537" s="422" t="s">
        <v>1844</v>
      </c>
      <c r="G537" s="372"/>
      <c r="H537" s="399">
        <v>0.33750000000000002</v>
      </c>
      <c r="I537" s="397">
        <v>1</v>
      </c>
      <c r="J537" s="372"/>
      <c r="K537" s="399">
        <f t="shared" si="67"/>
        <v>0</v>
      </c>
      <c r="L537" s="397"/>
      <c r="M537" s="372"/>
    </row>
    <row r="538" spans="1:13" outlineLevel="2">
      <c r="A538" s="372"/>
      <c r="B538" s="385" t="s">
        <v>271</v>
      </c>
      <c r="C538" s="380" t="s">
        <v>271</v>
      </c>
      <c r="D538" s="385" t="s">
        <v>17</v>
      </c>
      <c r="E538" s="380"/>
      <c r="F538" s="424" t="s">
        <v>323</v>
      </c>
      <c r="G538" s="385"/>
      <c r="H538" s="405">
        <f>SUM(H539:H542)</f>
        <v>0.28500000000000003</v>
      </c>
      <c r="I538" s="404">
        <f>SUM(I539:I542)</f>
        <v>3</v>
      </c>
      <c r="J538" s="385"/>
      <c r="K538" s="405">
        <f>SUM(K539:K542)</f>
        <v>0</v>
      </c>
      <c r="L538" s="404">
        <f>SUM(L539:L542)</f>
        <v>0</v>
      </c>
      <c r="M538" s="372"/>
    </row>
    <row r="539" spans="1:13" outlineLevel="3">
      <c r="A539" s="372"/>
      <c r="B539" s="372" t="s">
        <v>271</v>
      </c>
      <c r="C539" s="376" t="s">
        <v>271</v>
      </c>
      <c r="D539" s="372" t="s">
        <v>17</v>
      </c>
      <c r="E539" s="376" t="s">
        <v>177</v>
      </c>
      <c r="F539" s="406" t="s">
        <v>286</v>
      </c>
      <c r="G539" s="372"/>
      <c r="H539" s="399">
        <v>9.5000000000000015E-2</v>
      </c>
      <c r="I539" s="397">
        <v>1</v>
      </c>
      <c r="J539" s="372"/>
      <c r="K539" s="399">
        <f t="shared" ref="K539:K542" si="68">IF(L539=1,H539,0)</f>
        <v>0</v>
      </c>
      <c r="L539" s="397"/>
      <c r="M539" s="372"/>
    </row>
    <row r="540" spans="1:13" outlineLevel="3">
      <c r="A540" s="372"/>
      <c r="B540" s="372"/>
      <c r="C540" s="376"/>
      <c r="D540" s="372"/>
      <c r="E540" s="376"/>
      <c r="F540" s="406" t="s">
        <v>1845</v>
      </c>
      <c r="G540" s="372"/>
      <c r="H540" s="399"/>
      <c r="I540" s="397"/>
      <c r="J540" s="372"/>
      <c r="K540" s="399"/>
      <c r="L540" s="397"/>
      <c r="M540" s="372"/>
    </row>
    <row r="541" spans="1:13" outlineLevel="3">
      <c r="A541" s="372"/>
      <c r="B541" s="372" t="s">
        <v>271</v>
      </c>
      <c r="C541" s="376" t="s">
        <v>271</v>
      </c>
      <c r="D541" s="372" t="s">
        <v>17</v>
      </c>
      <c r="E541" s="376" t="s">
        <v>177</v>
      </c>
      <c r="F541" s="406" t="s">
        <v>287</v>
      </c>
      <c r="G541" s="372"/>
      <c r="H541" s="399">
        <v>9.5000000000000015E-2</v>
      </c>
      <c r="I541" s="397">
        <v>1</v>
      </c>
      <c r="J541" s="372"/>
      <c r="K541" s="399">
        <f t="shared" si="68"/>
        <v>0</v>
      </c>
      <c r="L541" s="397"/>
      <c r="M541" s="372"/>
    </row>
    <row r="542" spans="1:13" outlineLevel="3">
      <c r="A542" s="372"/>
      <c r="B542" s="372" t="s">
        <v>271</v>
      </c>
      <c r="C542" s="376" t="s">
        <v>271</v>
      </c>
      <c r="D542" s="372" t="s">
        <v>17</v>
      </c>
      <c r="E542" s="376" t="s">
        <v>177</v>
      </c>
      <c r="F542" s="406" t="s">
        <v>324</v>
      </c>
      <c r="G542" s="372"/>
      <c r="H542" s="399">
        <v>9.5000000000000015E-2</v>
      </c>
      <c r="I542" s="397">
        <v>1</v>
      </c>
      <c r="J542" s="372"/>
      <c r="K542" s="399">
        <f t="shared" si="68"/>
        <v>0</v>
      </c>
      <c r="L542" s="397"/>
      <c r="M542" s="372"/>
    </row>
    <row r="543" spans="1:13" outlineLevel="2">
      <c r="A543" s="372"/>
      <c r="B543" s="385" t="s">
        <v>271</v>
      </c>
      <c r="C543" s="380" t="s">
        <v>271</v>
      </c>
      <c r="D543" s="385" t="s">
        <v>25</v>
      </c>
      <c r="E543" s="385"/>
      <c r="F543" s="424" t="s">
        <v>325</v>
      </c>
      <c r="G543" s="385"/>
      <c r="H543" s="405">
        <f>SUM(H544:H546)</f>
        <v>0.57240000000000002</v>
      </c>
      <c r="I543" s="404">
        <f>SUM(I544:I546)</f>
        <v>3</v>
      </c>
      <c r="J543" s="385"/>
      <c r="K543" s="405">
        <f>SUM(K544:K546)</f>
        <v>0</v>
      </c>
      <c r="L543" s="404">
        <f>SUM(L544:L546)</f>
        <v>0</v>
      </c>
      <c r="M543" s="372"/>
    </row>
    <row r="544" spans="1:13" outlineLevel="3">
      <c r="A544" s="372"/>
      <c r="B544" s="372" t="s">
        <v>271</v>
      </c>
      <c r="C544" s="376" t="s">
        <v>271</v>
      </c>
      <c r="D544" s="372" t="s">
        <v>25</v>
      </c>
      <c r="E544" s="372" t="s">
        <v>26</v>
      </c>
      <c r="F544" s="422" t="s">
        <v>31</v>
      </c>
      <c r="G544" s="372"/>
      <c r="H544" s="399">
        <v>0.1431</v>
      </c>
      <c r="I544" s="397">
        <v>1</v>
      </c>
      <c r="J544" s="372"/>
      <c r="K544" s="399">
        <f t="shared" ref="K544:K546" si="69">IF(L544=1,H544,0)</f>
        <v>0</v>
      </c>
      <c r="L544" s="397"/>
      <c r="M544" s="372"/>
    </row>
    <row r="545" spans="1:13" outlineLevel="3">
      <c r="A545" s="372"/>
      <c r="B545" s="372" t="s">
        <v>271</v>
      </c>
      <c r="C545" s="376" t="s">
        <v>271</v>
      </c>
      <c r="D545" s="372" t="s">
        <v>25</v>
      </c>
      <c r="E545" s="372" t="s">
        <v>26</v>
      </c>
      <c r="F545" s="422" t="s">
        <v>33</v>
      </c>
      <c r="G545" s="372"/>
      <c r="H545" s="399">
        <v>0.28620000000000001</v>
      </c>
      <c r="I545" s="378">
        <v>1</v>
      </c>
      <c r="J545" s="372"/>
      <c r="K545" s="399">
        <f t="shared" si="69"/>
        <v>0</v>
      </c>
      <c r="L545" s="378"/>
      <c r="M545" s="372"/>
    </row>
    <row r="546" spans="1:13" outlineLevel="3">
      <c r="A546" s="372"/>
      <c r="B546" s="372" t="s">
        <v>271</v>
      </c>
      <c r="C546" s="376" t="s">
        <v>271</v>
      </c>
      <c r="D546" s="372" t="s">
        <v>25</v>
      </c>
      <c r="E546" s="372" t="s">
        <v>26</v>
      </c>
      <c r="F546" s="422" t="s">
        <v>1844</v>
      </c>
      <c r="G546" s="372"/>
      <c r="H546" s="399">
        <v>0.1431</v>
      </c>
      <c r="I546" s="378">
        <v>1</v>
      </c>
      <c r="J546" s="372"/>
      <c r="K546" s="399">
        <f t="shared" si="69"/>
        <v>0</v>
      </c>
      <c r="L546" s="378"/>
      <c r="M546" s="372"/>
    </row>
    <row r="547" spans="1:13" outlineLevel="2">
      <c r="A547" s="372"/>
      <c r="B547" s="385" t="s">
        <v>271</v>
      </c>
      <c r="C547" s="380" t="s">
        <v>271</v>
      </c>
      <c r="D547" s="385" t="s">
        <v>27</v>
      </c>
      <c r="E547" s="385"/>
      <c r="F547" s="424" t="s">
        <v>327</v>
      </c>
      <c r="G547" s="385"/>
      <c r="H547" s="405">
        <f>SUM(H548:H551)</f>
        <v>0.23895</v>
      </c>
      <c r="I547" s="404">
        <f>SUM(I548:I551)</f>
        <v>4</v>
      </c>
      <c r="J547" s="385"/>
      <c r="K547" s="405">
        <f>SUM(K548:K551)</f>
        <v>7.9649999999999999E-2</v>
      </c>
      <c r="L547" s="404">
        <f>SUM(L548:L551)</f>
        <v>1</v>
      </c>
      <c r="M547" s="372"/>
    </row>
    <row r="548" spans="1:13" outlineLevel="3">
      <c r="A548" s="372"/>
      <c r="B548" s="372" t="s">
        <v>271</v>
      </c>
      <c r="C548" s="376" t="s">
        <v>271</v>
      </c>
      <c r="D548" s="372" t="s">
        <v>27</v>
      </c>
      <c r="E548" s="372" t="s">
        <v>28</v>
      </c>
      <c r="F548" s="422" t="s">
        <v>31</v>
      </c>
      <c r="G548" s="372"/>
      <c r="H548" s="399">
        <v>3.9824999999999999E-2</v>
      </c>
      <c r="I548" s="397">
        <v>1</v>
      </c>
      <c r="J548" s="372"/>
      <c r="K548" s="399">
        <f t="shared" ref="K548:K551" si="70">IF(L548=1,H548,0)</f>
        <v>0</v>
      </c>
      <c r="L548" s="397"/>
      <c r="M548" s="372"/>
    </row>
    <row r="549" spans="1:13" outlineLevel="3">
      <c r="A549" s="372"/>
      <c r="B549" s="372" t="s">
        <v>271</v>
      </c>
      <c r="C549" s="376" t="s">
        <v>271</v>
      </c>
      <c r="D549" s="372" t="s">
        <v>27</v>
      </c>
      <c r="E549" s="372" t="s">
        <v>28</v>
      </c>
      <c r="F549" s="422" t="s">
        <v>32</v>
      </c>
      <c r="G549" s="372"/>
      <c r="H549" s="399">
        <v>7.9649999999999999E-2</v>
      </c>
      <c r="I549" s="397">
        <v>1</v>
      </c>
      <c r="J549" s="372"/>
      <c r="K549" s="399">
        <f t="shared" si="70"/>
        <v>7.9649999999999999E-2</v>
      </c>
      <c r="L549" s="397">
        <v>1</v>
      </c>
      <c r="M549" s="372"/>
    </row>
    <row r="550" spans="1:13" outlineLevel="3">
      <c r="A550" s="372"/>
      <c r="B550" s="372" t="s">
        <v>271</v>
      </c>
      <c r="C550" s="376" t="s">
        <v>271</v>
      </c>
      <c r="D550" s="372" t="s">
        <v>27</v>
      </c>
      <c r="E550" s="372" t="s">
        <v>28</v>
      </c>
      <c r="F550" s="422" t="s">
        <v>33</v>
      </c>
      <c r="G550" s="372"/>
      <c r="H550" s="399">
        <v>7.9649999999999999E-2</v>
      </c>
      <c r="I550" s="397">
        <v>1</v>
      </c>
      <c r="J550" s="372"/>
      <c r="K550" s="399">
        <f t="shared" si="70"/>
        <v>0</v>
      </c>
      <c r="L550" s="397"/>
      <c r="M550" s="372"/>
    </row>
    <row r="551" spans="1:13" outlineLevel="3" collapsed="1">
      <c r="A551" s="372"/>
      <c r="B551" s="372" t="s">
        <v>271</v>
      </c>
      <c r="C551" s="376" t="s">
        <v>271</v>
      </c>
      <c r="D551" s="372" t="s">
        <v>27</v>
      </c>
      <c r="E551" s="372" t="s">
        <v>28</v>
      </c>
      <c r="F551" s="422" t="s">
        <v>1844</v>
      </c>
      <c r="G551" s="372"/>
      <c r="H551" s="377">
        <v>3.9824999999999999E-2</v>
      </c>
      <c r="I551" s="378">
        <v>1</v>
      </c>
      <c r="J551" s="372"/>
      <c r="K551" s="399">
        <f t="shared" si="70"/>
        <v>0</v>
      </c>
      <c r="L551" s="378"/>
      <c r="M551" s="372"/>
    </row>
    <row r="552" spans="1:13" outlineLevel="2">
      <c r="A552" s="372"/>
      <c r="B552" s="385" t="s">
        <v>271</v>
      </c>
      <c r="C552" s="380" t="s">
        <v>271</v>
      </c>
      <c r="D552" s="385" t="s">
        <v>58</v>
      </c>
      <c r="E552" s="385"/>
      <c r="F552" s="424" t="s">
        <v>327</v>
      </c>
      <c r="G552" s="385"/>
      <c r="H552" s="405">
        <f>SUM(H553:H556)</f>
        <v>8.9100000000000013E-2</v>
      </c>
      <c r="I552" s="404">
        <f>SUM(I553:I556)</f>
        <v>3</v>
      </c>
      <c r="J552" s="385"/>
      <c r="K552" s="405">
        <f>SUM(K553:K556)</f>
        <v>0</v>
      </c>
      <c r="L552" s="404">
        <f>SUM(L553:L556)</f>
        <v>0</v>
      </c>
      <c r="M552" s="372"/>
    </row>
    <row r="553" spans="1:13" outlineLevel="3" collapsed="1">
      <c r="A553" s="372"/>
      <c r="B553" s="372" t="s">
        <v>271</v>
      </c>
      <c r="C553" s="376" t="s">
        <v>271</v>
      </c>
      <c r="D553" s="372" t="s">
        <v>58</v>
      </c>
      <c r="E553" s="372" t="s">
        <v>28</v>
      </c>
      <c r="F553" s="464" t="s">
        <v>31</v>
      </c>
      <c r="G553" s="372"/>
      <c r="H553" s="399">
        <v>4.4550000000000006E-2</v>
      </c>
      <c r="I553" s="397">
        <v>1</v>
      </c>
      <c r="J553" s="372"/>
      <c r="K553" s="399">
        <f t="shared" ref="K553:K556" si="71">IF(L553=1,H553,0)</f>
        <v>0</v>
      </c>
      <c r="L553" s="397"/>
      <c r="M553" s="372"/>
    </row>
    <row r="554" spans="1:13" ht="26.4" outlineLevel="3">
      <c r="A554" s="372"/>
      <c r="B554" s="372"/>
      <c r="C554" s="376"/>
      <c r="D554" s="372"/>
      <c r="E554" s="372"/>
      <c r="F554" s="671" t="s">
        <v>1846</v>
      </c>
      <c r="G554" s="372"/>
      <c r="H554" s="399"/>
      <c r="I554" s="397"/>
      <c r="J554" s="372"/>
      <c r="K554" s="399"/>
      <c r="L554" s="397"/>
      <c r="M554" s="372"/>
    </row>
    <row r="555" spans="1:13" outlineLevel="3">
      <c r="A555" s="372"/>
      <c r="B555" s="372" t="s">
        <v>271</v>
      </c>
      <c r="C555" s="376" t="s">
        <v>271</v>
      </c>
      <c r="D555" s="372" t="s">
        <v>58</v>
      </c>
      <c r="E555" s="372" t="s">
        <v>28</v>
      </c>
      <c r="F555" s="422" t="s">
        <v>33</v>
      </c>
      <c r="G555" s="372"/>
      <c r="H555" s="399">
        <v>2.2275000000000003E-2</v>
      </c>
      <c r="I555" s="397">
        <v>1</v>
      </c>
      <c r="J555" s="372"/>
      <c r="K555" s="399">
        <f t="shared" si="71"/>
        <v>0</v>
      </c>
      <c r="L555" s="397"/>
      <c r="M555" s="372"/>
    </row>
    <row r="556" spans="1:13" outlineLevel="3">
      <c r="A556" s="372"/>
      <c r="B556" s="372" t="s">
        <v>271</v>
      </c>
      <c r="C556" s="376" t="s">
        <v>271</v>
      </c>
      <c r="D556" s="372" t="s">
        <v>58</v>
      </c>
      <c r="E556" s="372" t="s">
        <v>28</v>
      </c>
      <c r="F556" s="422" t="s">
        <v>1844</v>
      </c>
      <c r="G556" s="372"/>
      <c r="H556" s="399">
        <v>2.2275000000000003E-2</v>
      </c>
      <c r="I556" s="397">
        <v>1</v>
      </c>
      <c r="J556" s="372"/>
      <c r="K556" s="399">
        <f t="shared" si="71"/>
        <v>0</v>
      </c>
      <c r="L556" s="397"/>
      <c r="M556" s="372"/>
    </row>
    <row r="557" spans="1:13" ht="26.4" outlineLevel="1" collapsed="1">
      <c r="A557" s="372"/>
      <c r="B557" s="632" t="s">
        <v>328</v>
      </c>
      <c r="C557" s="632" t="s">
        <v>265</v>
      </c>
      <c r="D557" s="632"/>
      <c r="E557" s="633"/>
      <c r="F557" s="634" t="s">
        <v>329</v>
      </c>
      <c r="G557" s="633"/>
      <c r="H557" s="637">
        <f>H558+H563+H564+H567+H571</f>
        <v>5.9871800000000004</v>
      </c>
      <c r="I557" s="636">
        <f>SUM(I558+I563+I564+I567+I571)</f>
        <v>12</v>
      </c>
      <c r="J557" s="633"/>
      <c r="K557" s="637">
        <f>K558+K563+K564+K567+K571</f>
        <v>0</v>
      </c>
      <c r="L557" s="636">
        <f>SUM(L558+L563+L564+L567+L571)</f>
        <v>0</v>
      </c>
      <c r="M557" s="372"/>
    </row>
    <row r="558" spans="1:13" hidden="1" outlineLevel="2">
      <c r="A558" s="372"/>
      <c r="B558" s="380" t="s">
        <v>328</v>
      </c>
      <c r="C558" s="380" t="s">
        <v>121</v>
      </c>
      <c r="D558" s="385" t="s">
        <v>175</v>
      </c>
      <c r="E558" s="385"/>
      <c r="F558" s="424" t="s">
        <v>330</v>
      </c>
      <c r="G558" s="385"/>
      <c r="H558" s="410">
        <f>SUM(H559:H562)</f>
        <v>4.5200000000000005</v>
      </c>
      <c r="I558" s="396">
        <f>SUM(I559:I562)</f>
        <v>4</v>
      </c>
      <c r="J558" s="385"/>
      <c r="K558" s="410">
        <f>SUM(K559:K562)</f>
        <v>0</v>
      </c>
      <c r="L558" s="396">
        <f>SUM(L559:L562)</f>
        <v>0</v>
      </c>
      <c r="M558" s="372"/>
    </row>
    <row r="559" spans="1:13" hidden="1" outlineLevel="3">
      <c r="A559" s="372"/>
      <c r="B559" s="376" t="s">
        <v>328</v>
      </c>
      <c r="C559" s="376" t="s">
        <v>121</v>
      </c>
      <c r="D559" s="372" t="s">
        <v>175</v>
      </c>
      <c r="E559" s="372" t="s">
        <v>28</v>
      </c>
      <c r="F559" s="422" t="s">
        <v>284</v>
      </c>
      <c r="G559" s="372"/>
      <c r="H559" s="377">
        <v>0.85500000000000009</v>
      </c>
      <c r="I559" s="397">
        <v>1</v>
      </c>
      <c r="J559" s="372"/>
      <c r="K559" s="399">
        <f t="shared" ref="K559:K562" si="72">IF(L559=1,H559,0)</f>
        <v>0</v>
      </c>
      <c r="L559" s="397"/>
      <c r="M559" s="372"/>
    </row>
    <row r="560" spans="1:13" hidden="1" outlineLevel="3">
      <c r="A560" s="372"/>
      <c r="B560" s="376" t="s">
        <v>328</v>
      </c>
      <c r="C560" s="376" t="s">
        <v>121</v>
      </c>
      <c r="D560" s="372" t="s">
        <v>175</v>
      </c>
      <c r="E560" s="372" t="s">
        <v>28</v>
      </c>
      <c r="F560" s="422" t="s">
        <v>31</v>
      </c>
      <c r="G560" s="372"/>
      <c r="H560" s="377">
        <v>1.4050000000000002</v>
      </c>
      <c r="I560" s="397">
        <v>1</v>
      </c>
      <c r="J560" s="372"/>
      <c r="K560" s="399">
        <f t="shared" si="72"/>
        <v>0</v>
      </c>
      <c r="L560" s="397"/>
      <c r="M560" s="372"/>
    </row>
    <row r="561" spans="1:13" hidden="1" outlineLevel="3">
      <c r="A561" s="372"/>
      <c r="B561" s="376" t="s">
        <v>328</v>
      </c>
      <c r="C561" s="376" t="s">
        <v>121</v>
      </c>
      <c r="D561" s="372" t="s">
        <v>175</v>
      </c>
      <c r="E561" s="372" t="s">
        <v>28</v>
      </c>
      <c r="F561" s="422" t="s">
        <v>32</v>
      </c>
      <c r="G561" s="372"/>
      <c r="H561" s="377">
        <v>1.4050000000000002</v>
      </c>
      <c r="I561" s="397">
        <v>1</v>
      </c>
      <c r="J561" s="372"/>
      <c r="K561" s="399">
        <f t="shared" si="72"/>
        <v>0</v>
      </c>
      <c r="L561" s="397"/>
      <c r="M561" s="372"/>
    </row>
    <row r="562" spans="1:13" hidden="1" outlineLevel="3">
      <c r="A562" s="372"/>
      <c r="B562" s="376" t="s">
        <v>328</v>
      </c>
      <c r="C562" s="376" t="s">
        <v>121</v>
      </c>
      <c r="D562" s="372" t="s">
        <v>175</v>
      </c>
      <c r="E562" s="372" t="s">
        <v>28</v>
      </c>
      <c r="F562" s="422" t="s">
        <v>326</v>
      </c>
      <c r="G562" s="372"/>
      <c r="H562" s="377">
        <v>0.85500000000000009</v>
      </c>
      <c r="I562" s="397">
        <v>1</v>
      </c>
      <c r="J562" s="372"/>
      <c r="K562" s="399">
        <f t="shared" si="72"/>
        <v>0</v>
      </c>
      <c r="L562" s="397"/>
      <c r="M562" s="372"/>
    </row>
    <row r="563" spans="1:13" hidden="1" outlineLevel="2">
      <c r="A563" s="372"/>
      <c r="B563" s="380" t="s">
        <v>328</v>
      </c>
      <c r="C563" s="380" t="s">
        <v>121</v>
      </c>
      <c r="D563" s="385" t="s">
        <v>17</v>
      </c>
      <c r="E563" s="385"/>
      <c r="F563" s="424" t="s">
        <v>323</v>
      </c>
      <c r="G563" s="385"/>
      <c r="H563" s="410"/>
      <c r="I563" s="396"/>
      <c r="J563" s="385"/>
      <c r="K563" s="410"/>
      <c r="L563" s="396"/>
      <c r="M563" s="372"/>
    </row>
    <row r="564" spans="1:13" hidden="1" outlineLevel="2">
      <c r="A564" s="372"/>
      <c r="B564" s="380" t="s">
        <v>328</v>
      </c>
      <c r="C564" s="380" t="s">
        <v>121</v>
      </c>
      <c r="D564" s="385" t="s">
        <v>25</v>
      </c>
      <c r="E564" s="385"/>
      <c r="F564" s="424" t="s">
        <v>331</v>
      </c>
      <c r="G564" s="385"/>
      <c r="H564" s="410">
        <f>SUM(H565:H566)</f>
        <v>0.72504000000000002</v>
      </c>
      <c r="I564" s="396">
        <f>SUM(I565:I566)</f>
        <v>2</v>
      </c>
      <c r="J564" s="385"/>
      <c r="K564" s="410">
        <f>SUM(K565:K566)</f>
        <v>0</v>
      </c>
      <c r="L564" s="396">
        <f>SUM(L565:L566)</f>
        <v>0</v>
      </c>
      <c r="M564" s="372"/>
    </row>
    <row r="565" spans="1:13" hidden="1" outlineLevel="3">
      <c r="A565" s="372"/>
      <c r="B565" s="376" t="s">
        <v>328</v>
      </c>
      <c r="C565" s="376" t="s">
        <v>121</v>
      </c>
      <c r="D565" s="372" t="s">
        <v>25</v>
      </c>
      <c r="E565" s="372" t="s">
        <v>26</v>
      </c>
      <c r="F565" s="422" t="s">
        <v>31</v>
      </c>
      <c r="G565" s="372"/>
      <c r="H565" s="377">
        <v>0.36252000000000001</v>
      </c>
      <c r="I565" s="378">
        <v>1</v>
      </c>
      <c r="J565" s="372"/>
      <c r="K565" s="399">
        <f t="shared" ref="K565:K566" si="73">IF(L565=1,H565,0)</f>
        <v>0</v>
      </c>
      <c r="L565" s="378"/>
      <c r="M565" s="372"/>
    </row>
    <row r="566" spans="1:13" hidden="1" outlineLevel="3">
      <c r="A566" s="372"/>
      <c r="B566" s="376" t="s">
        <v>328</v>
      </c>
      <c r="C566" s="376" t="s">
        <v>121</v>
      </c>
      <c r="D566" s="372" t="s">
        <v>25</v>
      </c>
      <c r="E566" s="372" t="s">
        <v>26</v>
      </c>
      <c r="F566" s="422" t="s">
        <v>326</v>
      </c>
      <c r="G566" s="372"/>
      <c r="H566" s="399">
        <v>0.36252000000000001</v>
      </c>
      <c r="I566" s="397">
        <v>1</v>
      </c>
      <c r="J566" s="372"/>
      <c r="K566" s="399">
        <f t="shared" si="73"/>
        <v>0</v>
      </c>
      <c r="L566" s="397"/>
      <c r="M566" s="372"/>
    </row>
    <row r="567" spans="1:13" hidden="1" outlineLevel="2">
      <c r="A567" s="372"/>
      <c r="B567" s="380" t="s">
        <v>328</v>
      </c>
      <c r="C567" s="380" t="s">
        <v>121</v>
      </c>
      <c r="D567" s="385" t="s">
        <v>27</v>
      </c>
      <c r="E567" s="385"/>
      <c r="F567" s="424" t="s">
        <v>323</v>
      </c>
      <c r="G567" s="385"/>
      <c r="H567" s="410">
        <f>SUM(H568:H570)</f>
        <v>0.40355999999999997</v>
      </c>
      <c r="I567" s="396">
        <f>SUM(I568:I570)</f>
        <v>3</v>
      </c>
      <c r="J567" s="385"/>
      <c r="K567" s="410">
        <f>SUM(K568:K570)</f>
        <v>0</v>
      </c>
      <c r="L567" s="396">
        <f>SUM(L568:L570)</f>
        <v>0</v>
      </c>
      <c r="M567" s="372"/>
    </row>
    <row r="568" spans="1:13" hidden="1" outlineLevel="3">
      <c r="A568" s="372"/>
      <c r="B568" s="376" t="s">
        <v>328</v>
      </c>
      <c r="C568" s="376" t="s">
        <v>121</v>
      </c>
      <c r="D568" s="372" t="s">
        <v>27</v>
      </c>
      <c r="E568" s="372" t="s">
        <v>28</v>
      </c>
      <c r="F568" s="422" t="s">
        <v>31</v>
      </c>
      <c r="G568" s="372"/>
      <c r="H568" s="399">
        <v>0.10088999999999999</v>
      </c>
      <c r="I568" s="397">
        <v>1</v>
      </c>
      <c r="J568" s="372"/>
      <c r="K568" s="399">
        <f t="shared" ref="K568:K570" si="74">IF(L568=1,H568,0)</f>
        <v>0</v>
      </c>
      <c r="L568" s="397"/>
      <c r="M568" s="372"/>
    </row>
    <row r="569" spans="1:13" hidden="1" outlineLevel="3">
      <c r="A569" s="372"/>
      <c r="B569" s="376" t="s">
        <v>328</v>
      </c>
      <c r="C569" s="376" t="s">
        <v>121</v>
      </c>
      <c r="D569" s="372" t="s">
        <v>27</v>
      </c>
      <c r="E569" s="372" t="s">
        <v>28</v>
      </c>
      <c r="F569" s="422" t="s">
        <v>32</v>
      </c>
      <c r="G569" s="372"/>
      <c r="H569" s="399">
        <v>0.20177999999999999</v>
      </c>
      <c r="I569" s="397">
        <v>1</v>
      </c>
      <c r="J569" s="372"/>
      <c r="K569" s="399">
        <f t="shared" si="74"/>
        <v>0</v>
      </c>
      <c r="L569" s="397"/>
      <c r="M569" s="372"/>
    </row>
    <row r="570" spans="1:13" hidden="1" outlineLevel="3">
      <c r="A570" s="372"/>
      <c r="B570" s="376" t="s">
        <v>328</v>
      </c>
      <c r="C570" s="376" t="s">
        <v>121</v>
      </c>
      <c r="D570" s="372" t="s">
        <v>27</v>
      </c>
      <c r="E570" s="372" t="s">
        <v>28</v>
      </c>
      <c r="F570" s="422" t="s">
        <v>326</v>
      </c>
      <c r="G570" s="372"/>
      <c r="H570" s="377">
        <v>0.10088999999999999</v>
      </c>
      <c r="I570" s="378">
        <v>1</v>
      </c>
      <c r="J570" s="372"/>
      <c r="K570" s="399">
        <f t="shared" si="74"/>
        <v>0</v>
      </c>
      <c r="L570" s="378"/>
      <c r="M570" s="372"/>
    </row>
    <row r="571" spans="1:13" hidden="1" outlineLevel="2">
      <c r="A571" s="372"/>
      <c r="B571" s="380" t="s">
        <v>328</v>
      </c>
      <c r="C571" s="380" t="s">
        <v>121</v>
      </c>
      <c r="D571" s="385" t="s">
        <v>58</v>
      </c>
      <c r="E571" s="385"/>
      <c r="F571" s="424" t="s">
        <v>323</v>
      </c>
      <c r="G571" s="385"/>
      <c r="H571" s="410">
        <f>+SUM(H572:H574)</f>
        <v>0.33857999999999999</v>
      </c>
      <c r="I571" s="396">
        <f>SUM(I572:I574)</f>
        <v>3</v>
      </c>
      <c r="J571" s="385"/>
      <c r="K571" s="410">
        <f>+SUM(K572:K574)</f>
        <v>0</v>
      </c>
      <c r="L571" s="396">
        <f>SUM(L572:L574)</f>
        <v>0</v>
      </c>
      <c r="M571" s="372"/>
    </row>
    <row r="572" spans="1:13" hidden="1" outlineLevel="3">
      <c r="A572" s="372"/>
      <c r="B572" s="376" t="s">
        <v>328</v>
      </c>
      <c r="C572" s="376" t="s">
        <v>121</v>
      </c>
      <c r="D572" s="372" t="s">
        <v>58</v>
      </c>
      <c r="E572" s="372" t="s">
        <v>28</v>
      </c>
      <c r="F572" s="422" t="s">
        <v>31</v>
      </c>
      <c r="G572" s="372"/>
      <c r="H572" s="399">
        <v>0.11286000000000002</v>
      </c>
      <c r="I572" s="397">
        <v>1</v>
      </c>
      <c r="J572" s="372"/>
      <c r="K572" s="399">
        <f t="shared" ref="K572:K574" si="75">IF(L572=1,H572,0)</f>
        <v>0</v>
      </c>
      <c r="L572" s="397"/>
      <c r="M572" s="372"/>
    </row>
    <row r="573" spans="1:13" hidden="1" outlineLevel="3">
      <c r="A573" s="372"/>
      <c r="B573" s="376" t="s">
        <v>328</v>
      </c>
      <c r="C573" s="376" t="s">
        <v>121</v>
      </c>
      <c r="D573" s="372" t="s">
        <v>58</v>
      </c>
      <c r="E573" s="372" t="s">
        <v>28</v>
      </c>
      <c r="F573" s="422" t="s">
        <v>32</v>
      </c>
      <c r="G573" s="372"/>
      <c r="H573" s="399">
        <v>0.16929</v>
      </c>
      <c r="I573" s="397">
        <v>1</v>
      </c>
      <c r="J573" s="372"/>
      <c r="K573" s="399">
        <f t="shared" si="75"/>
        <v>0</v>
      </c>
      <c r="L573" s="397"/>
      <c r="M573" s="372"/>
    </row>
    <row r="574" spans="1:13" hidden="1" outlineLevel="3">
      <c r="A574" s="372"/>
      <c r="B574" s="376" t="s">
        <v>328</v>
      </c>
      <c r="C574" s="376" t="s">
        <v>121</v>
      </c>
      <c r="D574" s="372" t="s">
        <v>58</v>
      </c>
      <c r="E574" s="372" t="s">
        <v>28</v>
      </c>
      <c r="F574" s="422" t="s">
        <v>326</v>
      </c>
      <c r="G574" s="372"/>
      <c r="H574" s="377">
        <v>5.6430000000000008E-2</v>
      </c>
      <c r="I574" s="378">
        <v>1</v>
      </c>
      <c r="J574" s="372"/>
      <c r="K574" s="399">
        <f t="shared" si="75"/>
        <v>0</v>
      </c>
      <c r="L574" s="378"/>
      <c r="M574" s="372"/>
    </row>
    <row r="575" spans="1:13" outlineLevel="1" collapsed="1">
      <c r="A575" s="372"/>
      <c r="B575" s="639" t="s">
        <v>332</v>
      </c>
      <c r="C575" s="639" t="s">
        <v>121</v>
      </c>
      <c r="D575" s="647"/>
      <c r="E575" s="633"/>
      <c r="F575" s="634" t="s">
        <v>333</v>
      </c>
      <c r="G575" s="633"/>
      <c r="H575" s="642">
        <f>H576+H580+H582+H584+H587</f>
        <v>2.7968904440006535</v>
      </c>
      <c r="I575" s="643">
        <f>I576+I580+I582+I584+I587</f>
        <v>9</v>
      </c>
      <c r="J575" s="633"/>
      <c r="K575" s="642">
        <f>K576+K580+K582+K584+K587</f>
        <v>0</v>
      </c>
      <c r="L575" s="643">
        <f>L576+L580+L582+L584+L587</f>
        <v>0</v>
      </c>
      <c r="M575" s="372"/>
    </row>
    <row r="576" spans="1:13" hidden="1" outlineLevel="2">
      <c r="A576" s="372"/>
      <c r="B576" s="385" t="s">
        <v>332</v>
      </c>
      <c r="C576" s="386" t="s">
        <v>121</v>
      </c>
      <c r="D576" s="385" t="s">
        <v>175</v>
      </c>
      <c r="E576" s="385"/>
      <c r="F576" s="424" t="s">
        <v>334</v>
      </c>
      <c r="G576" s="385"/>
      <c r="H576" s="405">
        <f>SUM(H577:H579)</f>
        <v>2.184224765452226</v>
      </c>
      <c r="I576" s="404">
        <f>SUM(I577:I579)</f>
        <v>3</v>
      </c>
      <c r="J576" s="385"/>
      <c r="K576" s="405">
        <f>SUM(K577:K579)</f>
        <v>0</v>
      </c>
      <c r="L576" s="404">
        <f>SUM(L577:L579)</f>
        <v>0</v>
      </c>
      <c r="M576" s="372"/>
    </row>
    <row r="577" spans="1:13" hidden="1" outlineLevel="3">
      <c r="A577" s="372"/>
      <c r="B577" s="372" t="s">
        <v>332</v>
      </c>
      <c r="C577" s="387" t="s">
        <v>121</v>
      </c>
      <c r="D577" s="372" t="s">
        <v>175</v>
      </c>
      <c r="E577" s="372" t="s">
        <v>28</v>
      </c>
      <c r="F577" s="422" t="s">
        <v>284</v>
      </c>
      <c r="G577" s="372"/>
      <c r="H577" s="399">
        <v>0.4724994626592407</v>
      </c>
      <c r="I577" s="397">
        <v>1</v>
      </c>
      <c r="J577" s="372"/>
      <c r="K577" s="399">
        <f t="shared" ref="K577:K579" si="76">IF(L577=1,H577,0)</f>
        <v>0</v>
      </c>
      <c r="L577" s="397"/>
      <c r="M577" s="372"/>
    </row>
    <row r="578" spans="1:13" hidden="1" outlineLevel="3">
      <c r="A578" s="372"/>
      <c r="B578" s="372" t="s">
        <v>332</v>
      </c>
      <c r="C578" s="387" t="s">
        <v>121</v>
      </c>
      <c r="D578" s="372" t="s">
        <v>175</v>
      </c>
      <c r="E578" s="372" t="s">
        <v>28</v>
      </c>
      <c r="F578" s="422" t="s">
        <v>31</v>
      </c>
      <c r="G578" s="372"/>
      <c r="H578" s="399">
        <v>0.85586265139649265</v>
      </c>
      <c r="I578" s="397">
        <v>1</v>
      </c>
      <c r="J578" s="372"/>
      <c r="K578" s="399">
        <f t="shared" si="76"/>
        <v>0</v>
      </c>
      <c r="L578" s="397"/>
      <c r="M578" s="372"/>
    </row>
    <row r="579" spans="1:13" hidden="1" outlineLevel="3">
      <c r="A579" s="372"/>
      <c r="B579" s="372" t="s">
        <v>332</v>
      </c>
      <c r="C579" s="387" t="s">
        <v>121</v>
      </c>
      <c r="D579" s="372" t="s">
        <v>175</v>
      </c>
      <c r="E579" s="372" t="s">
        <v>28</v>
      </c>
      <c r="F579" s="422" t="s">
        <v>32</v>
      </c>
      <c r="G579" s="372"/>
      <c r="H579" s="399">
        <v>0.85586265139649265</v>
      </c>
      <c r="I579" s="397">
        <v>1</v>
      </c>
      <c r="J579" s="372"/>
      <c r="K579" s="399">
        <f t="shared" si="76"/>
        <v>0</v>
      </c>
      <c r="L579" s="397"/>
      <c r="M579" s="372"/>
    </row>
    <row r="580" spans="1:13" hidden="1" outlineLevel="2">
      <c r="A580" s="372"/>
      <c r="B580" s="385" t="s">
        <v>332</v>
      </c>
      <c r="C580" s="386" t="s">
        <v>121</v>
      </c>
      <c r="D580" s="385" t="s">
        <v>17</v>
      </c>
      <c r="E580" s="385"/>
      <c r="F580" s="424" t="s">
        <v>334</v>
      </c>
      <c r="G580" s="385"/>
      <c r="H580" s="405">
        <f>SUM(H581:H581)</f>
        <v>8.9136273921988848E-2</v>
      </c>
      <c r="I580" s="404">
        <f>SUM(I581:I581)</f>
        <v>1</v>
      </c>
      <c r="J580" s="385"/>
      <c r="K580" s="405">
        <f>SUM(K581:K581)</f>
        <v>0</v>
      </c>
      <c r="L580" s="404">
        <f>SUM(L581:L581)</f>
        <v>0</v>
      </c>
      <c r="M580" s="372"/>
    </row>
    <row r="581" spans="1:13" hidden="1" outlineLevel="3">
      <c r="A581" s="372"/>
      <c r="B581" s="372" t="s">
        <v>332</v>
      </c>
      <c r="C581" s="387" t="s">
        <v>121</v>
      </c>
      <c r="D581" s="372" t="s">
        <v>17</v>
      </c>
      <c r="E581" s="372" t="s">
        <v>177</v>
      </c>
      <c r="F581" s="422" t="s">
        <v>31</v>
      </c>
      <c r="G581" s="372"/>
      <c r="H581" s="399">
        <v>8.9136273921988848E-2</v>
      </c>
      <c r="I581" s="397">
        <v>1</v>
      </c>
      <c r="J581" s="372"/>
      <c r="K581" s="399">
        <f>IF(L581=1,H581,0)</f>
        <v>0</v>
      </c>
      <c r="L581" s="397"/>
      <c r="M581" s="372"/>
    </row>
    <row r="582" spans="1:13" hidden="1" outlineLevel="2">
      <c r="A582" s="372"/>
      <c r="B582" s="385" t="s">
        <v>332</v>
      </c>
      <c r="C582" s="386" t="s">
        <v>121</v>
      </c>
      <c r="D582" s="385" t="s">
        <v>25</v>
      </c>
      <c r="E582" s="385"/>
      <c r="F582" s="424" t="s">
        <v>334</v>
      </c>
      <c r="G582" s="385"/>
      <c r="H582" s="405">
        <f>SUM(H583:H583)</f>
        <v>0.20033977216751808</v>
      </c>
      <c r="I582" s="404">
        <f>SUM(I583:I583)</f>
        <v>1</v>
      </c>
      <c r="J582" s="385"/>
      <c r="K582" s="405">
        <f>SUM(K583:K583)</f>
        <v>0</v>
      </c>
      <c r="L582" s="404">
        <f>SUM(L583:L583)</f>
        <v>0</v>
      </c>
      <c r="M582" s="372"/>
    </row>
    <row r="583" spans="1:13" hidden="1" outlineLevel="3">
      <c r="A583" s="372"/>
      <c r="B583" s="372" t="s">
        <v>332</v>
      </c>
      <c r="C583" s="387" t="s">
        <v>121</v>
      </c>
      <c r="D583" s="372" t="s">
        <v>25</v>
      </c>
      <c r="E583" s="372" t="s">
        <v>26</v>
      </c>
      <c r="F583" s="422" t="s">
        <v>31</v>
      </c>
      <c r="G583" s="372"/>
      <c r="H583" s="399">
        <v>0.20033977216751808</v>
      </c>
      <c r="I583" s="397">
        <v>1</v>
      </c>
      <c r="J583" s="372"/>
      <c r="K583" s="399">
        <f>IF(L583=1,H583,0)</f>
        <v>0</v>
      </c>
      <c r="L583" s="397"/>
      <c r="M583" s="372"/>
    </row>
    <row r="584" spans="1:13" hidden="1" outlineLevel="2">
      <c r="A584" s="372"/>
      <c r="B584" s="385" t="s">
        <v>332</v>
      </c>
      <c r="C584" s="386" t="s">
        <v>121</v>
      </c>
      <c r="D584" s="385" t="s">
        <v>27</v>
      </c>
      <c r="E584" s="385"/>
      <c r="F584" s="424" t="s">
        <v>334</v>
      </c>
      <c r="G584" s="385"/>
      <c r="H584" s="405">
        <f>SUM(H585:H586)</f>
        <v>0.1672648097813712</v>
      </c>
      <c r="I584" s="404">
        <f>SUM(I585:I586)</f>
        <v>2</v>
      </c>
      <c r="J584" s="385"/>
      <c r="K584" s="405">
        <f>SUM(K585:K586)</f>
        <v>0</v>
      </c>
      <c r="L584" s="404">
        <f>SUM(L585:L586)</f>
        <v>0</v>
      </c>
      <c r="M584" s="372"/>
    </row>
    <row r="585" spans="1:13" hidden="1" outlineLevel="3">
      <c r="A585" s="372"/>
      <c r="B585" s="372" t="s">
        <v>332</v>
      </c>
      <c r="C585" s="387" t="s">
        <v>121</v>
      </c>
      <c r="D585" s="373" t="s">
        <v>27</v>
      </c>
      <c r="E585" s="373" t="s">
        <v>28</v>
      </c>
      <c r="F585" s="422" t="s">
        <v>31</v>
      </c>
      <c r="G585" s="372"/>
      <c r="H585" s="399">
        <v>5.5754936593790397E-2</v>
      </c>
      <c r="I585" s="397">
        <v>1</v>
      </c>
      <c r="J585" s="372"/>
      <c r="K585" s="399">
        <f t="shared" ref="K585:K586" si="77">IF(L585=1,H585,0)</f>
        <v>0</v>
      </c>
      <c r="L585" s="397"/>
      <c r="M585" s="372"/>
    </row>
    <row r="586" spans="1:13" hidden="1" outlineLevel="3">
      <c r="A586" s="372"/>
      <c r="B586" s="372" t="s">
        <v>332</v>
      </c>
      <c r="C586" s="387" t="s">
        <v>121</v>
      </c>
      <c r="D586" s="373" t="s">
        <v>27</v>
      </c>
      <c r="E586" s="373" t="s">
        <v>28</v>
      </c>
      <c r="F586" s="422" t="s">
        <v>32</v>
      </c>
      <c r="G586" s="372"/>
      <c r="H586" s="399">
        <v>0.11150987318758079</v>
      </c>
      <c r="I586" s="397">
        <v>1</v>
      </c>
      <c r="J586" s="372"/>
      <c r="K586" s="399">
        <f t="shared" si="77"/>
        <v>0</v>
      </c>
      <c r="L586" s="397"/>
      <c r="M586" s="372"/>
    </row>
    <row r="587" spans="1:13" hidden="1" outlineLevel="2">
      <c r="A587" s="372"/>
      <c r="B587" s="385" t="s">
        <v>332</v>
      </c>
      <c r="C587" s="386" t="s">
        <v>121</v>
      </c>
      <c r="D587" s="385" t="s">
        <v>58</v>
      </c>
      <c r="E587" s="385"/>
      <c r="F587" s="424" t="s">
        <v>334</v>
      </c>
      <c r="G587" s="385"/>
      <c r="H587" s="405">
        <f>SUM(H588:H589)</f>
        <v>0.15592482267754942</v>
      </c>
      <c r="I587" s="404">
        <f>SUM(I588:I589)</f>
        <v>2</v>
      </c>
      <c r="J587" s="385"/>
      <c r="K587" s="405">
        <f>SUM(K588:K589)</f>
        <v>0</v>
      </c>
      <c r="L587" s="404">
        <f>SUM(L588:L589)</f>
        <v>0</v>
      </c>
      <c r="M587" s="372"/>
    </row>
    <row r="588" spans="1:13" hidden="1" outlineLevel="4">
      <c r="A588" s="372"/>
      <c r="B588" s="372" t="s">
        <v>332</v>
      </c>
      <c r="C588" s="387" t="s">
        <v>121</v>
      </c>
      <c r="D588" s="372" t="s">
        <v>58</v>
      </c>
      <c r="E588" s="373" t="s">
        <v>28</v>
      </c>
      <c r="F588" s="422" t="s">
        <v>31</v>
      </c>
      <c r="G588" s="372"/>
      <c r="H588" s="399">
        <v>6.2369929071019771E-2</v>
      </c>
      <c r="I588" s="397">
        <v>1</v>
      </c>
      <c r="J588" s="372"/>
      <c r="K588" s="399">
        <f t="shared" ref="K588:K589" si="78">IF(L588=1,H588,0)</f>
        <v>0</v>
      </c>
      <c r="L588" s="397"/>
      <c r="M588" s="372"/>
    </row>
    <row r="589" spans="1:13" hidden="1" outlineLevel="4">
      <c r="A589" s="372"/>
      <c r="B589" s="372" t="s">
        <v>332</v>
      </c>
      <c r="C589" s="387" t="s">
        <v>121</v>
      </c>
      <c r="D589" s="372" t="s">
        <v>58</v>
      </c>
      <c r="E589" s="373" t="s">
        <v>28</v>
      </c>
      <c r="F589" s="422" t="s">
        <v>32</v>
      </c>
      <c r="G589" s="372"/>
      <c r="H589" s="399">
        <v>9.3554893606529646E-2</v>
      </c>
      <c r="I589" s="397">
        <v>1</v>
      </c>
      <c r="J589" s="372"/>
      <c r="K589" s="399">
        <f t="shared" si="78"/>
        <v>0</v>
      </c>
      <c r="L589" s="397"/>
      <c r="M589" s="372"/>
    </row>
    <row r="590" spans="1:13" outlineLevel="1" collapsed="1">
      <c r="A590" s="372"/>
      <c r="B590" s="639" t="s">
        <v>335</v>
      </c>
      <c r="C590" s="639" t="s">
        <v>121</v>
      </c>
      <c r="D590" s="647" t="s">
        <v>12</v>
      </c>
      <c r="E590" s="633"/>
      <c r="F590" s="634" t="s">
        <v>333</v>
      </c>
      <c r="G590" s="633"/>
      <c r="H590" s="642">
        <f>H591+H598+H600+H605+H611</f>
        <v>3.4256928234375006</v>
      </c>
      <c r="I590" s="645">
        <f>I591+I598+I600+I605+I611</f>
        <v>21</v>
      </c>
      <c r="J590" s="633"/>
      <c r="K590" s="642">
        <f>K591+K598+K600+K605+K611</f>
        <v>2.0642246026479003</v>
      </c>
      <c r="L590" s="645">
        <f>L591+L598+L600+L605+L611</f>
        <v>6</v>
      </c>
      <c r="M590" s="372"/>
    </row>
    <row r="591" spans="1:13" hidden="1" outlineLevel="2">
      <c r="A591" s="372"/>
      <c r="B591" s="385" t="s">
        <v>335</v>
      </c>
      <c r="C591" s="386" t="s">
        <v>121</v>
      </c>
      <c r="D591" s="385" t="s">
        <v>175</v>
      </c>
      <c r="E591" s="385"/>
      <c r="F591" s="424" t="s">
        <v>334</v>
      </c>
      <c r="G591" s="385"/>
      <c r="H591" s="405">
        <f>SUM(H592:H597)</f>
        <v>2.4260957513100001</v>
      </c>
      <c r="I591" s="404">
        <f>SUM(I592:I597)</f>
        <v>6</v>
      </c>
      <c r="J591" s="385"/>
      <c r="K591" s="405">
        <f>SUM(K592:K597)</f>
        <v>1.9564517164500002</v>
      </c>
      <c r="L591" s="404">
        <f>SUM(L592:L597)</f>
        <v>4</v>
      </c>
      <c r="M591" s="372"/>
    </row>
    <row r="592" spans="1:13" hidden="1" outlineLevel="3">
      <c r="A592" s="372"/>
      <c r="B592" s="372" t="s">
        <v>335</v>
      </c>
      <c r="C592" s="387" t="s">
        <v>121</v>
      </c>
      <c r="D592" s="372" t="s">
        <v>175</v>
      </c>
      <c r="E592" s="372" t="s">
        <v>28</v>
      </c>
      <c r="F592" s="422" t="s">
        <v>336</v>
      </c>
      <c r="G592" s="372"/>
      <c r="H592" s="399">
        <v>0.55066951170000011</v>
      </c>
      <c r="I592" s="397">
        <v>1</v>
      </c>
      <c r="J592" s="372"/>
      <c r="K592" s="399">
        <f t="shared" ref="K592:K597" si="79">IF(L592=1,H592,0)</f>
        <v>0.55066951170000011</v>
      </c>
      <c r="L592" s="397">
        <v>1</v>
      </c>
      <c r="M592" s="372"/>
    </row>
    <row r="593" spans="1:13" hidden="1" outlineLevel="3">
      <c r="A593" s="372"/>
      <c r="B593" s="372" t="s">
        <v>335</v>
      </c>
      <c r="C593" s="387" t="s">
        <v>121</v>
      </c>
      <c r="D593" s="372" t="s">
        <v>175</v>
      </c>
      <c r="E593" s="372" t="s">
        <v>28</v>
      </c>
      <c r="F593" s="422" t="s">
        <v>337</v>
      </c>
      <c r="G593" s="372"/>
      <c r="H593" s="399">
        <v>0.55066951170000011</v>
      </c>
      <c r="I593" s="397">
        <v>1</v>
      </c>
      <c r="J593" s="372"/>
      <c r="K593" s="399">
        <f t="shared" si="79"/>
        <v>0.55066951170000011</v>
      </c>
      <c r="L593" s="397">
        <v>1</v>
      </c>
      <c r="M593" s="372"/>
    </row>
    <row r="594" spans="1:13" hidden="1" outlineLevel="3">
      <c r="A594" s="372"/>
      <c r="B594" s="372" t="s">
        <v>335</v>
      </c>
      <c r="C594" s="387" t="s">
        <v>121</v>
      </c>
      <c r="D594" s="372" t="s">
        <v>175</v>
      </c>
      <c r="E594" s="372" t="s">
        <v>28</v>
      </c>
      <c r="F594" s="422" t="s">
        <v>33</v>
      </c>
      <c r="G594" s="372"/>
      <c r="H594" s="399">
        <v>0.55066951170000011</v>
      </c>
      <c r="I594" s="397">
        <v>1</v>
      </c>
      <c r="J594" s="372"/>
      <c r="K594" s="399">
        <f t="shared" si="79"/>
        <v>0.55066951170000011</v>
      </c>
      <c r="L594" s="397">
        <v>1</v>
      </c>
      <c r="M594" s="372"/>
    </row>
    <row r="595" spans="1:13" hidden="1" outlineLevel="3">
      <c r="A595" s="372"/>
      <c r="B595" s="372" t="s">
        <v>335</v>
      </c>
      <c r="C595" s="387" t="s">
        <v>121</v>
      </c>
      <c r="D595" s="372" t="s">
        <v>175</v>
      </c>
      <c r="E595" s="372" t="s">
        <v>28</v>
      </c>
      <c r="F595" s="422" t="s">
        <v>326</v>
      </c>
      <c r="G595" s="372"/>
      <c r="H595" s="399">
        <v>0.30444318135000004</v>
      </c>
      <c r="I595" s="397">
        <v>1</v>
      </c>
      <c r="J595" s="372"/>
      <c r="K595" s="399">
        <f t="shared" si="79"/>
        <v>0</v>
      </c>
      <c r="L595" s="397"/>
      <c r="M595" s="372"/>
    </row>
    <row r="596" spans="1:13" hidden="1" outlineLevel="3">
      <c r="A596" s="372"/>
      <c r="B596" s="372" t="s">
        <v>335</v>
      </c>
      <c r="C596" s="387" t="s">
        <v>121</v>
      </c>
      <c r="D596" s="372" t="s">
        <v>175</v>
      </c>
      <c r="E596" s="372" t="s">
        <v>28</v>
      </c>
      <c r="F596" s="422" t="s">
        <v>285</v>
      </c>
      <c r="G596" s="372"/>
      <c r="H596" s="399">
        <v>0.30444318135000004</v>
      </c>
      <c r="I596" s="397">
        <v>1</v>
      </c>
      <c r="J596" s="372"/>
      <c r="K596" s="399">
        <f t="shared" si="79"/>
        <v>0.30444318135000004</v>
      </c>
      <c r="L596" s="397">
        <v>1</v>
      </c>
      <c r="M596" s="372"/>
    </row>
    <row r="597" spans="1:13" hidden="1" outlineLevel="3">
      <c r="A597" s="372"/>
      <c r="B597" s="372" t="s">
        <v>335</v>
      </c>
      <c r="C597" s="387" t="s">
        <v>121</v>
      </c>
      <c r="D597" s="372" t="s">
        <v>175</v>
      </c>
      <c r="E597" s="372" t="s">
        <v>28</v>
      </c>
      <c r="F597" s="422" t="s">
        <v>338</v>
      </c>
      <c r="G597" s="372"/>
      <c r="H597" s="399">
        <v>0.16520085351</v>
      </c>
      <c r="I597" s="397">
        <v>1</v>
      </c>
      <c r="J597" s="372"/>
      <c r="K597" s="399">
        <f t="shared" si="79"/>
        <v>0</v>
      </c>
      <c r="L597" s="397"/>
      <c r="M597" s="372"/>
    </row>
    <row r="598" spans="1:13" hidden="1" outlineLevel="2">
      <c r="A598" s="372"/>
      <c r="B598" s="385" t="s">
        <v>335</v>
      </c>
      <c r="C598" s="386" t="s">
        <v>121</v>
      </c>
      <c r="D598" s="385" t="s">
        <v>17</v>
      </c>
      <c r="E598" s="385"/>
      <c r="F598" s="424" t="s">
        <v>334</v>
      </c>
      <c r="G598" s="385"/>
      <c r="H598" s="405">
        <f>SUM(H599:H599)</f>
        <v>5.8216850999999993E-2</v>
      </c>
      <c r="I598" s="404">
        <f>SUM(I599:I599)</f>
        <v>1</v>
      </c>
      <c r="J598" s="385"/>
      <c r="K598" s="405">
        <f>SUM(K599:K599)</f>
        <v>0</v>
      </c>
      <c r="L598" s="404">
        <f>SUM(L599:L599)</f>
        <v>0</v>
      </c>
      <c r="M598" s="372"/>
    </row>
    <row r="599" spans="1:13" hidden="1" outlineLevel="3">
      <c r="A599" s="372"/>
      <c r="B599" s="372" t="s">
        <v>335</v>
      </c>
      <c r="C599" s="387" t="s">
        <v>121</v>
      </c>
      <c r="D599" s="372" t="s">
        <v>17</v>
      </c>
      <c r="E599" s="372" t="s">
        <v>177</v>
      </c>
      <c r="F599" s="422" t="s">
        <v>31</v>
      </c>
      <c r="G599" s="372"/>
      <c r="H599" s="399">
        <v>5.8216850999999993E-2</v>
      </c>
      <c r="I599" s="397">
        <v>1</v>
      </c>
      <c r="J599" s="372"/>
      <c r="K599" s="399">
        <f>IF(L599=1,H599,0)</f>
        <v>0</v>
      </c>
      <c r="L599" s="397"/>
      <c r="M599" s="372"/>
    </row>
    <row r="600" spans="1:13" hidden="1" outlineLevel="2">
      <c r="A600" s="372"/>
      <c r="B600" s="385" t="s">
        <v>335</v>
      </c>
      <c r="C600" s="386" t="s">
        <v>121</v>
      </c>
      <c r="D600" s="385" t="s">
        <v>25</v>
      </c>
      <c r="E600" s="385"/>
      <c r="F600" s="424" t="s">
        <v>334</v>
      </c>
      <c r="G600" s="385"/>
      <c r="H600" s="405">
        <f>SUM(H601:H604)</f>
        <v>0.5747066038098001</v>
      </c>
      <c r="I600" s="404">
        <f>SUM(I601:I604)</f>
        <v>4</v>
      </c>
      <c r="J600" s="385"/>
      <c r="K600" s="405">
        <f>SUM(K601:K604)</f>
        <v>0</v>
      </c>
      <c r="L600" s="404">
        <f>SUM(L601:L604)</f>
        <v>0</v>
      </c>
      <c r="M600" s="372"/>
    </row>
    <row r="601" spans="1:13" hidden="1" outlineLevel="3">
      <c r="A601" s="372"/>
      <c r="B601" s="372" t="s">
        <v>335</v>
      </c>
      <c r="C601" s="387" t="s">
        <v>121</v>
      </c>
      <c r="D601" s="372" t="s">
        <v>25</v>
      </c>
      <c r="E601" s="372" t="s">
        <v>26</v>
      </c>
      <c r="F601" s="422" t="s">
        <v>31</v>
      </c>
      <c r="G601" s="372"/>
      <c r="H601" s="399">
        <v>0.12908390889240001</v>
      </c>
      <c r="I601" s="397">
        <v>1</v>
      </c>
      <c r="J601" s="372"/>
      <c r="K601" s="399">
        <f t="shared" ref="K601:K604" si="80">IF(L601=1,H601,0)</f>
        <v>0</v>
      </c>
      <c r="L601" s="397"/>
      <c r="M601" s="372"/>
    </row>
    <row r="602" spans="1:13" hidden="1" outlineLevel="3">
      <c r="A602" s="372"/>
      <c r="B602" s="372" t="s">
        <v>335</v>
      </c>
      <c r="C602" s="387" t="s">
        <v>121</v>
      </c>
      <c r="D602" s="372" t="s">
        <v>25</v>
      </c>
      <c r="E602" s="372" t="s">
        <v>26</v>
      </c>
      <c r="F602" s="422" t="s">
        <v>33</v>
      </c>
      <c r="G602" s="372"/>
      <c r="H602" s="399">
        <v>0.25816781778480002</v>
      </c>
      <c r="I602" s="397">
        <v>1</v>
      </c>
      <c r="J602" s="372"/>
      <c r="K602" s="399">
        <f t="shared" si="80"/>
        <v>0</v>
      </c>
      <c r="L602" s="397"/>
      <c r="M602" s="372"/>
    </row>
    <row r="603" spans="1:13" hidden="1" outlineLevel="3">
      <c r="A603" s="372"/>
      <c r="B603" s="372" t="s">
        <v>335</v>
      </c>
      <c r="C603" s="387" t="s">
        <v>121</v>
      </c>
      <c r="D603" s="372" t="s">
        <v>25</v>
      </c>
      <c r="E603" s="372" t="s">
        <v>26</v>
      </c>
      <c r="F603" s="422" t="s">
        <v>326</v>
      </c>
      <c r="G603" s="372"/>
      <c r="H603" s="399">
        <v>0.12908390889240001</v>
      </c>
      <c r="I603" s="397">
        <v>1</v>
      </c>
      <c r="J603" s="372"/>
      <c r="K603" s="399">
        <f t="shared" si="80"/>
        <v>0</v>
      </c>
      <c r="L603" s="397"/>
      <c r="M603" s="372"/>
    </row>
    <row r="604" spans="1:13" hidden="1" outlineLevel="3">
      <c r="A604" s="372"/>
      <c r="B604" s="372" t="s">
        <v>335</v>
      </c>
      <c r="C604" s="387" t="s">
        <v>121</v>
      </c>
      <c r="D604" s="372" t="s">
        <v>25</v>
      </c>
      <c r="E604" s="372" t="s">
        <v>26</v>
      </c>
      <c r="F604" s="422" t="s">
        <v>338</v>
      </c>
      <c r="G604" s="372"/>
      <c r="H604" s="399">
        <v>5.8370968240200008E-2</v>
      </c>
      <c r="I604" s="397">
        <v>1</v>
      </c>
      <c r="J604" s="372"/>
      <c r="K604" s="399">
        <f t="shared" si="80"/>
        <v>0</v>
      </c>
      <c r="L604" s="397"/>
      <c r="M604" s="372"/>
    </row>
    <row r="605" spans="1:13" hidden="1" outlineLevel="2">
      <c r="A605" s="372"/>
      <c r="B605" s="385" t="s">
        <v>335</v>
      </c>
      <c r="C605" s="386" t="s">
        <v>121</v>
      </c>
      <c r="D605" s="385" t="s">
        <v>27</v>
      </c>
      <c r="E605" s="385"/>
      <c r="F605" s="424" t="s">
        <v>334</v>
      </c>
      <c r="G605" s="385"/>
      <c r="H605" s="405">
        <f>SUM(H606:H610)</f>
        <v>0.2480352735861</v>
      </c>
      <c r="I605" s="404">
        <f>SUM(I606:I610)</f>
        <v>5</v>
      </c>
      <c r="J605" s="385"/>
      <c r="K605" s="405">
        <f>SUM(K606:K610)</f>
        <v>0.10777288619789999</v>
      </c>
      <c r="L605" s="404">
        <f>SUM(L606:L610)</f>
        <v>2</v>
      </c>
      <c r="M605" s="372"/>
    </row>
    <row r="606" spans="1:13" hidden="1" outlineLevel="3">
      <c r="A606" s="372"/>
      <c r="B606" s="372" t="s">
        <v>335</v>
      </c>
      <c r="C606" s="387" t="s">
        <v>121</v>
      </c>
      <c r="D606" s="372" t="s">
        <v>27</v>
      </c>
      <c r="E606" s="372" t="s">
        <v>28</v>
      </c>
      <c r="F606" s="422" t="s">
        <v>31</v>
      </c>
      <c r="G606" s="372"/>
      <c r="H606" s="399">
        <v>3.5924295399299998E-2</v>
      </c>
      <c r="I606" s="397">
        <v>1</v>
      </c>
      <c r="J606" s="372"/>
      <c r="K606" s="399">
        <f t="shared" ref="K606:K610" si="81">IF(L606=1,H606,0)</f>
        <v>3.5924295399299998E-2</v>
      </c>
      <c r="L606" s="397">
        <v>1</v>
      </c>
      <c r="M606" s="372"/>
    </row>
    <row r="607" spans="1:13" hidden="1" outlineLevel="3">
      <c r="A607" s="372" t="s">
        <v>339</v>
      </c>
      <c r="B607" s="372" t="s">
        <v>335</v>
      </c>
      <c r="C607" s="387" t="s">
        <v>121</v>
      </c>
      <c r="D607" s="372" t="s">
        <v>27</v>
      </c>
      <c r="E607" s="372" t="s">
        <v>28</v>
      </c>
      <c r="F607" s="422" t="s">
        <v>337</v>
      </c>
      <c r="G607" s="372"/>
      <c r="H607" s="399">
        <v>7.1848590798599996E-2</v>
      </c>
      <c r="I607" s="397">
        <v>1</v>
      </c>
      <c r="J607" s="372"/>
      <c r="K607" s="399">
        <f t="shared" si="81"/>
        <v>7.1848590798599996E-2</v>
      </c>
      <c r="L607" s="397">
        <v>1</v>
      </c>
      <c r="M607" s="372"/>
    </row>
    <row r="608" spans="1:13" hidden="1" outlineLevel="3">
      <c r="A608" s="372"/>
      <c r="B608" s="372" t="s">
        <v>335</v>
      </c>
      <c r="C608" s="387" t="s">
        <v>121</v>
      </c>
      <c r="D608" s="372" t="s">
        <v>27</v>
      </c>
      <c r="E608" s="372" t="s">
        <v>28</v>
      </c>
      <c r="F608" s="422" t="s">
        <v>33</v>
      </c>
      <c r="G608" s="372"/>
      <c r="H608" s="399">
        <v>7.1848590798599996E-2</v>
      </c>
      <c r="I608" s="397">
        <v>1</v>
      </c>
      <c r="J608" s="372"/>
      <c r="K608" s="399">
        <f t="shared" si="81"/>
        <v>0</v>
      </c>
      <c r="L608" s="397"/>
      <c r="M608" s="372"/>
    </row>
    <row r="609" spans="1:13" hidden="1" outlineLevel="3">
      <c r="A609" s="372"/>
      <c r="B609" s="372" t="s">
        <v>335</v>
      </c>
      <c r="C609" s="387" t="s">
        <v>121</v>
      </c>
      <c r="D609" s="372" t="s">
        <v>27</v>
      </c>
      <c r="E609" s="372" t="s">
        <v>28</v>
      </c>
      <c r="F609" s="422" t="s">
        <v>326</v>
      </c>
      <c r="G609" s="372"/>
      <c r="H609" s="399">
        <v>3.5924295399299998E-2</v>
      </c>
      <c r="I609" s="397">
        <v>1</v>
      </c>
      <c r="J609" s="372"/>
      <c r="K609" s="399">
        <f t="shared" si="81"/>
        <v>0</v>
      </c>
      <c r="L609" s="397"/>
      <c r="M609" s="372"/>
    </row>
    <row r="610" spans="1:13" hidden="1" outlineLevel="3">
      <c r="A610" s="372"/>
      <c r="B610" s="372" t="s">
        <v>335</v>
      </c>
      <c r="C610" s="387" t="s">
        <v>121</v>
      </c>
      <c r="D610" s="372" t="s">
        <v>27</v>
      </c>
      <c r="E610" s="372" t="s">
        <v>28</v>
      </c>
      <c r="F610" s="422" t="s">
        <v>322</v>
      </c>
      <c r="G610" s="372"/>
      <c r="H610" s="399">
        <v>3.2489501190300002E-2</v>
      </c>
      <c r="I610" s="397">
        <v>1</v>
      </c>
      <c r="J610" s="372"/>
      <c r="K610" s="399">
        <f t="shared" si="81"/>
        <v>0</v>
      </c>
      <c r="L610" s="397"/>
      <c r="M610" s="372"/>
    </row>
    <row r="611" spans="1:13" hidden="1" outlineLevel="2">
      <c r="A611" s="372"/>
      <c r="B611" s="385" t="s">
        <v>335</v>
      </c>
      <c r="C611" s="386" t="s">
        <v>121</v>
      </c>
      <c r="D611" s="385" t="s">
        <v>58</v>
      </c>
      <c r="E611" s="385"/>
      <c r="F611" s="424" t="s">
        <v>334</v>
      </c>
      <c r="G611" s="385"/>
      <c r="H611" s="405">
        <f>SUM(H612:H616)</f>
        <v>0.11863834373160001</v>
      </c>
      <c r="I611" s="404">
        <f>SUM(I612:I616)</f>
        <v>5</v>
      </c>
      <c r="J611" s="385"/>
      <c r="K611" s="405">
        <f>SUM(K612:K616)</f>
        <v>0</v>
      </c>
      <c r="L611" s="404">
        <f>SUM(L612:L616)</f>
        <v>0</v>
      </c>
      <c r="M611" s="372"/>
    </row>
    <row r="612" spans="1:13" hidden="1" outlineLevel="4">
      <c r="A612" s="372"/>
      <c r="B612" s="372" t="s">
        <v>335</v>
      </c>
      <c r="C612" s="387" t="s">
        <v>121</v>
      </c>
      <c r="D612" s="372" t="s">
        <v>58</v>
      </c>
      <c r="E612" s="372" t="s">
        <v>28</v>
      </c>
      <c r="F612" s="422" t="s">
        <v>31</v>
      </c>
      <c r="G612" s="372"/>
      <c r="H612" s="399">
        <v>4.0186499938200004E-2</v>
      </c>
      <c r="I612" s="397">
        <v>1</v>
      </c>
      <c r="J612" s="372"/>
      <c r="K612" s="399">
        <f t="shared" ref="K612:K616" si="82">IF(L612=1,H612,0)</f>
        <v>0</v>
      </c>
      <c r="L612" s="397"/>
      <c r="M612" s="372"/>
    </row>
    <row r="613" spans="1:13" hidden="1" outlineLevel="4">
      <c r="A613" s="372"/>
      <c r="B613" s="372" t="s">
        <v>335</v>
      </c>
      <c r="C613" s="387" t="s">
        <v>121</v>
      </c>
      <c r="D613" s="372" t="s">
        <v>58</v>
      </c>
      <c r="E613" s="372" t="s">
        <v>28</v>
      </c>
      <c r="F613" s="422" t="s">
        <v>33</v>
      </c>
      <c r="G613" s="372"/>
      <c r="H613" s="399">
        <v>2.0093249969100002E-2</v>
      </c>
      <c r="I613" s="397">
        <v>1</v>
      </c>
      <c r="J613" s="372"/>
      <c r="K613" s="399">
        <f t="shared" si="82"/>
        <v>0</v>
      </c>
      <c r="L613" s="397"/>
      <c r="M613" s="372"/>
    </row>
    <row r="614" spans="1:13" hidden="1" outlineLevel="4">
      <c r="A614" s="372"/>
      <c r="B614" s="372" t="s">
        <v>335</v>
      </c>
      <c r="C614" s="387" t="s">
        <v>121</v>
      </c>
      <c r="D614" s="372" t="s">
        <v>58</v>
      </c>
      <c r="E614" s="372" t="s">
        <v>28</v>
      </c>
      <c r="F614" s="422" t="s">
        <v>326</v>
      </c>
      <c r="G614" s="372"/>
      <c r="H614" s="399">
        <v>2.0093249969100002E-2</v>
      </c>
      <c r="I614" s="397">
        <v>1</v>
      </c>
      <c r="J614" s="372"/>
      <c r="K614" s="399">
        <f t="shared" si="82"/>
        <v>0</v>
      </c>
      <c r="L614" s="397"/>
      <c r="M614" s="372"/>
    </row>
    <row r="615" spans="1:13" hidden="1" outlineLevel="4">
      <c r="A615" s="372"/>
      <c r="B615" s="372" t="s">
        <v>335</v>
      </c>
      <c r="C615" s="387" t="s">
        <v>121</v>
      </c>
      <c r="D615" s="372" t="s">
        <v>58</v>
      </c>
      <c r="E615" s="372" t="s">
        <v>28</v>
      </c>
      <c r="F615" s="422" t="s">
        <v>285</v>
      </c>
      <c r="G615" s="372"/>
      <c r="H615" s="399">
        <v>2.0093249969100002E-2</v>
      </c>
      <c r="I615" s="397">
        <v>1</v>
      </c>
      <c r="J615" s="372"/>
      <c r="K615" s="399">
        <f t="shared" si="82"/>
        <v>0</v>
      </c>
      <c r="L615" s="397"/>
      <c r="M615" s="372"/>
    </row>
    <row r="616" spans="1:13" hidden="1" outlineLevel="4">
      <c r="A616" s="372"/>
      <c r="B616" s="372" t="s">
        <v>335</v>
      </c>
      <c r="C616" s="387" t="s">
        <v>121</v>
      </c>
      <c r="D616" s="372" t="s">
        <v>58</v>
      </c>
      <c r="E616" s="372" t="s">
        <v>28</v>
      </c>
      <c r="F616" s="422" t="s">
        <v>322</v>
      </c>
      <c r="G616" s="372"/>
      <c r="H616" s="399">
        <v>1.8172093886100003E-2</v>
      </c>
      <c r="I616" s="397">
        <v>1</v>
      </c>
      <c r="J616" s="372"/>
      <c r="K616" s="399">
        <f t="shared" si="82"/>
        <v>0</v>
      </c>
      <c r="L616" s="397"/>
      <c r="M616" s="372"/>
    </row>
    <row r="617" spans="1:13" outlineLevel="1" collapsed="1">
      <c r="A617" s="372"/>
      <c r="B617" s="632" t="s">
        <v>340</v>
      </c>
      <c r="C617" s="632" t="s">
        <v>340</v>
      </c>
      <c r="D617" s="632" t="s">
        <v>341</v>
      </c>
      <c r="E617" s="633"/>
      <c r="F617" s="634" t="s">
        <v>342</v>
      </c>
      <c r="G617" s="633"/>
      <c r="H617" s="637"/>
      <c r="I617" s="649"/>
      <c r="J617" s="633"/>
      <c r="K617" s="637"/>
      <c r="L617" s="649"/>
      <c r="M617" s="372"/>
    </row>
    <row r="618" spans="1:13" hidden="1" outlineLevel="2">
      <c r="A618" s="372"/>
      <c r="B618" s="380" t="s">
        <v>340</v>
      </c>
      <c r="C618" s="380" t="s">
        <v>121</v>
      </c>
      <c r="D618" s="385" t="s">
        <v>175</v>
      </c>
      <c r="E618" s="385"/>
      <c r="F618" s="424" t="s">
        <v>330</v>
      </c>
      <c r="G618" s="385"/>
      <c r="H618" s="405"/>
      <c r="I618" s="404"/>
      <c r="J618" s="385"/>
      <c r="K618" s="405"/>
      <c r="L618" s="404"/>
      <c r="M618" s="372"/>
    </row>
    <row r="619" spans="1:13" hidden="1" outlineLevel="2">
      <c r="A619" s="372"/>
      <c r="B619" s="380" t="s">
        <v>340</v>
      </c>
      <c r="C619" s="380" t="s">
        <v>121</v>
      </c>
      <c r="D619" s="385" t="s">
        <v>17</v>
      </c>
      <c r="E619" s="385"/>
      <c r="F619" s="424" t="s">
        <v>323</v>
      </c>
      <c r="G619" s="385"/>
      <c r="H619" s="405"/>
      <c r="I619" s="404"/>
      <c r="J619" s="385"/>
      <c r="K619" s="405"/>
      <c r="L619" s="404"/>
      <c r="M619" s="372"/>
    </row>
    <row r="620" spans="1:13" hidden="1" outlineLevel="2">
      <c r="A620" s="372"/>
      <c r="B620" s="380" t="s">
        <v>340</v>
      </c>
      <c r="C620" s="380" t="s">
        <v>121</v>
      </c>
      <c r="D620" s="385" t="s">
        <v>25</v>
      </c>
      <c r="E620" s="385"/>
      <c r="F620" s="424" t="s">
        <v>343</v>
      </c>
      <c r="G620" s="385"/>
      <c r="H620" s="405"/>
      <c r="I620" s="404"/>
      <c r="J620" s="385"/>
      <c r="K620" s="405"/>
      <c r="L620" s="404"/>
      <c r="M620" s="372"/>
    </row>
    <row r="621" spans="1:13" hidden="1" outlineLevel="2">
      <c r="A621" s="372"/>
      <c r="B621" s="380" t="s">
        <v>340</v>
      </c>
      <c r="C621" s="380" t="s">
        <v>121</v>
      </c>
      <c r="D621" s="385" t="s">
        <v>27</v>
      </c>
      <c r="E621" s="385"/>
      <c r="F621" s="424" t="s">
        <v>323</v>
      </c>
      <c r="G621" s="385"/>
      <c r="H621" s="405"/>
      <c r="I621" s="404"/>
      <c r="J621" s="385"/>
      <c r="K621" s="405"/>
      <c r="L621" s="404"/>
      <c r="M621" s="372"/>
    </row>
    <row r="622" spans="1:13" hidden="1" outlineLevel="2">
      <c r="A622" s="372"/>
      <c r="B622" s="380" t="s">
        <v>340</v>
      </c>
      <c r="C622" s="380" t="s">
        <v>121</v>
      </c>
      <c r="D622" s="385" t="s">
        <v>58</v>
      </c>
      <c r="E622" s="385"/>
      <c r="F622" s="424" t="s">
        <v>323</v>
      </c>
      <c r="G622" s="385"/>
      <c r="H622" s="405"/>
      <c r="I622" s="404"/>
      <c r="J622" s="385"/>
      <c r="K622" s="405"/>
      <c r="L622" s="404"/>
      <c r="M622" s="372"/>
    </row>
    <row r="623" spans="1:13" ht="16.350000000000001" customHeight="1" outlineLevel="1" collapsed="1">
      <c r="A623" s="372"/>
      <c r="B623" s="639" t="s">
        <v>344</v>
      </c>
      <c r="C623" s="632" t="s">
        <v>344</v>
      </c>
      <c r="D623" s="647"/>
      <c r="E623" s="632"/>
      <c r="F623" s="641" t="s">
        <v>345</v>
      </c>
      <c r="G623" s="633"/>
      <c r="H623" s="637">
        <f>H624+H626+H627+H628</f>
        <v>1.6141000000000003</v>
      </c>
      <c r="I623" s="649">
        <f>I624+I626+I627+I628</f>
        <v>1</v>
      </c>
      <c r="J623" s="633"/>
      <c r="K623" s="637">
        <f>K624+K626+K627+K628</f>
        <v>0</v>
      </c>
      <c r="L623" s="649">
        <f>L624+L626+L627+L628</f>
        <v>0</v>
      </c>
      <c r="M623" s="372"/>
    </row>
    <row r="624" spans="1:13" hidden="1" outlineLevel="2">
      <c r="A624" s="372"/>
      <c r="B624" s="385" t="s">
        <v>344</v>
      </c>
      <c r="C624" s="385" t="s">
        <v>344</v>
      </c>
      <c r="D624" s="385" t="s">
        <v>17</v>
      </c>
      <c r="E624" s="380"/>
      <c r="F624" s="424" t="s">
        <v>346</v>
      </c>
      <c r="G624" s="385"/>
      <c r="H624" s="410">
        <f>SUM(H625:H625)</f>
        <v>1.6141000000000003</v>
      </c>
      <c r="I624" s="404">
        <f>SUM(I625:I625)</f>
        <v>1</v>
      </c>
      <c r="J624" s="385"/>
      <c r="K624" s="410">
        <f>SUM(K625:K625)</f>
        <v>0</v>
      </c>
      <c r="L624" s="404">
        <f>SUM(L625:L625)</f>
        <v>0</v>
      </c>
      <c r="M624" s="372"/>
    </row>
    <row r="625" spans="1:13" hidden="1" outlineLevel="3">
      <c r="A625" s="372"/>
      <c r="B625" s="372" t="s">
        <v>344</v>
      </c>
      <c r="C625" s="372" t="s">
        <v>344</v>
      </c>
      <c r="D625" s="372" t="s">
        <v>17</v>
      </c>
      <c r="E625" s="376" t="s">
        <v>177</v>
      </c>
      <c r="F625" s="422" t="s">
        <v>284</v>
      </c>
      <c r="G625" s="372"/>
      <c r="H625" s="377">
        <v>1.6141000000000003</v>
      </c>
      <c r="I625" s="378">
        <v>1</v>
      </c>
      <c r="J625" s="372"/>
      <c r="K625" s="399">
        <f>IF(L625=1,H625,0)</f>
        <v>0</v>
      </c>
      <c r="L625" s="378"/>
      <c r="M625" s="372"/>
    </row>
    <row r="626" spans="1:13" hidden="1" outlineLevel="2">
      <c r="A626" s="372"/>
      <c r="B626" s="385" t="s">
        <v>344</v>
      </c>
      <c r="C626" s="385" t="s">
        <v>344</v>
      </c>
      <c r="D626" s="385" t="s">
        <v>25</v>
      </c>
      <c r="E626" s="385"/>
      <c r="F626" s="424" t="s">
        <v>325</v>
      </c>
      <c r="G626" s="385"/>
      <c r="H626" s="405"/>
      <c r="I626" s="404"/>
      <c r="J626" s="385"/>
      <c r="K626" s="405"/>
      <c r="L626" s="404"/>
      <c r="M626" s="372"/>
    </row>
    <row r="627" spans="1:13" hidden="1" outlineLevel="2">
      <c r="A627" s="372"/>
      <c r="B627" s="385" t="s">
        <v>344</v>
      </c>
      <c r="C627" s="385" t="s">
        <v>344</v>
      </c>
      <c r="D627" s="385" t="s">
        <v>27</v>
      </c>
      <c r="E627" s="385"/>
      <c r="F627" s="424" t="s">
        <v>347</v>
      </c>
      <c r="G627" s="385"/>
      <c r="H627" s="410"/>
      <c r="I627" s="404"/>
      <c r="J627" s="385"/>
      <c r="K627" s="410"/>
      <c r="L627" s="404"/>
      <c r="M627" s="372"/>
    </row>
    <row r="628" spans="1:13" hidden="1" outlineLevel="2">
      <c r="A628" s="372"/>
      <c r="B628" s="385" t="s">
        <v>344</v>
      </c>
      <c r="C628" s="385" t="s">
        <v>344</v>
      </c>
      <c r="D628" s="385" t="s">
        <v>58</v>
      </c>
      <c r="E628" s="385"/>
      <c r="F628" s="424" t="s">
        <v>347</v>
      </c>
      <c r="G628" s="385"/>
      <c r="H628" s="410"/>
      <c r="I628" s="404"/>
      <c r="J628" s="385"/>
      <c r="K628" s="410"/>
      <c r="L628" s="404"/>
      <c r="M628" s="372"/>
    </row>
    <row r="629" spans="1:13" outlineLevel="1" collapsed="1">
      <c r="A629" s="372"/>
      <c r="B629" s="639" t="s">
        <v>348</v>
      </c>
      <c r="C629" s="639" t="s">
        <v>349</v>
      </c>
      <c r="D629" s="639"/>
      <c r="E629" s="640"/>
      <c r="F629" s="641" t="s">
        <v>345</v>
      </c>
      <c r="G629" s="633"/>
      <c r="H629" s="637">
        <f>H630+H631+H632+H633</f>
        <v>0</v>
      </c>
      <c r="I629" s="649">
        <f>I630+I631+I632+I633</f>
        <v>0</v>
      </c>
      <c r="J629" s="633"/>
      <c r="K629" s="637">
        <f>K630+K631+K632+K633</f>
        <v>0</v>
      </c>
      <c r="L629" s="649">
        <f>L630+L631+L632+L633</f>
        <v>0</v>
      </c>
      <c r="M629" s="372"/>
    </row>
    <row r="630" spans="1:13" hidden="1" outlineLevel="2">
      <c r="A630" s="372"/>
      <c r="B630" s="385" t="s">
        <v>350</v>
      </c>
      <c r="C630" s="385" t="s">
        <v>350</v>
      </c>
      <c r="D630" s="385" t="s">
        <v>17</v>
      </c>
      <c r="E630" s="380"/>
      <c r="F630" s="424" t="s">
        <v>346</v>
      </c>
      <c r="G630" s="385"/>
      <c r="H630" s="410"/>
      <c r="I630" s="404"/>
      <c r="J630" s="385"/>
      <c r="K630" s="410"/>
      <c r="L630" s="404"/>
      <c r="M630" s="372"/>
    </row>
    <row r="631" spans="1:13" hidden="1" outlineLevel="2">
      <c r="A631" s="372"/>
      <c r="B631" s="385" t="s">
        <v>350</v>
      </c>
      <c r="C631" s="385" t="s">
        <v>350</v>
      </c>
      <c r="D631" s="385" t="s">
        <v>25</v>
      </c>
      <c r="E631" s="385"/>
      <c r="F631" s="424" t="s">
        <v>325</v>
      </c>
      <c r="G631" s="385"/>
      <c r="H631" s="410"/>
      <c r="I631" s="404"/>
      <c r="J631" s="385"/>
      <c r="K631" s="410"/>
      <c r="L631" s="404"/>
      <c r="M631" s="372"/>
    </row>
    <row r="632" spans="1:13" hidden="1" outlineLevel="2">
      <c r="A632" s="372"/>
      <c r="B632" s="385" t="s">
        <v>350</v>
      </c>
      <c r="C632" s="385" t="s">
        <v>350</v>
      </c>
      <c r="D632" s="385" t="s">
        <v>27</v>
      </c>
      <c r="E632" s="385"/>
      <c r="F632" s="424" t="s">
        <v>347</v>
      </c>
      <c r="G632" s="385"/>
      <c r="H632" s="410"/>
      <c r="I632" s="404"/>
      <c r="J632" s="385"/>
      <c r="K632" s="410"/>
      <c r="L632" s="404"/>
      <c r="M632" s="372"/>
    </row>
    <row r="633" spans="1:13" hidden="1" outlineLevel="2">
      <c r="A633" s="372"/>
      <c r="B633" s="385" t="s">
        <v>350</v>
      </c>
      <c r="C633" s="385" t="s">
        <v>350</v>
      </c>
      <c r="D633" s="385" t="s">
        <v>58</v>
      </c>
      <c r="E633" s="385"/>
      <c r="F633" s="424" t="s">
        <v>347</v>
      </c>
      <c r="G633" s="385"/>
      <c r="H633" s="410"/>
      <c r="I633" s="404"/>
      <c r="J633" s="385"/>
      <c r="K633" s="410"/>
      <c r="L633" s="404"/>
      <c r="M633" s="372"/>
    </row>
    <row r="634" spans="1:13" outlineLevel="1" collapsed="1">
      <c r="A634" s="372"/>
      <c r="B634" s="632" t="s">
        <v>351</v>
      </c>
      <c r="C634" s="632" t="s">
        <v>351</v>
      </c>
      <c r="D634" s="632"/>
      <c r="E634" s="632"/>
      <c r="F634" s="634" t="s">
        <v>234</v>
      </c>
      <c r="G634" s="633"/>
      <c r="H634" s="635">
        <f>SUM(H635:H644)</f>
        <v>0</v>
      </c>
      <c r="I634" s="636">
        <f>SUM(I635,I639,I641,I644)</f>
        <v>8</v>
      </c>
      <c r="J634" s="633"/>
      <c r="K634" s="635">
        <f>SUM(K635:K644)</f>
        <v>0</v>
      </c>
      <c r="L634" s="636">
        <f>SUM(L635,L639,L641,L644)</f>
        <v>0</v>
      </c>
      <c r="M634" s="372"/>
    </row>
    <row r="635" spans="1:13" hidden="1" outlineLevel="2">
      <c r="A635" s="372"/>
      <c r="B635" s="380" t="s">
        <v>351</v>
      </c>
      <c r="C635" s="380" t="s">
        <v>351</v>
      </c>
      <c r="D635" s="385" t="s">
        <v>175</v>
      </c>
      <c r="E635" s="380"/>
      <c r="F635" s="424" t="s">
        <v>352</v>
      </c>
      <c r="G635" s="385"/>
      <c r="H635" s="410"/>
      <c r="I635" s="396">
        <f>SUM(I636:I638)</f>
        <v>3</v>
      </c>
      <c r="J635" s="385"/>
      <c r="K635" s="410"/>
      <c r="L635" s="396">
        <f>SUM(L636:L638)</f>
        <v>0</v>
      </c>
      <c r="M635" s="372"/>
    </row>
    <row r="636" spans="1:13" hidden="1" outlineLevel="3">
      <c r="A636" s="372"/>
      <c r="B636" s="376" t="s">
        <v>351</v>
      </c>
      <c r="C636" s="376" t="s">
        <v>351</v>
      </c>
      <c r="D636" s="372" t="s">
        <v>175</v>
      </c>
      <c r="E636" s="376" t="s">
        <v>28</v>
      </c>
      <c r="F636" s="422" t="s">
        <v>284</v>
      </c>
      <c r="G636" s="372"/>
      <c r="H636" s="377"/>
      <c r="I636" s="378">
        <v>1</v>
      </c>
      <c r="J636" s="372"/>
      <c r="K636" s="399">
        <f t="shared" ref="K636:K638" si="83">IF(L636=1,H636,0)</f>
        <v>0</v>
      </c>
      <c r="L636" s="378"/>
      <c r="M636" s="372"/>
    </row>
    <row r="637" spans="1:13" hidden="1" outlineLevel="3">
      <c r="A637" s="372"/>
      <c r="B637" s="376" t="s">
        <v>351</v>
      </c>
      <c r="C637" s="376" t="s">
        <v>351</v>
      </c>
      <c r="D637" s="372" t="s">
        <v>175</v>
      </c>
      <c r="E637" s="376" t="s">
        <v>28</v>
      </c>
      <c r="F637" s="422" t="s">
        <v>236</v>
      </c>
      <c r="G637" s="372"/>
      <c r="H637" s="377"/>
      <c r="I637" s="378">
        <v>1</v>
      </c>
      <c r="J637" s="372"/>
      <c r="K637" s="399">
        <f t="shared" si="83"/>
        <v>0</v>
      </c>
      <c r="L637" s="378"/>
      <c r="M637" s="372"/>
    </row>
    <row r="638" spans="1:13" hidden="1" outlineLevel="3">
      <c r="A638" s="372"/>
      <c r="B638" s="376" t="s">
        <v>351</v>
      </c>
      <c r="C638" s="376" t="s">
        <v>351</v>
      </c>
      <c r="D638" s="372" t="s">
        <v>175</v>
      </c>
      <c r="E638" s="376" t="s">
        <v>28</v>
      </c>
      <c r="F638" s="422" t="s">
        <v>32</v>
      </c>
      <c r="G638" s="372"/>
      <c r="H638" s="377"/>
      <c r="I638" s="378">
        <v>1</v>
      </c>
      <c r="J638" s="372"/>
      <c r="K638" s="399">
        <f t="shared" si="83"/>
        <v>0</v>
      </c>
      <c r="L638" s="378"/>
      <c r="M638" s="372"/>
    </row>
    <row r="639" spans="1:13" hidden="1" outlineLevel="2">
      <c r="A639" s="372"/>
      <c r="B639" s="380" t="s">
        <v>351</v>
      </c>
      <c r="C639" s="380" t="s">
        <v>351</v>
      </c>
      <c r="D639" s="385" t="s">
        <v>25</v>
      </c>
      <c r="E639" s="385"/>
      <c r="F639" s="424" t="s">
        <v>352</v>
      </c>
      <c r="G639" s="385"/>
      <c r="H639" s="410"/>
      <c r="I639" s="396">
        <f>SUM(I640:I640)</f>
        <v>1</v>
      </c>
      <c r="J639" s="385"/>
      <c r="K639" s="410"/>
      <c r="L639" s="396">
        <f>SUM(L640:L640)</f>
        <v>0</v>
      </c>
      <c r="M639" s="372"/>
    </row>
    <row r="640" spans="1:13" hidden="1" outlineLevel="3">
      <c r="A640" s="372"/>
      <c r="B640" s="376" t="s">
        <v>351</v>
      </c>
      <c r="C640" s="376" t="s">
        <v>351</v>
      </c>
      <c r="D640" s="372" t="s">
        <v>25</v>
      </c>
      <c r="E640" s="372" t="s">
        <v>26</v>
      </c>
      <c r="F640" s="422" t="s">
        <v>236</v>
      </c>
      <c r="G640" s="372"/>
      <c r="H640" s="377"/>
      <c r="I640" s="378">
        <v>1</v>
      </c>
      <c r="J640" s="372"/>
      <c r="K640" s="399">
        <f>IF(L640=1,H640,0)</f>
        <v>0</v>
      </c>
      <c r="L640" s="378"/>
      <c r="M640" s="372"/>
    </row>
    <row r="641" spans="1:13" hidden="1" outlineLevel="2">
      <c r="A641" s="372"/>
      <c r="B641" s="380" t="s">
        <v>351</v>
      </c>
      <c r="C641" s="380" t="s">
        <v>351</v>
      </c>
      <c r="D641" s="385" t="s">
        <v>27</v>
      </c>
      <c r="E641" s="385"/>
      <c r="F641" s="424" t="s">
        <v>352</v>
      </c>
      <c r="G641" s="385"/>
      <c r="H641" s="410"/>
      <c r="I641" s="396">
        <f>SUM(I642:I643)</f>
        <v>2</v>
      </c>
      <c r="J641" s="385"/>
      <c r="K641" s="410"/>
      <c r="L641" s="396">
        <f>SUM(L642:L643)</f>
        <v>0</v>
      </c>
      <c r="M641" s="372"/>
    </row>
    <row r="642" spans="1:13" hidden="1" outlineLevel="3">
      <c r="A642" s="372"/>
      <c r="B642" s="376" t="s">
        <v>351</v>
      </c>
      <c r="C642" s="376" t="s">
        <v>351</v>
      </c>
      <c r="D642" s="372" t="s">
        <v>27</v>
      </c>
      <c r="E642" s="372" t="s">
        <v>28</v>
      </c>
      <c r="F642" s="422" t="s">
        <v>236</v>
      </c>
      <c r="G642" s="372"/>
      <c r="H642" s="377"/>
      <c r="I642" s="378">
        <v>1</v>
      </c>
      <c r="J642" s="372"/>
      <c r="K642" s="399">
        <f t="shared" ref="K642:K643" si="84">IF(L642=1,H642,0)</f>
        <v>0</v>
      </c>
      <c r="L642" s="378"/>
      <c r="M642" s="372"/>
    </row>
    <row r="643" spans="1:13" hidden="1" outlineLevel="3">
      <c r="A643" s="372"/>
      <c r="B643" s="376" t="s">
        <v>351</v>
      </c>
      <c r="C643" s="376" t="s">
        <v>351</v>
      </c>
      <c r="D643" s="372" t="s">
        <v>27</v>
      </c>
      <c r="E643" s="372" t="s">
        <v>28</v>
      </c>
      <c r="F643" s="422" t="s">
        <v>32</v>
      </c>
      <c r="G643" s="372"/>
      <c r="H643" s="377"/>
      <c r="I643" s="378">
        <v>1</v>
      </c>
      <c r="J643" s="372"/>
      <c r="K643" s="399">
        <f t="shared" si="84"/>
        <v>0</v>
      </c>
      <c r="L643" s="378"/>
      <c r="M643" s="372"/>
    </row>
    <row r="644" spans="1:13" hidden="1" outlineLevel="2">
      <c r="A644" s="372"/>
      <c r="B644" s="380" t="s">
        <v>351</v>
      </c>
      <c r="C644" s="380" t="s">
        <v>351</v>
      </c>
      <c r="D644" s="385" t="s">
        <v>58</v>
      </c>
      <c r="E644" s="385"/>
      <c r="F644" s="424" t="s">
        <v>352</v>
      </c>
      <c r="G644" s="385"/>
      <c r="H644" s="410"/>
      <c r="I644" s="396">
        <f>SUM(I645:I646)</f>
        <v>2</v>
      </c>
      <c r="J644" s="385"/>
      <c r="K644" s="410"/>
      <c r="L644" s="396">
        <f>SUM(L645:L646)</f>
        <v>0</v>
      </c>
      <c r="M644" s="372"/>
    </row>
    <row r="645" spans="1:13" hidden="1" outlineLevel="3">
      <c r="A645" s="372"/>
      <c r="B645" s="376" t="s">
        <v>351</v>
      </c>
      <c r="C645" s="376" t="s">
        <v>351</v>
      </c>
      <c r="D645" s="372" t="s">
        <v>58</v>
      </c>
      <c r="E645" s="372" t="s">
        <v>28</v>
      </c>
      <c r="F645" s="422" t="s">
        <v>236</v>
      </c>
      <c r="G645" s="372"/>
      <c r="H645" s="377"/>
      <c r="I645" s="378">
        <v>1</v>
      </c>
      <c r="J645" s="372"/>
      <c r="K645" s="399">
        <f t="shared" ref="K645:K646" si="85">IF(L645=1,H645,0)</f>
        <v>0</v>
      </c>
      <c r="L645" s="378"/>
      <c r="M645" s="372"/>
    </row>
    <row r="646" spans="1:13" hidden="1" outlineLevel="3">
      <c r="A646" s="372"/>
      <c r="B646" s="376" t="s">
        <v>351</v>
      </c>
      <c r="C646" s="376" t="s">
        <v>351</v>
      </c>
      <c r="D646" s="372" t="s">
        <v>58</v>
      </c>
      <c r="E646" s="372" t="s">
        <v>28</v>
      </c>
      <c r="F646" s="422" t="s">
        <v>32</v>
      </c>
      <c r="G646" s="372"/>
      <c r="H646" s="377"/>
      <c r="I646" s="378">
        <v>1</v>
      </c>
      <c r="J646" s="372"/>
      <c r="K646" s="399">
        <f t="shared" si="85"/>
        <v>0</v>
      </c>
      <c r="L646" s="378"/>
      <c r="M646" s="372"/>
    </row>
    <row r="647" spans="1:13" outlineLevel="1" collapsed="1">
      <c r="A647" s="372"/>
      <c r="B647" s="632" t="s">
        <v>353</v>
      </c>
      <c r="C647" s="633" t="s">
        <v>354</v>
      </c>
      <c r="D647" s="633"/>
      <c r="E647" s="632"/>
      <c r="F647" s="634" t="s">
        <v>234</v>
      </c>
      <c r="G647" s="633"/>
      <c r="H647" s="637">
        <f>SUM(H648,H652,H654,H657)</f>
        <v>1.95</v>
      </c>
      <c r="I647" s="636">
        <f>SUM(I648,I652,I654,I657)</f>
        <v>7</v>
      </c>
      <c r="J647" s="633"/>
      <c r="K647" s="637">
        <f>SUM(K648,K652,K654,K657)</f>
        <v>0.46</v>
      </c>
      <c r="L647" s="636">
        <f>SUM(L648,L652,L654,L657)</f>
        <v>1</v>
      </c>
      <c r="M647" s="372"/>
    </row>
    <row r="648" spans="1:13" hidden="1" outlineLevel="2">
      <c r="A648" s="372"/>
      <c r="B648" s="385" t="s">
        <v>353</v>
      </c>
      <c r="C648" s="385" t="s">
        <v>354</v>
      </c>
      <c r="D648" s="385" t="s">
        <v>17</v>
      </c>
      <c r="E648" s="380"/>
      <c r="F648" s="424" t="s">
        <v>234</v>
      </c>
      <c r="G648" s="385"/>
      <c r="H648" s="405">
        <f>SUM(H649:H651)</f>
        <v>1.6099999999999999</v>
      </c>
      <c r="I648" s="396">
        <f>SUM(I649:I651)</f>
        <v>3</v>
      </c>
      <c r="J648" s="385"/>
      <c r="K648" s="405">
        <f>SUM(K649:K651)</f>
        <v>0.46</v>
      </c>
      <c r="L648" s="396">
        <f>SUM(L649:L651)</f>
        <v>1</v>
      </c>
      <c r="M648" s="372"/>
    </row>
    <row r="649" spans="1:13" hidden="1" outlineLevel="3">
      <c r="A649" s="372"/>
      <c r="B649" s="372" t="s">
        <v>353</v>
      </c>
      <c r="C649" s="372" t="s">
        <v>354</v>
      </c>
      <c r="D649" s="372" t="s">
        <v>17</v>
      </c>
      <c r="E649" s="376" t="s">
        <v>64</v>
      </c>
      <c r="F649" s="422" t="s">
        <v>235</v>
      </c>
      <c r="G649" s="372"/>
      <c r="H649" s="377">
        <v>0.46</v>
      </c>
      <c r="I649" s="378">
        <v>1</v>
      </c>
      <c r="J649" s="372"/>
      <c r="K649" s="399">
        <f t="shared" ref="K649:K651" si="86">IF(L649=1,H649,0)</f>
        <v>0.46</v>
      </c>
      <c r="L649" s="378">
        <v>1</v>
      </c>
      <c r="M649" s="372"/>
    </row>
    <row r="650" spans="1:13" hidden="1" outlineLevel="3">
      <c r="A650" s="372"/>
      <c r="B650" s="372" t="s">
        <v>353</v>
      </c>
      <c r="C650" s="372" t="s">
        <v>354</v>
      </c>
      <c r="D650" s="372" t="s">
        <v>17</v>
      </c>
      <c r="E650" s="376" t="s">
        <v>64</v>
      </c>
      <c r="F650" s="422" t="s">
        <v>236</v>
      </c>
      <c r="G650" s="372"/>
      <c r="H650" s="399">
        <v>0.69</v>
      </c>
      <c r="I650" s="397">
        <v>1</v>
      </c>
      <c r="J650" s="372"/>
      <c r="K650" s="399">
        <f t="shared" si="86"/>
        <v>0</v>
      </c>
      <c r="L650" s="397"/>
      <c r="M650" s="372"/>
    </row>
    <row r="651" spans="1:13" hidden="1" outlineLevel="3">
      <c r="A651" s="372"/>
      <c r="B651" s="372" t="s">
        <v>353</v>
      </c>
      <c r="C651" s="372" t="s">
        <v>354</v>
      </c>
      <c r="D651" s="372" t="s">
        <v>17</v>
      </c>
      <c r="E651" s="376" t="s">
        <v>64</v>
      </c>
      <c r="F651" s="422" t="s">
        <v>32</v>
      </c>
      <c r="G651" s="372"/>
      <c r="H651" s="399">
        <v>0.46</v>
      </c>
      <c r="I651" s="397">
        <v>1</v>
      </c>
      <c r="J651" s="372"/>
      <c r="K651" s="399">
        <f t="shared" si="86"/>
        <v>0</v>
      </c>
      <c r="L651" s="397"/>
      <c r="M651" s="372"/>
    </row>
    <row r="652" spans="1:13" hidden="1" outlineLevel="2">
      <c r="A652" s="372"/>
      <c r="B652" s="385" t="s">
        <v>353</v>
      </c>
      <c r="C652" s="385" t="s">
        <v>354</v>
      </c>
      <c r="D652" s="385" t="s">
        <v>25</v>
      </c>
      <c r="E652" s="385"/>
      <c r="F652" s="424" t="s">
        <v>234</v>
      </c>
      <c r="G652" s="385"/>
      <c r="H652" s="405">
        <f>SUM(H653:H653)</f>
        <v>0.19</v>
      </c>
      <c r="I652" s="396">
        <f>SUM(I653:I653)</f>
        <v>1</v>
      </c>
      <c r="J652" s="385"/>
      <c r="K652" s="405">
        <f>SUM(K653:K653)</f>
        <v>0</v>
      </c>
      <c r="L652" s="396">
        <f>SUM(L653:L653)</f>
        <v>0</v>
      </c>
      <c r="M652" s="372"/>
    </row>
    <row r="653" spans="1:13" hidden="1" outlineLevel="3">
      <c r="A653" s="372"/>
      <c r="B653" s="372" t="s">
        <v>353</v>
      </c>
      <c r="C653" s="372" t="s">
        <v>354</v>
      </c>
      <c r="D653" s="372" t="s">
        <v>25</v>
      </c>
      <c r="E653" s="372" t="s">
        <v>26</v>
      </c>
      <c r="F653" s="422" t="s">
        <v>236</v>
      </c>
      <c r="G653" s="372"/>
      <c r="H653" s="377">
        <v>0.19</v>
      </c>
      <c r="I653" s="378">
        <v>1</v>
      </c>
      <c r="J653" s="372"/>
      <c r="K653" s="399">
        <f>IF(L653=1,H653,0)</f>
        <v>0</v>
      </c>
      <c r="L653" s="378"/>
      <c r="M653" s="372"/>
    </row>
    <row r="654" spans="1:13" hidden="1" outlineLevel="2">
      <c r="A654" s="372"/>
      <c r="B654" s="385" t="s">
        <v>353</v>
      </c>
      <c r="C654" s="385" t="s">
        <v>354</v>
      </c>
      <c r="D654" s="385" t="s">
        <v>27</v>
      </c>
      <c r="E654" s="385"/>
      <c r="F654" s="424" t="s">
        <v>234</v>
      </c>
      <c r="G654" s="404">
        <f t="shared" ref="G654:M654" si="87">SUM(G655:G656)</f>
        <v>0</v>
      </c>
      <c r="H654" s="405">
        <f t="shared" si="87"/>
        <v>0.1</v>
      </c>
      <c r="I654" s="396">
        <f t="shared" si="87"/>
        <v>2</v>
      </c>
      <c r="J654" s="404">
        <f t="shared" si="87"/>
        <v>0</v>
      </c>
      <c r="K654" s="405">
        <f t="shared" si="87"/>
        <v>0</v>
      </c>
      <c r="L654" s="396">
        <f t="shared" si="87"/>
        <v>0</v>
      </c>
      <c r="M654" s="397">
        <f t="shared" si="87"/>
        <v>0</v>
      </c>
    </row>
    <row r="655" spans="1:13" hidden="1" outlineLevel="3">
      <c r="A655" s="372"/>
      <c r="B655" s="372" t="s">
        <v>353</v>
      </c>
      <c r="C655" s="372" t="s">
        <v>354</v>
      </c>
      <c r="D655" s="372" t="s">
        <v>27</v>
      </c>
      <c r="E655" s="372" t="s">
        <v>28</v>
      </c>
      <c r="F655" s="422" t="s">
        <v>236</v>
      </c>
      <c r="G655" s="372"/>
      <c r="H655" s="377">
        <v>0.05</v>
      </c>
      <c r="I655" s="378">
        <v>1</v>
      </c>
      <c r="J655" s="372"/>
      <c r="K655" s="399">
        <f t="shared" ref="K655:K656" si="88">IF(L655=1,H655,0)</f>
        <v>0</v>
      </c>
      <c r="L655" s="378"/>
      <c r="M655" s="372"/>
    </row>
    <row r="656" spans="1:13" hidden="1" outlineLevel="3">
      <c r="A656" s="372"/>
      <c r="B656" s="372" t="s">
        <v>353</v>
      </c>
      <c r="C656" s="372" t="s">
        <v>354</v>
      </c>
      <c r="D656" s="372" t="s">
        <v>27</v>
      </c>
      <c r="E656" s="372" t="s">
        <v>28</v>
      </c>
      <c r="F656" s="422" t="s">
        <v>32</v>
      </c>
      <c r="G656" s="372"/>
      <c r="H656" s="377">
        <v>0.05</v>
      </c>
      <c r="I656" s="378">
        <v>1</v>
      </c>
      <c r="J656" s="372"/>
      <c r="K656" s="399">
        <f t="shared" si="88"/>
        <v>0</v>
      </c>
      <c r="L656" s="378"/>
      <c r="M656" s="372"/>
    </row>
    <row r="657" spans="1:13" hidden="1" outlineLevel="2">
      <c r="A657" s="372"/>
      <c r="B657" s="385" t="s">
        <v>353</v>
      </c>
      <c r="C657" s="385" t="s">
        <v>354</v>
      </c>
      <c r="D657" s="385" t="s">
        <v>58</v>
      </c>
      <c r="E657" s="385"/>
      <c r="F657" s="424" t="s">
        <v>234</v>
      </c>
      <c r="G657" s="385"/>
      <c r="H657" s="405">
        <f>SUM(H658:H658)</f>
        <v>0.05</v>
      </c>
      <c r="I657" s="396">
        <f>SUM(I658:I658)</f>
        <v>1</v>
      </c>
      <c r="J657" s="385"/>
      <c r="K657" s="405">
        <f>SUM(K658:K658)</f>
        <v>0</v>
      </c>
      <c r="L657" s="396">
        <f>SUM(L658:L658)</f>
        <v>0</v>
      </c>
      <c r="M657" s="372"/>
    </row>
    <row r="658" spans="1:13" hidden="1" outlineLevel="3">
      <c r="A658" s="372"/>
      <c r="B658" s="372" t="s">
        <v>353</v>
      </c>
      <c r="C658" s="372" t="s">
        <v>354</v>
      </c>
      <c r="D658" s="372" t="s">
        <v>58</v>
      </c>
      <c r="E658" s="372" t="s">
        <v>28</v>
      </c>
      <c r="F658" s="422" t="s">
        <v>32</v>
      </c>
      <c r="G658" s="372"/>
      <c r="H658" s="377">
        <v>0.05</v>
      </c>
      <c r="I658" s="378">
        <v>1</v>
      </c>
      <c r="J658" s="372"/>
      <c r="K658" s="399">
        <f>IF(L658=1,H658,0)</f>
        <v>0</v>
      </c>
      <c r="L658" s="378"/>
      <c r="M658" s="372"/>
    </row>
    <row r="659" spans="1:13" outlineLevel="1" collapsed="1">
      <c r="A659" s="372"/>
      <c r="B659" s="650" t="s">
        <v>355</v>
      </c>
      <c r="C659" s="650" t="s">
        <v>356</v>
      </c>
      <c r="D659" s="651"/>
      <c r="E659" s="650"/>
      <c r="F659" s="652" t="s">
        <v>357</v>
      </c>
      <c r="G659" s="633"/>
      <c r="H659" s="653">
        <f>SUM(H660,H664,H666,H669)</f>
        <v>0.19417209600000002</v>
      </c>
      <c r="I659" s="654">
        <f>I660+I664+I666+I669</f>
        <v>8</v>
      </c>
      <c r="J659" s="633"/>
      <c r="K659" s="653">
        <f>SUM(K660,K664,K666,K669)</f>
        <v>0</v>
      </c>
      <c r="L659" s="654">
        <f>L660+L664+L666+L669</f>
        <v>0</v>
      </c>
      <c r="M659" s="372"/>
    </row>
    <row r="660" spans="1:13" hidden="1" outlineLevel="2">
      <c r="A660" s="372"/>
      <c r="B660" s="450" t="s">
        <v>356</v>
      </c>
      <c r="C660" s="450" t="s">
        <v>356</v>
      </c>
      <c r="D660" s="451" t="s">
        <v>17</v>
      </c>
      <c r="E660" s="450"/>
      <c r="F660" s="452" t="s">
        <v>77</v>
      </c>
      <c r="G660" s="385"/>
      <c r="H660" s="405">
        <f>SUM(H661:H663)</f>
        <v>0.153458592</v>
      </c>
      <c r="I660" s="465">
        <f>SUM(I661:I663)</f>
        <v>3</v>
      </c>
      <c r="J660" s="385"/>
      <c r="K660" s="405">
        <f>SUM(K661:K663)</f>
        <v>0</v>
      </c>
      <c r="L660" s="465">
        <f>SUM(L661:L663)</f>
        <v>0</v>
      </c>
      <c r="M660" s="372"/>
    </row>
    <row r="661" spans="1:13" hidden="1" outlineLevel="3">
      <c r="A661" s="372"/>
      <c r="B661" s="456" t="s">
        <v>356</v>
      </c>
      <c r="C661" s="456" t="s">
        <v>356</v>
      </c>
      <c r="D661" s="457" t="s">
        <v>17</v>
      </c>
      <c r="E661" s="456" t="s">
        <v>241</v>
      </c>
      <c r="F661" s="425" t="s">
        <v>235</v>
      </c>
      <c r="G661" s="372"/>
      <c r="H661" s="458">
        <v>4.3845312000000004E-2</v>
      </c>
      <c r="I661" s="455">
        <v>1</v>
      </c>
      <c r="J661" s="372"/>
      <c r="K661" s="399">
        <f t="shared" ref="K661:K663" si="89">IF(L661=1,H661,0)</f>
        <v>0</v>
      </c>
      <c r="L661" s="455"/>
      <c r="M661" s="372"/>
    </row>
    <row r="662" spans="1:13" hidden="1" outlineLevel="3">
      <c r="A662" s="372"/>
      <c r="B662" s="456" t="s">
        <v>356</v>
      </c>
      <c r="C662" s="456" t="s">
        <v>356</v>
      </c>
      <c r="D662" s="457" t="s">
        <v>17</v>
      </c>
      <c r="E662" s="456" t="s">
        <v>241</v>
      </c>
      <c r="F662" s="425" t="s">
        <v>236</v>
      </c>
      <c r="G662" s="372"/>
      <c r="H662" s="458">
        <v>6.576796800000001E-2</v>
      </c>
      <c r="I662" s="455">
        <v>1</v>
      </c>
      <c r="J662" s="372"/>
      <c r="K662" s="399">
        <f t="shared" si="89"/>
        <v>0</v>
      </c>
      <c r="L662" s="455"/>
      <c r="M662" s="372"/>
    </row>
    <row r="663" spans="1:13" hidden="1" outlineLevel="3">
      <c r="A663" s="372"/>
      <c r="B663" s="456" t="s">
        <v>356</v>
      </c>
      <c r="C663" s="456" t="s">
        <v>356</v>
      </c>
      <c r="D663" s="457" t="s">
        <v>17</v>
      </c>
      <c r="E663" s="456" t="s">
        <v>241</v>
      </c>
      <c r="F663" s="425" t="s">
        <v>32</v>
      </c>
      <c r="G663" s="372"/>
      <c r="H663" s="458">
        <v>4.3845312000000004E-2</v>
      </c>
      <c r="I663" s="455">
        <v>1</v>
      </c>
      <c r="J663" s="372"/>
      <c r="K663" s="399">
        <f t="shared" si="89"/>
        <v>0</v>
      </c>
      <c r="L663" s="455"/>
      <c r="M663" s="372"/>
    </row>
    <row r="664" spans="1:13" hidden="1" outlineLevel="2">
      <c r="A664" s="372"/>
      <c r="B664" s="450" t="s">
        <v>356</v>
      </c>
      <c r="C664" s="450" t="s">
        <v>356</v>
      </c>
      <c r="D664" s="451" t="s">
        <v>25</v>
      </c>
      <c r="E664" s="451"/>
      <c r="F664" s="452" t="s">
        <v>77</v>
      </c>
      <c r="G664" s="385"/>
      <c r="H664" s="405">
        <f>SUM(H665:H665)</f>
        <v>2.0043571200000002E-2</v>
      </c>
      <c r="I664" s="465">
        <f>SUM(I665:I665)</f>
        <v>1</v>
      </c>
      <c r="J664" s="385"/>
      <c r="K664" s="405">
        <f>SUM(K665:K665)</f>
        <v>0</v>
      </c>
      <c r="L664" s="465">
        <f>SUM(L665:L665)</f>
        <v>0</v>
      </c>
      <c r="M664" s="372"/>
    </row>
    <row r="665" spans="1:13" hidden="1" outlineLevel="3">
      <c r="A665" s="372"/>
      <c r="B665" s="456" t="s">
        <v>356</v>
      </c>
      <c r="C665" s="456" t="s">
        <v>356</v>
      </c>
      <c r="D665" s="457" t="s">
        <v>25</v>
      </c>
      <c r="E665" s="457" t="s">
        <v>26</v>
      </c>
      <c r="F665" s="425" t="s">
        <v>236</v>
      </c>
      <c r="G665" s="372"/>
      <c r="H665" s="458">
        <v>2.0043571200000002E-2</v>
      </c>
      <c r="I665" s="455">
        <v>1</v>
      </c>
      <c r="J665" s="372"/>
      <c r="K665" s="399">
        <f>IF(L665=1,H665,0)</f>
        <v>0</v>
      </c>
      <c r="L665" s="455"/>
      <c r="M665" s="372"/>
    </row>
    <row r="666" spans="1:13" hidden="1" outlineLevel="2">
      <c r="A666" s="372"/>
      <c r="B666" s="450" t="s">
        <v>356</v>
      </c>
      <c r="C666" s="450" t="s">
        <v>356</v>
      </c>
      <c r="D666" s="451" t="s">
        <v>27</v>
      </c>
      <c r="E666" s="451"/>
      <c r="F666" s="452" t="s">
        <v>77</v>
      </c>
      <c r="G666" s="385"/>
      <c r="H666" s="405">
        <f>SUM(H667:H668)</f>
        <v>1.1274508799999999E-2</v>
      </c>
      <c r="I666" s="465">
        <f>SUM(I667:I668)</f>
        <v>2</v>
      </c>
      <c r="J666" s="385"/>
      <c r="K666" s="405">
        <f>SUM(K667:K668)</f>
        <v>0</v>
      </c>
      <c r="L666" s="465">
        <f>SUM(L667:L668)</f>
        <v>0</v>
      </c>
      <c r="M666" s="372"/>
    </row>
    <row r="667" spans="1:13" hidden="1" outlineLevel="3">
      <c r="A667" s="372"/>
      <c r="B667" s="456" t="s">
        <v>356</v>
      </c>
      <c r="C667" s="456" t="s">
        <v>356</v>
      </c>
      <c r="D667" s="457" t="s">
        <v>27</v>
      </c>
      <c r="E667" s="457" t="s">
        <v>28</v>
      </c>
      <c r="F667" s="425" t="s">
        <v>236</v>
      </c>
      <c r="G667" s="372"/>
      <c r="H667" s="458">
        <v>5.6372543999999997E-3</v>
      </c>
      <c r="I667" s="455">
        <v>1</v>
      </c>
      <c r="J667" s="372"/>
      <c r="K667" s="399">
        <f t="shared" ref="K667:K668" si="90">IF(L667=1,H667,0)</f>
        <v>0</v>
      </c>
      <c r="L667" s="455"/>
      <c r="M667" s="372"/>
    </row>
    <row r="668" spans="1:13" hidden="1" outlineLevel="3">
      <c r="A668" s="372"/>
      <c r="B668" s="456" t="s">
        <v>356</v>
      </c>
      <c r="C668" s="456" t="s">
        <v>356</v>
      </c>
      <c r="D668" s="457" t="s">
        <v>27</v>
      </c>
      <c r="E668" s="457" t="s">
        <v>28</v>
      </c>
      <c r="F668" s="425" t="s">
        <v>32</v>
      </c>
      <c r="G668" s="372"/>
      <c r="H668" s="458">
        <v>5.6372543999999997E-3</v>
      </c>
      <c r="I668" s="455">
        <v>1</v>
      </c>
      <c r="J668" s="372"/>
      <c r="K668" s="399">
        <f t="shared" si="90"/>
        <v>0</v>
      </c>
      <c r="L668" s="455"/>
      <c r="M668" s="372"/>
    </row>
    <row r="669" spans="1:13" hidden="1" outlineLevel="2">
      <c r="A669" s="372"/>
      <c r="B669" s="450" t="s">
        <v>356</v>
      </c>
      <c r="C669" s="450" t="s">
        <v>356</v>
      </c>
      <c r="D669" s="451" t="s">
        <v>58</v>
      </c>
      <c r="E669" s="451"/>
      <c r="F669" s="452" t="s">
        <v>77</v>
      </c>
      <c r="G669" s="385"/>
      <c r="H669" s="405">
        <f>SUM(H670:H671)</f>
        <v>9.3954239999999994E-3</v>
      </c>
      <c r="I669" s="465">
        <f>SUM(I670:I671)</f>
        <v>2</v>
      </c>
      <c r="J669" s="385"/>
      <c r="K669" s="405">
        <f>SUM(K670:K671)</f>
        <v>0</v>
      </c>
      <c r="L669" s="465">
        <f>SUM(L670:L671)</f>
        <v>0</v>
      </c>
      <c r="M669" s="372"/>
    </row>
    <row r="670" spans="1:13" hidden="1" outlineLevel="3">
      <c r="A670" s="372"/>
      <c r="B670" s="456" t="s">
        <v>356</v>
      </c>
      <c r="C670" s="456" t="s">
        <v>356</v>
      </c>
      <c r="D670" s="457" t="s">
        <v>58</v>
      </c>
      <c r="E670" s="457" t="s">
        <v>28</v>
      </c>
      <c r="F670" s="425" t="s">
        <v>236</v>
      </c>
      <c r="G670" s="372"/>
      <c r="H670" s="458">
        <v>4.6977119999999997E-3</v>
      </c>
      <c r="I670" s="455">
        <v>1</v>
      </c>
      <c r="J670" s="372"/>
      <c r="K670" s="399">
        <f t="shared" ref="K670:K671" si="91">IF(L670=1,H670,0)</f>
        <v>0</v>
      </c>
      <c r="L670" s="455"/>
      <c r="M670" s="372"/>
    </row>
    <row r="671" spans="1:13" hidden="1" outlineLevel="3">
      <c r="A671" s="372"/>
      <c r="B671" s="456" t="s">
        <v>356</v>
      </c>
      <c r="C671" s="456" t="s">
        <v>356</v>
      </c>
      <c r="D671" s="457" t="s">
        <v>58</v>
      </c>
      <c r="E671" s="457" t="s">
        <v>28</v>
      </c>
      <c r="F671" s="425" t="s">
        <v>32</v>
      </c>
      <c r="G671" s="372"/>
      <c r="H671" s="458">
        <v>4.6977119999999997E-3</v>
      </c>
      <c r="I671" s="455">
        <v>1</v>
      </c>
      <c r="J671" s="372"/>
      <c r="K671" s="399">
        <f t="shared" si="91"/>
        <v>0</v>
      </c>
      <c r="L671" s="455"/>
      <c r="M671" s="372"/>
    </row>
    <row r="672" spans="1:13" s="466" customFormat="1" ht="26.4" outlineLevel="1" collapsed="1">
      <c r="A672" s="457"/>
      <c r="B672" s="650" t="s">
        <v>364</v>
      </c>
      <c r="C672" s="650" t="s">
        <v>365</v>
      </c>
      <c r="D672" s="650"/>
      <c r="E672" s="650"/>
      <c r="F672" s="652" t="s">
        <v>366</v>
      </c>
      <c r="G672" s="651"/>
      <c r="H672" s="653">
        <f>SUM(H673,H679,H682,H686)</f>
        <v>4.4898450109999999</v>
      </c>
      <c r="I672" s="654">
        <f>SUM(I673,I679,I682,I686)</f>
        <v>12</v>
      </c>
      <c r="J672" s="651"/>
      <c r="K672" s="653">
        <f>SUM(K673,K679,K682,K686)</f>
        <v>0</v>
      </c>
      <c r="L672" s="654">
        <f>SUM(L673,L679,L682,L686)</f>
        <v>0</v>
      </c>
      <c r="M672" s="457"/>
    </row>
    <row r="673" spans="1:13" hidden="1" outlineLevel="2">
      <c r="A673" s="372"/>
      <c r="B673" s="385" t="s">
        <v>364</v>
      </c>
      <c r="C673" s="380" t="s">
        <v>365</v>
      </c>
      <c r="D673" s="385" t="s">
        <v>17</v>
      </c>
      <c r="E673" s="380"/>
      <c r="F673" s="424" t="s">
        <v>367</v>
      </c>
      <c r="G673" s="385"/>
      <c r="H673" s="405">
        <f>SUM(H674:H678)</f>
        <v>3.4099999999999997</v>
      </c>
      <c r="I673" s="404">
        <f>SUM(I674:I678)</f>
        <v>5</v>
      </c>
      <c r="J673" s="385"/>
      <c r="K673" s="405">
        <f>SUM(K674:K678)</f>
        <v>0</v>
      </c>
      <c r="L673" s="404">
        <f>SUM(L674:L678)</f>
        <v>0</v>
      </c>
      <c r="M673" s="372"/>
    </row>
    <row r="674" spans="1:13" hidden="1" outlineLevel="3">
      <c r="A674" s="372"/>
      <c r="B674" s="372" t="s">
        <v>364</v>
      </c>
      <c r="C674" s="376" t="s">
        <v>365</v>
      </c>
      <c r="D674" s="372" t="s">
        <v>17</v>
      </c>
      <c r="E674" s="376" t="s">
        <v>64</v>
      </c>
      <c r="F674" s="422" t="s">
        <v>368</v>
      </c>
      <c r="G674" s="372"/>
      <c r="H674" s="399">
        <v>1.34</v>
      </c>
      <c r="I674" s="397">
        <v>1</v>
      </c>
      <c r="J674" s="372"/>
      <c r="K674" s="399">
        <f t="shared" ref="K674:K678" si="92">IF(L674=1,H674,0)</f>
        <v>0</v>
      </c>
      <c r="L674" s="397"/>
      <c r="M674" s="372"/>
    </row>
    <row r="675" spans="1:13" hidden="1" outlineLevel="3">
      <c r="A675" s="372"/>
      <c r="B675" s="372" t="s">
        <v>364</v>
      </c>
      <c r="C675" s="376" t="s">
        <v>365</v>
      </c>
      <c r="D675" s="372" t="s">
        <v>17</v>
      </c>
      <c r="E675" s="376" t="s">
        <v>64</v>
      </c>
      <c r="F675" s="422" t="s">
        <v>292</v>
      </c>
      <c r="G675" s="372"/>
      <c r="H675" s="399">
        <v>1.34</v>
      </c>
      <c r="I675" s="397">
        <v>1</v>
      </c>
      <c r="J675" s="372"/>
      <c r="K675" s="399">
        <f t="shared" si="92"/>
        <v>0</v>
      </c>
      <c r="L675" s="397"/>
      <c r="M675" s="372"/>
    </row>
    <row r="676" spans="1:13" hidden="1" outlineLevel="3">
      <c r="A676" s="372"/>
      <c r="B676" s="372" t="s">
        <v>364</v>
      </c>
      <c r="C676" s="376" t="s">
        <v>365</v>
      </c>
      <c r="D676" s="372" t="s">
        <v>17</v>
      </c>
      <c r="E676" s="376" t="s">
        <v>64</v>
      </c>
      <c r="F676" s="422" t="s">
        <v>32</v>
      </c>
      <c r="G676" s="372"/>
      <c r="H676" s="399">
        <v>0.67</v>
      </c>
      <c r="I676" s="397">
        <v>1</v>
      </c>
      <c r="J676" s="372"/>
      <c r="K676" s="399">
        <f t="shared" si="92"/>
        <v>0</v>
      </c>
      <c r="L676" s="397"/>
      <c r="M676" s="372"/>
    </row>
    <row r="677" spans="1:13" hidden="1" outlineLevel="3">
      <c r="A677" s="372"/>
      <c r="B677" s="372" t="s">
        <v>364</v>
      </c>
      <c r="C677" s="376" t="s">
        <v>365</v>
      </c>
      <c r="D677" s="372" t="s">
        <v>17</v>
      </c>
      <c r="E677" s="376" t="s">
        <v>177</v>
      </c>
      <c r="F677" s="406" t="s">
        <v>370</v>
      </c>
      <c r="G677" s="372"/>
      <c r="H677" s="399">
        <v>0.03</v>
      </c>
      <c r="I677" s="397">
        <v>1</v>
      </c>
      <c r="J677" s="372"/>
      <c r="K677" s="399">
        <f t="shared" si="92"/>
        <v>0</v>
      </c>
      <c r="L677" s="397"/>
      <c r="M677" s="372"/>
    </row>
    <row r="678" spans="1:13" hidden="1" outlineLevel="3">
      <c r="A678" s="372"/>
      <c r="B678" s="372" t="s">
        <v>364</v>
      </c>
      <c r="C678" s="376" t="s">
        <v>365</v>
      </c>
      <c r="D678" s="372" t="s">
        <v>17</v>
      </c>
      <c r="E678" s="376" t="s">
        <v>177</v>
      </c>
      <c r="F678" s="406" t="s">
        <v>371</v>
      </c>
      <c r="G678" s="372"/>
      <c r="H678" s="399">
        <v>0.03</v>
      </c>
      <c r="I678" s="397">
        <v>1</v>
      </c>
      <c r="J678" s="372"/>
      <c r="K678" s="399">
        <f t="shared" si="92"/>
        <v>0</v>
      </c>
      <c r="L678" s="397"/>
      <c r="M678" s="372"/>
    </row>
    <row r="679" spans="1:13" hidden="1" outlineLevel="2">
      <c r="A679" s="372"/>
      <c r="B679" s="385" t="s">
        <v>364</v>
      </c>
      <c r="C679" s="380" t="s">
        <v>365</v>
      </c>
      <c r="D679" s="385" t="s">
        <v>25</v>
      </c>
      <c r="E679" s="385"/>
      <c r="F679" s="424" t="s">
        <v>325</v>
      </c>
      <c r="G679" s="385"/>
      <c r="H679" s="405">
        <f>SUM(H680:H681)</f>
        <v>0.62984501100000001</v>
      </c>
      <c r="I679" s="404">
        <f>SUM(I680:I681)</f>
        <v>2</v>
      </c>
      <c r="J679" s="385"/>
      <c r="K679" s="405">
        <f>SUM(K680:K681)</f>
        <v>0</v>
      </c>
      <c r="L679" s="404">
        <f>SUM(L680:L681)</f>
        <v>0</v>
      </c>
      <c r="M679" s="372"/>
    </row>
    <row r="680" spans="1:13" hidden="1" outlineLevel="3">
      <c r="A680" s="372"/>
      <c r="B680" s="372" t="s">
        <v>364</v>
      </c>
      <c r="C680" s="376" t="s">
        <v>365</v>
      </c>
      <c r="D680" s="372" t="s">
        <v>25</v>
      </c>
      <c r="E680" s="372" t="s">
        <v>26</v>
      </c>
      <c r="F680" s="422" t="s">
        <v>368</v>
      </c>
      <c r="G680" s="372"/>
      <c r="H680" s="399">
        <v>0.26984501099999997</v>
      </c>
      <c r="I680" s="397">
        <v>1</v>
      </c>
      <c r="J680" s="372"/>
      <c r="K680" s="399">
        <f t="shared" ref="K680:K681" si="93">IF(L680=1,H680,0)</f>
        <v>0</v>
      </c>
      <c r="L680" s="397"/>
      <c r="M680" s="372"/>
    </row>
    <row r="681" spans="1:13" hidden="1" outlineLevel="3">
      <c r="A681" s="372"/>
      <c r="B681" s="372" t="s">
        <v>364</v>
      </c>
      <c r="C681" s="376" t="s">
        <v>365</v>
      </c>
      <c r="D681" s="372" t="s">
        <v>25</v>
      </c>
      <c r="E681" s="372" t="s">
        <v>26</v>
      </c>
      <c r="F681" s="422" t="s">
        <v>292</v>
      </c>
      <c r="G681" s="372"/>
      <c r="H681" s="399">
        <v>0.36</v>
      </c>
      <c r="I681" s="397">
        <v>1</v>
      </c>
      <c r="J681" s="372"/>
      <c r="K681" s="399">
        <f t="shared" si="93"/>
        <v>0</v>
      </c>
      <c r="L681" s="397"/>
      <c r="M681" s="372"/>
    </row>
    <row r="682" spans="1:13" hidden="1" outlineLevel="2">
      <c r="A682" s="372"/>
      <c r="B682" s="385" t="s">
        <v>364</v>
      </c>
      <c r="C682" s="380" t="s">
        <v>365</v>
      </c>
      <c r="D682" s="385" t="s">
        <v>27</v>
      </c>
      <c r="E682" s="385"/>
      <c r="F682" s="424" t="s">
        <v>372</v>
      </c>
      <c r="G682" s="385"/>
      <c r="H682" s="405">
        <f>SUM(H683:H685)</f>
        <v>0.25</v>
      </c>
      <c r="I682" s="404">
        <f>SUM(I683:I685)</f>
        <v>3</v>
      </c>
      <c r="J682" s="385"/>
      <c r="K682" s="405">
        <f>SUM(K683:K685)</f>
        <v>0</v>
      </c>
      <c r="L682" s="404">
        <f>SUM(L683:L685)</f>
        <v>0</v>
      </c>
      <c r="M682" s="372"/>
    </row>
    <row r="683" spans="1:13" hidden="1" outlineLevel="3">
      <c r="A683" s="372"/>
      <c r="B683" s="372" t="s">
        <v>364</v>
      </c>
      <c r="C683" s="376" t="s">
        <v>365</v>
      </c>
      <c r="D683" s="372" t="s">
        <v>27</v>
      </c>
      <c r="E683" s="372" t="s">
        <v>28</v>
      </c>
      <c r="F683" s="422" t="s">
        <v>31</v>
      </c>
      <c r="G683" s="372"/>
      <c r="H683" s="399">
        <v>0.1</v>
      </c>
      <c r="I683" s="397">
        <v>1</v>
      </c>
      <c r="J683" s="372"/>
      <c r="K683" s="399">
        <f t="shared" ref="K683:K685" si="94">IF(L683=1,H683,0)</f>
        <v>0</v>
      </c>
      <c r="L683" s="397"/>
      <c r="M683" s="372"/>
    </row>
    <row r="684" spans="1:13" hidden="1" outlineLevel="3">
      <c r="A684" s="372"/>
      <c r="B684" s="372" t="s">
        <v>364</v>
      </c>
      <c r="C684" s="376" t="s">
        <v>365</v>
      </c>
      <c r="D684" s="372" t="s">
        <v>27</v>
      </c>
      <c r="E684" s="372" t="s">
        <v>28</v>
      </c>
      <c r="F684" s="422" t="s">
        <v>32</v>
      </c>
      <c r="G684" s="372"/>
      <c r="H684" s="399">
        <v>0.05</v>
      </c>
      <c r="I684" s="397">
        <v>1</v>
      </c>
      <c r="J684" s="372"/>
      <c r="K684" s="399">
        <f t="shared" si="94"/>
        <v>0</v>
      </c>
      <c r="L684" s="397"/>
      <c r="M684" s="372"/>
    </row>
    <row r="685" spans="1:13" hidden="1" outlineLevel="3">
      <c r="A685" s="372"/>
      <c r="B685" s="372" t="s">
        <v>364</v>
      </c>
      <c r="C685" s="376" t="s">
        <v>365</v>
      </c>
      <c r="D685" s="372" t="s">
        <v>27</v>
      </c>
      <c r="E685" s="372" t="s">
        <v>28</v>
      </c>
      <c r="F685" s="422" t="s">
        <v>292</v>
      </c>
      <c r="G685" s="372"/>
      <c r="H685" s="399">
        <v>0.1</v>
      </c>
      <c r="I685" s="397">
        <v>1</v>
      </c>
      <c r="J685" s="372"/>
      <c r="K685" s="399">
        <f t="shared" si="94"/>
        <v>0</v>
      </c>
      <c r="L685" s="397"/>
      <c r="M685" s="372"/>
    </row>
    <row r="686" spans="1:13" hidden="1" outlineLevel="2">
      <c r="A686" s="372"/>
      <c r="B686" s="385" t="s">
        <v>364</v>
      </c>
      <c r="C686" s="380" t="s">
        <v>365</v>
      </c>
      <c r="D686" s="385" t="s">
        <v>58</v>
      </c>
      <c r="E686" s="385"/>
      <c r="F686" s="424" t="s">
        <v>372</v>
      </c>
      <c r="G686" s="385"/>
      <c r="H686" s="405">
        <f>SUM(H687:H688)</f>
        <v>0.2</v>
      </c>
      <c r="I686" s="404">
        <f>SUM(I687:I688)</f>
        <v>2</v>
      </c>
      <c r="J686" s="385"/>
      <c r="K686" s="405">
        <f>SUM(K687:K688)</f>
        <v>0</v>
      </c>
      <c r="L686" s="404">
        <f>SUM(L687:L688)</f>
        <v>0</v>
      </c>
      <c r="M686" s="372"/>
    </row>
    <row r="687" spans="1:13" hidden="1" outlineLevel="3">
      <c r="A687" s="372"/>
      <c r="B687" s="372" t="s">
        <v>364</v>
      </c>
      <c r="C687" s="376" t="s">
        <v>365</v>
      </c>
      <c r="D687" s="372" t="s">
        <v>58</v>
      </c>
      <c r="E687" s="372" t="s">
        <v>28</v>
      </c>
      <c r="F687" s="422" t="s">
        <v>31</v>
      </c>
      <c r="G687" s="372"/>
      <c r="H687" s="399">
        <v>0.15</v>
      </c>
      <c r="I687" s="397">
        <v>1</v>
      </c>
      <c r="J687" s="372"/>
      <c r="K687" s="399">
        <f t="shared" ref="K687:K688" si="95">IF(L687=1,H687,0)</f>
        <v>0</v>
      </c>
      <c r="L687" s="397"/>
      <c r="M687" s="372"/>
    </row>
    <row r="688" spans="1:13" hidden="1" outlineLevel="3">
      <c r="A688" s="372"/>
      <c r="B688" s="372" t="s">
        <v>364</v>
      </c>
      <c r="C688" s="376" t="s">
        <v>365</v>
      </c>
      <c r="D688" s="372" t="s">
        <v>58</v>
      </c>
      <c r="E688" s="372" t="s">
        <v>28</v>
      </c>
      <c r="F688" s="422" t="s">
        <v>32</v>
      </c>
      <c r="G688" s="372"/>
      <c r="H688" s="399">
        <v>0.05</v>
      </c>
      <c r="I688" s="397">
        <v>1</v>
      </c>
      <c r="J688" s="372"/>
      <c r="K688" s="399">
        <f t="shared" si="95"/>
        <v>0</v>
      </c>
      <c r="L688" s="397"/>
      <c r="M688" s="372"/>
    </row>
  </sheetData>
  <autoFilter ref="A5:AG688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6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C96-6B16-49A5-9BAB-837B9E101DF9}">
  <sheetPr codeName="Sheet25">
    <outlinePr summaryBelow="0" summaryRight="0"/>
  </sheetPr>
  <dimension ref="A2:AE653"/>
  <sheetViews>
    <sheetView zoomScale="130" zoomScaleNormal="130" workbookViewId="0">
      <pane xSplit="2" ySplit="4" topLeftCell="C5" activePane="bottomRight" state="frozen"/>
      <selection pane="topRight" activeCell="D11" sqref="D11"/>
      <selection pane="bottomLeft" activeCell="D11" sqref="D11"/>
      <selection pane="bottomRight" activeCell="D11" sqref="D11"/>
    </sheetView>
  </sheetViews>
  <sheetFormatPr defaultColWidth="9.44140625" defaultRowHeight="13.2" outlineLevelRow="4" outlineLevelCol="1"/>
  <cols>
    <col min="1" max="1" width="0.5546875" style="416" customWidth="1"/>
    <col min="2" max="2" width="31.5546875" style="416" customWidth="1"/>
    <col min="3" max="3" width="17.6640625" style="416" bestFit="1" customWidth="1"/>
    <col min="4" max="4" width="16.33203125" style="416" customWidth="1"/>
    <col min="5" max="5" width="14.44140625" style="416" customWidth="1"/>
    <col min="6" max="6" width="53.6640625" style="749" customWidth="1"/>
    <col min="7" max="7" width="13.33203125" style="416" bestFit="1" customWidth="1"/>
    <col min="8" max="8" width="9.5546875" style="416" customWidth="1" outlineLevel="1"/>
    <col min="9" max="11" width="0.5546875" style="416" customWidth="1"/>
    <col min="12" max="13" width="14.44140625" style="416" customWidth="1"/>
    <col min="14" max="18" width="14.44140625" style="416" customWidth="1" outlineLevel="1"/>
    <col min="19" max="21" width="0.5546875" style="416" customWidth="1"/>
    <col min="22" max="22" width="16.33203125" style="416" customWidth="1"/>
    <col min="23" max="23" width="14.33203125" style="416" customWidth="1" outlineLevel="1"/>
    <col min="24" max="26" width="9.44140625" style="416"/>
    <col min="27" max="27" width="9.44140625" style="416" bestFit="1" customWidth="1"/>
    <col min="28" max="16384" width="9.44140625" style="416"/>
  </cols>
  <sheetData>
    <row r="2" spans="1:31" ht="17.399999999999999">
      <c r="A2" s="376"/>
      <c r="B2" s="418" t="s">
        <v>1184</v>
      </c>
      <c r="C2" s="418"/>
      <c r="D2" s="418"/>
      <c r="E2" s="418"/>
      <c r="F2" s="423"/>
      <c r="G2" s="689">
        <f>SUBTOTAL(9,G6:G654)</f>
        <v>155.49055455638683</v>
      </c>
      <c r="H2" s="771">
        <f>SUBTOTAL(9,H6:H654)</f>
        <v>353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SUBTOTAL(9,V6:V654)</f>
        <v>0.82435221523999969</v>
      </c>
      <c r="W2" s="764">
        <f>SUBTOTAL(9,W6:W654)</f>
        <v>11</v>
      </c>
      <c r="X2" s="610">
        <f>G2-V2</f>
        <v>154.66620234114683</v>
      </c>
      <c r="Y2" s="610">
        <f>H2-W2</f>
        <v>342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1" s="44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93" t="s">
        <v>1192</v>
      </c>
      <c r="W4" s="693" t="s">
        <v>1193</v>
      </c>
      <c r="X4" s="763">
        <f>V2/G2</f>
        <v>5.301622452835603E-3</v>
      </c>
      <c r="Y4" s="763">
        <f>W2/H2</f>
        <v>3.1161473087818695E-2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1" ht="15">
      <c r="A6" s="376"/>
      <c r="B6" s="430" t="s">
        <v>13</v>
      </c>
      <c r="C6" s="430"/>
      <c r="D6" s="430"/>
      <c r="E6" s="430"/>
      <c r="F6" s="697"/>
      <c r="G6" s="698">
        <f>SUBTOTAL(9,G8:G393)</f>
        <v>35.454419905973523</v>
      </c>
      <c r="H6" s="699">
        <f>SUBTOTAL(9,H8:H393)</f>
        <v>256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SUBTOTAL(9,V8:V393)</f>
        <v>0.82435221523999969</v>
      </c>
      <c r="W6" s="699">
        <f>SUBTOTAL(9,W8:W393)</f>
        <v>11</v>
      </c>
      <c r="X6" s="610"/>
      <c r="Y6" s="610"/>
      <c r="Z6" s="610"/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01">
        <f>SUBTOTAL(9,G9:G19)</f>
        <v>0.43271940249580965</v>
      </c>
      <c r="H8" s="702">
        <f>SUBTOTAL(9,H9:H19)</f>
        <v>8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SUBTOTAL(9,V9:V19)</f>
        <v>0</v>
      </c>
      <c r="W8" s="702">
        <f>SUBTOTAL(9,W9:W19)</f>
        <v>0</v>
      </c>
      <c r="X8" s="610"/>
      <c r="Y8" s="610"/>
      <c r="Z8" s="610"/>
    </row>
    <row r="9" spans="1:31" outlineLevel="2">
      <c r="A9" s="376"/>
      <c r="B9" s="684" t="s">
        <v>14</v>
      </c>
      <c r="C9" s="684" t="s">
        <v>15</v>
      </c>
      <c r="D9" s="684" t="s">
        <v>17</v>
      </c>
      <c r="E9" s="684"/>
      <c r="F9" s="685" t="s">
        <v>1194</v>
      </c>
      <c r="G9" s="686">
        <f>SUBTOTAL(9,G10:G13)</f>
        <v>0.39703158217785306</v>
      </c>
      <c r="H9" s="691">
        <f>SUBTOTAL(9,H10:H13)</f>
        <v>4</v>
      </c>
      <c r="I9" s="626"/>
      <c r="J9" s="751"/>
      <c r="L9" s="685"/>
      <c r="M9" s="685"/>
      <c r="N9" s="685"/>
      <c r="O9" s="685"/>
      <c r="P9" s="685"/>
      <c r="Q9" s="685"/>
      <c r="R9" s="685"/>
      <c r="T9" s="751"/>
      <c r="V9" s="686">
        <f>SUBTOTAL(9,V10:V13)</f>
        <v>0</v>
      </c>
      <c r="W9" s="691">
        <f>SUBTOTAL(9,W10:W13)</f>
        <v>0</v>
      </c>
      <c r="X9" s="610"/>
      <c r="Y9" s="610"/>
      <c r="Z9" s="610"/>
      <c r="AD9" s="447"/>
      <c r="AE9" s="683"/>
    </row>
    <row r="10" spans="1:31" ht="26.4" outlineLevel="3">
      <c r="A10" s="376"/>
      <c r="B10" s="376" t="s">
        <v>14</v>
      </c>
      <c r="C10" s="376" t="s">
        <v>18</v>
      </c>
      <c r="D10" s="376" t="s">
        <v>17</v>
      </c>
      <c r="E10" s="376" t="s">
        <v>19</v>
      </c>
      <c r="F10" s="608" t="s">
        <v>410</v>
      </c>
      <c r="G10" s="609">
        <v>0.27</v>
      </c>
      <c r="H10" s="700">
        <v>1</v>
      </c>
      <c r="I10" s="626"/>
      <c r="J10" s="751"/>
      <c r="L10" s="608" t="s">
        <v>19</v>
      </c>
      <c r="M10" s="608" t="s">
        <v>1195</v>
      </c>
      <c r="N10" s="608" t="s">
        <v>1196</v>
      </c>
      <c r="O10" s="608"/>
      <c r="P10" s="608"/>
      <c r="Q10" s="608"/>
      <c r="R10" s="608"/>
      <c r="T10" s="751"/>
      <c r="V10" s="609">
        <f t="shared" ref="V10:V13" si="0">IF(W10=1,G10,0)</f>
        <v>0</v>
      </c>
      <c r="W10" s="700"/>
      <c r="X10" s="610"/>
      <c r="Y10" s="610"/>
      <c r="Z10" s="610"/>
      <c r="AD10" s="447"/>
      <c r="AE10" s="683"/>
    </row>
    <row r="11" spans="1:31" ht="24.6" customHeight="1" outlineLevel="3">
      <c r="A11" s="376"/>
      <c r="B11" s="376" t="s">
        <v>14</v>
      </c>
      <c r="C11" s="376" t="s">
        <v>18</v>
      </c>
      <c r="D11" s="376" t="s">
        <v>17</v>
      </c>
      <c r="E11" s="376" t="s">
        <v>19</v>
      </c>
      <c r="F11" s="608" t="s">
        <v>1197</v>
      </c>
      <c r="G11" s="695">
        <v>4.5377035860000005E-2</v>
      </c>
      <c r="H11" s="700">
        <v>1</v>
      </c>
      <c r="I11" s="626"/>
      <c r="J11" s="751"/>
      <c r="L11" s="608" t="s">
        <v>19</v>
      </c>
      <c r="M11" s="608" t="s">
        <v>1198</v>
      </c>
      <c r="N11" s="608" t="s">
        <v>1199</v>
      </c>
      <c r="O11" s="608"/>
      <c r="P11" s="608"/>
      <c r="Q11" s="608"/>
      <c r="R11" s="608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3.95" customHeight="1" outlineLevel="3">
      <c r="A12" s="376"/>
      <c r="B12" s="376" t="s">
        <v>14</v>
      </c>
      <c r="C12" s="376" t="s">
        <v>22</v>
      </c>
      <c r="D12" s="376" t="s">
        <v>17</v>
      </c>
      <c r="E12" s="376" t="s">
        <v>19</v>
      </c>
      <c r="F12" s="608" t="s">
        <v>186</v>
      </c>
      <c r="G12" s="609">
        <v>4.2238262499999998E-2</v>
      </c>
      <c r="H12" s="692">
        <v>1</v>
      </c>
      <c r="I12" s="626"/>
      <c r="J12" s="751"/>
      <c r="L12" s="608" t="s">
        <v>19</v>
      </c>
      <c r="M12" s="608" t="s">
        <v>1198</v>
      </c>
      <c r="N12" s="608" t="s">
        <v>1199</v>
      </c>
      <c r="O12" s="608"/>
      <c r="P12" s="608"/>
      <c r="Q12" s="608"/>
      <c r="R12" s="608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t="13.95" customHeight="1" outlineLevel="3">
      <c r="A13" s="376"/>
      <c r="B13" s="376" t="s">
        <v>14</v>
      </c>
      <c r="C13" s="376" t="s">
        <v>22</v>
      </c>
      <c r="D13" s="376" t="s">
        <v>17</v>
      </c>
      <c r="E13" s="376" t="s">
        <v>19</v>
      </c>
      <c r="F13" s="608" t="s">
        <v>1200</v>
      </c>
      <c r="G13" s="695">
        <v>3.9416283817853004E-2</v>
      </c>
      <c r="H13" s="700">
        <v>1</v>
      </c>
      <c r="I13" s="626"/>
      <c r="J13" s="751"/>
      <c r="L13" s="608" t="s">
        <v>19</v>
      </c>
      <c r="M13" s="608" t="s">
        <v>1195</v>
      </c>
      <c r="N13" s="608" t="s">
        <v>1196</v>
      </c>
      <c r="O13" s="608"/>
      <c r="P13" s="608"/>
      <c r="Q13" s="608"/>
      <c r="R13" s="608"/>
      <c r="T13" s="751"/>
      <c r="V13" s="609">
        <f t="shared" si="0"/>
        <v>0</v>
      </c>
      <c r="W13" s="700"/>
      <c r="X13" s="610"/>
      <c r="Y13" s="610"/>
      <c r="Z13" s="610"/>
      <c r="AD13" s="447"/>
      <c r="AE13" s="683"/>
    </row>
    <row r="14" spans="1:31" outlineLevel="2">
      <c r="A14" s="376"/>
      <c r="B14" s="684" t="s">
        <v>14</v>
      </c>
      <c r="C14" s="684" t="s">
        <v>15</v>
      </c>
      <c r="D14" s="684" t="s">
        <v>25</v>
      </c>
      <c r="E14" s="684"/>
      <c r="F14" s="685" t="s">
        <v>1194</v>
      </c>
      <c r="G14" s="686">
        <f>SUBTOTAL(9,G15:G17)</f>
        <v>2.1350947217956596E-2</v>
      </c>
      <c r="H14" s="691">
        <f>SUBTOTAL(9,H15:H17)</f>
        <v>3</v>
      </c>
      <c r="I14" s="626"/>
      <c r="J14" s="751"/>
      <c r="L14" s="685"/>
      <c r="M14" s="685"/>
      <c r="N14" s="685"/>
      <c r="O14" s="685"/>
      <c r="P14" s="685"/>
      <c r="Q14" s="685"/>
      <c r="R14" s="685"/>
      <c r="T14" s="751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6.4" outlineLevel="3">
      <c r="A15" s="376"/>
      <c r="B15" s="376" t="s">
        <v>14</v>
      </c>
      <c r="C15" s="376" t="s">
        <v>18</v>
      </c>
      <c r="D15" s="376" t="s">
        <v>25</v>
      </c>
      <c r="E15" s="376" t="s">
        <v>26</v>
      </c>
      <c r="F15" s="608" t="s">
        <v>1197</v>
      </c>
      <c r="G15" s="609">
        <v>5.2867302539999998E-3</v>
      </c>
      <c r="H15" s="700">
        <v>1</v>
      </c>
      <c r="I15" s="626"/>
      <c r="J15" s="751"/>
      <c r="L15" s="608" t="s">
        <v>26</v>
      </c>
      <c r="M15" s="608" t="s">
        <v>1201</v>
      </c>
      <c r="N15" s="608" t="s">
        <v>1202</v>
      </c>
      <c r="O15" s="608" t="s">
        <v>1203</v>
      </c>
      <c r="P15" s="608" t="s">
        <v>1204</v>
      </c>
      <c r="R15" s="608"/>
      <c r="T15" s="751"/>
      <c r="V15" s="609">
        <f t="shared" ref="V15:V17" si="1">IF(W15=1,G15,0)</f>
        <v>0</v>
      </c>
      <c r="W15" s="700"/>
      <c r="X15" s="610"/>
      <c r="Y15" s="610"/>
      <c r="Z15" s="610"/>
      <c r="AD15" s="447"/>
      <c r="AE15" s="683"/>
    </row>
    <row r="16" spans="1:31" ht="26.4" outlineLevel="3">
      <c r="A16" s="376"/>
      <c r="B16" s="376" t="s">
        <v>14</v>
      </c>
      <c r="C16" s="376" t="s">
        <v>22</v>
      </c>
      <c r="D16" s="376" t="s">
        <v>25</v>
      </c>
      <c r="E16" s="376" t="s">
        <v>26</v>
      </c>
      <c r="F16" s="608" t="s">
        <v>186</v>
      </c>
      <c r="G16" s="609">
        <v>1.0861267500000001E-2</v>
      </c>
      <c r="H16" s="700">
        <v>1</v>
      </c>
      <c r="I16" s="626"/>
      <c r="J16" s="751"/>
      <c r="L16" s="608" t="s">
        <v>26</v>
      </c>
      <c r="M16" s="608" t="s">
        <v>1201</v>
      </c>
      <c r="N16" s="608" t="s">
        <v>1205</v>
      </c>
      <c r="O16" s="608" t="s">
        <v>1206</v>
      </c>
      <c r="P16" s="608" t="s">
        <v>1207</v>
      </c>
      <c r="R16" s="608"/>
      <c r="T16" s="751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t="13.95" customHeight="1" outlineLevel="3">
      <c r="A17" s="376"/>
      <c r="B17" s="376" t="s">
        <v>14</v>
      </c>
      <c r="C17" s="376" t="s">
        <v>22</v>
      </c>
      <c r="D17" s="376" t="s">
        <v>25</v>
      </c>
      <c r="E17" s="376" t="s">
        <v>26</v>
      </c>
      <c r="F17" s="608" t="s">
        <v>1200</v>
      </c>
      <c r="G17" s="609">
        <v>5.2029494639565963E-3</v>
      </c>
      <c r="H17" s="700">
        <v>1</v>
      </c>
      <c r="I17" s="626"/>
      <c r="J17" s="751"/>
      <c r="L17" s="608" t="s">
        <v>26</v>
      </c>
      <c r="M17" s="608" t="s">
        <v>1201</v>
      </c>
      <c r="N17" s="608" t="s">
        <v>1202</v>
      </c>
      <c r="O17" s="608" t="s">
        <v>1203</v>
      </c>
      <c r="P17" s="608" t="s">
        <v>1207</v>
      </c>
      <c r="R17" s="608"/>
      <c r="T17" s="751"/>
      <c r="V17" s="609">
        <f t="shared" si="1"/>
        <v>0</v>
      </c>
      <c r="W17" s="700"/>
    </row>
    <row r="18" spans="1:23" outlineLevel="2">
      <c r="A18" s="376"/>
      <c r="B18" s="684" t="s">
        <v>14</v>
      </c>
      <c r="C18" s="684" t="s">
        <v>15</v>
      </c>
      <c r="D18" s="684" t="s">
        <v>27</v>
      </c>
      <c r="E18" s="684"/>
      <c r="F18" s="685" t="s">
        <v>1194</v>
      </c>
      <c r="G18" s="686">
        <f>SUBTOTAL(9,G19)</f>
        <v>1.4336873100000001E-2</v>
      </c>
      <c r="H18" s="691">
        <f>SUBTOTAL(9,H19)</f>
        <v>1</v>
      </c>
      <c r="I18" s="626"/>
      <c r="J18" s="751"/>
      <c r="L18" s="685"/>
      <c r="M18" s="685"/>
      <c r="N18" s="685"/>
      <c r="O18" s="685"/>
      <c r="P18" s="685"/>
      <c r="Q18" s="685"/>
      <c r="R18" s="685"/>
      <c r="T18" s="751"/>
      <c r="V18" s="686">
        <f>SUBTOTAL(9,V19)</f>
        <v>0</v>
      </c>
      <c r="W18" s="691">
        <f>SUBTOTAL(9,W19)</f>
        <v>0</v>
      </c>
    </row>
    <row r="19" spans="1:23" ht="52.8" outlineLevel="3">
      <c r="A19" s="376"/>
      <c r="B19" s="376" t="s">
        <v>14</v>
      </c>
      <c r="C19" s="376" t="s">
        <v>22</v>
      </c>
      <c r="D19" s="376" t="s">
        <v>27</v>
      </c>
      <c r="E19" s="376" t="s">
        <v>28</v>
      </c>
      <c r="F19" s="376" t="s">
        <v>186</v>
      </c>
      <c r="G19" s="609">
        <v>1.4336873100000001E-2</v>
      </c>
      <c r="H19" s="700">
        <v>1</v>
      </c>
      <c r="I19" s="626"/>
      <c r="J19" s="751"/>
      <c r="L19" s="608" t="s">
        <v>28</v>
      </c>
      <c r="M19" s="608" t="s">
        <v>1208</v>
      </c>
      <c r="N19" s="608" t="s">
        <v>1209</v>
      </c>
      <c r="O19" s="608" t="s">
        <v>1210</v>
      </c>
      <c r="P19" s="608"/>
      <c r="Q19" s="608"/>
      <c r="R19" s="608"/>
      <c r="T19" s="751"/>
      <c r="V19" s="609">
        <f>IF(W19=1,G19,0)</f>
        <v>0</v>
      </c>
      <c r="W19" s="700"/>
    </row>
    <row r="20" spans="1:23" s="612" customFormat="1" outlineLevel="1">
      <c r="A20" s="380"/>
      <c r="B20" s="665" t="s">
        <v>14</v>
      </c>
      <c r="C20" s="665" t="s">
        <v>29</v>
      </c>
      <c r="D20" s="665"/>
      <c r="E20" s="665"/>
      <c r="F20" s="681" t="s">
        <v>262</v>
      </c>
      <c r="G20" s="701">
        <f>SUBTOTAL(9,G21:G56)</f>
        <v>1.6824976540463736</v>
      </c>
      <c r="H20" s="702">
        <f>SUBTOTAL(9,H21:H56)</f>
        <v>31</v>
      </c>
      <c r="I20" s="627"/>
      <c r="J20" s="753"/>
      <c r="L20" s="681"/>
      <c r="M20" s="681"/>
      <c r="N20" s="681"/>
      <c r="O20" s="681"/>
      <c r="P20" s="681"/>
      <c r="Q20" s="681"/>
      <c r="R20" s="681"/>
      <c r="T20" s="753"/>
      <c r="V20" s="701">
        <f>SUBTOTAL(9,V21:V56)</f>
        <v>0</v>
      </c>
      <c r="W20" s="702">
        <f>SUBTOTAL(9,W21:W56)</f>
        <v>0</v>
      </c>
    </row>
    <row r="21" spans="1:23" s="704" customFormat="1" outlineLevel="2">
      <c r="A21" s="376"/>
      <c r="B21" s="684" t="s">
        <v>14</v>
      </c>
      <c r="C21" s="684" t="s">
        <v>29</v>
      </c>
      <c r="D21" s="684" t="s">
        <v>17</v>
      </c>
      <c r="E21" s="684"/>
      <c r="F21" s="685" t="s">
        <v>1226</v>
      </c>
      <c r="G21" s="686">
        <f>SUBTOTAL(9,G22:G34)</f>
        <v>1.1738106245631736</v>
      </c>
      <c r="H21" s="691">
        <f>SUBTOTAL(9,H22:H34)</f>
        <v>13</v>
      </c>
      <c r="I21" s="703"/>
      <c r="J21" s="754"/>
      <c r="K21" s="750"/>
      <c r="L21" s="685"/>
      <c r="M21" s="685"/>
      <c r="N21" s="685"/>
      <c r="O21" s="685"/>
      <c r="P21" s="685"/>
      <c r="Q21" s="685"/>
      <c r="R21" s="685"/>
      <c r="S21" s="750"/>
      <c r="T21" s="754"/>
      <c r="U21" s="750"/>
      <c r="V21" s="686">
        <f>SUBTOTAL(9,V22:V34)</f>
        <v>0</v>
      </c>
      <c r="W21" s="691">
        <f>SUBTOTAL(9,W22:W34)</f>
        <v>0</v>
      </c>
    </row>
    <row r="22" spans="1:23" s="704" customFormat="1" outlineLevel="3">
      <c r="A22" s="376"/>
      <c r="B22" s="376" t="s">
        <v>14</v>
      </c>
      <c r="C22" s="376" t="s">
        <v>29</v>
      </c>
      <c r="D22" s="376" t="s">
        <v>17</v>
      </c>
      <c r="E22" s="387" t="s">
        <v>19</v>
      </c>
      <c r="F22" s="608" t="s">
        <v>1212</v>
      </c>
      <c r="G22" s="609">
        <v>0.27398366869616486</v>
      </c>
      <c r="H22" s="692">
        <v>1</v>
      </c>
      <c r="I22" s="626"/>
      <c r="J22" s="751"/>
      <c r="K22" s="416"/>
      <c r="L22" s="705" t="s">
        <v>19</v>
      </c>
      <c r="M22" s="705" t="s">
        <v>1195</v>
      </c>
      <c r="N22" s="705" t="s">
        <v>1213</v>
      </c>
      <c r="O22" s="705" t="s">
        <v>1199</v>
      </c>
      <c r="P22" s="705"/>
      <c r="Q22" s="705"/>
      <c r="R22" s="705"/>
      <c r="S22" s="416"/>
      <c r="T22" s="751"/>
      <c r="U22" s="416"/>
      <c r="V22" s="609">
        <f t="shared" ref="V22:V34" si="2">IF(W22=1,G22,0)</f>
        <v>0</v>
      </c>
      <c r="W22" s="692"/>
    </row>
    <row r="23" spans="1:23" s="704" customFormat="1" outlineLevel="3">
      <c r="A23" s="376"/>
      <c r="B23" s="376" t="s">
        <v>14</v>
      </c>
      <c r="C23" s="376" t="s">
        <v>29</v>
      </c>
      <c r="D23" s="376" t="s">
        <v>17</v>
      </c>
      <c r="E23" s="387" t="s">
        <v>19</v>
      </c>
      <c r="F23" s="608" t="s">
        <v>1214</v>
      </c>
      <c r="G23" s="609">
        <v>0.36</v>
      </c>
      <c r="H23" s="692">
        <v>1</v>
      </c>
      <c r="I23" s="626"/>
      <c r="J23" s="751"/>
      <c r="K23" s="416"/>
      <c r="L23" s="705" t="s">
        <v>19</v>
      </c>
      <c r="M23" s="705" t="s">
        <v>1195</v>
      </c>
      <c r="N23" s="705" t="s">
        <v>1213</v>
      </c>
      <c r="O23" s="705" t="s">
        <v>1215</v>
      </c>
      <c r="P23" s="705"/>
      <c r="Q23" s="705"/>
      <c r="R23" s="705"/>
      <c r="S23" s="416"/>
      <c r="T23" s="751"/>
      <c r="U23" s="416"/>
      <c r="V23" s="609">
        <f t="shared" si="2"/>
        <v>0</v>
      </c>
      <c r="W23" s="692"/>
    </row>
    <row r="24" spans="1:23" s="704" customFormat="1" ht="26.4" outlineLevel="3">
      <c r="A24" s="376"/>
      <c r="B24" s="376" t="s">
        <v>14</v>
      </c>
      <c r="C24" s="376" t="s">
        <v>29</v>
      </c>
      <c r="D24" s="376" t="s">
        <v>17</v>
      </c>
      <c r="E24" s="387" t="s">
        <v>19</v>
      </c>
      <c r="F24" s="608" t="s">
        <v>1216</v>
      </c>
      <c r="G24" s="609">
        <v>4.3982695586700871E-2</v>
      </c>
      <c r="H24" s="692">
        <v>1</v>
      </c>
      <c r="I24" s="626"/>
      <c r="J24" s="751"/>
      <c r="K24" s="416"/>
      <c r="L24" s="705" t="s">
        <v>19</v>
      </c>
      <c r="M24" s="705" t="s">
        <v>1195</v>
      </c>
      <c r="N24" s="705" t="s">
        <v>1199</v>
      </c>
      <c r="O24" s="705"/>
      <c r="P24" s="705"/>
      <c r="Q24" s="705"/>
      <c r="R24" s="705"/>
      <c r="S24" s="416"/>
      <c r="T24" s="751"/>
      <c r="U24" s="416"/>
      <c r="V24" s="609">
        <f t="shared" si="2"/>
        <v>0</v>
      </c>
      <c r="W24" s="692"/>
    </row>
    <row r="25" spans="1:23" s="704" customFormat="1" ht="26.4" outlineLevel="3">
      <c r="A25" s="376"/>
      <c r="B25" s="376" t="s">
        <v>14</v>
      </c>
      <c r="C25" s="376" t="s">
        <v>29</v>
      </c>
      <c r="D25" s="376" t="s">
        <v>17</v>
      </c>
      <c r="E25" s="387" t="s">
        <v>19</v>
      </c>
      <c r="F25" s="608" t="s">
        <v>1217</v>
      </c>
      <c r="G25" s="609">
        <v>4.3982695586700871E-2</v>
      </c>
      <c r="H25" s="692">
        <v>1</v>
      </c>
      <c r="I25" s="626"/>
      <c r="J25" s="751"/>
      <c r="K25" s="416"/>
      <c r="L25" s="705" t="s">
        <v>19</v>
      </c>
      <c r="M25" s="705" t="s">
        <v>1195</v>
      </c>
      <c r="N25" s="705" t="s">
        <v>1196</v>
      </c>
      <c r="O25" s="705"/>
      <c r="P25" s="705"/>
      <c r="Q25" s="705"/>
      <c r="R25" s="705"/>
      <c r="S25" s="416"/>
      <c r="T25" s="751"/>
      <c r="U25" s="416"/>
      <c r="V25" s="609">
        <f t="shared" si="2"/>
        <v>0</v>
      </c>
      <c r="W25" s="692"/>
    </row>
    <row r="26" spans="1:23" s="704" customFormat="1" ht="26.4" outlineLevel="3">
      <c r="A26" s="376"/>
      <c r="B26" s="376" t="s">
        <v>14</v>
      </c>
      <c r="C26" s="376" t="s">
        <v>29</v>
      </c>
      <c r="D26" s="376" t="s">
        <v>17</v>
      </c>
      <c r="E26" s="387" t="s">
        <v>19</v>
      </c>
      <c r="F26" s="608" t="s">
        <v>1218</v>
      </c>
      <c r="G26" s="609">
        <v>6.5974043380051306E-2</v>
      </c>
      <c r="H26" s="692">
        <v>1</v>
      </c>
      <c r="I26" s="626"/>
      <c r="J26" s="751"/>
      <c r="K26" s="416"/>
      <c r="L26" s="705" t="s">
        <v>19</v>
      </c>
      <c r="M26" s="705" t="s">
        <v>1195</v>
      </c>
      <c r="N26" s="705" t="s">
        <v>1213</v>
      </c>
      <c r="O26" s="705"/>
      <c r="P26" s="705"/>
      <c r="Q26" s="705"/>
      <c r="R26" s="705"/>
      <c r="S26" s="416"/>
      <c r="T26" s="751"/>
      <c r="U26" s="416"/>
      <c r="V26" s="609">
        <f t="shared" si="2"/>
        <v>0</v>
      </c>
      <c r="W26" s="692"/>
    </row>
    <row r="27" spans="1:23" s="704" customFormat="1" ht="26.4" outlineLevel="3">
      <c r="A27" s="376"/>
      <c r="B27" s="376" t="s">
        <v>14</v>
      </c>
      <c r="C27" s="376" t="s">
        <v>29</v>
      </c>
      <c r="D27" s="376" t="s">
        <v>17</v>
      </c>
      <c r="E27" s="387" t="s">
        <v>19</v>
      </c>
      <c r="F27" s="608" t="s">
        <v>1219</v>
      </c>
      <c r="G27" s="609">
        <v>6.5974043380051306E-2</v>
      </c>
      <c r="H27" s="692">
        <v>1</v>
      </c>
      <c r="I27" s="626"/>
      <c r="J27" s="751"/>
      <c r="K27" s="416"/>
      <c r="L27" s="705" t="s">
        <v>19</v>
      </c>
      <c r="M27" s="705" t="s">
        <v>1195</v>
      </c>
      <c r="N27" s="705" t="s">
        <v>1213</v>
      </c>
      <c r="O27" s="705"/>
      <c r="P27" s="705"/>
      <c r="Q27" s="705"/>
      <c r="R27" s="705"/>
      <c r="S27" s="416"/>
      <c r="T27" s="751"/>
      <c r="U27" s="416"/>
      <c r="V27" s="609">
        <f t="shared" si="2"/>
        <v>0</v>
      </c>
      <c r="W27" s="692"/>
    </row>
    <row r="28" spans="1:23" s="704" customFormat="1" ht="26.4" outlineLevel="3">
      <c r="A28" s="376"/>
      <c r="B28" s="376" t="s">
        <v>14</v>
      </c>
      <c r="C28" s="376" t="s">
        <v>29</v>
      </c>
      <c r="D28" s="376" t="s">
        <v>17</v>
      </c>
      <c r="E28" s="387" t="s">
        <v>19</v>
      </c>
      <c r="F28" s="608" t="s">
        <v>1220</v>
      </c>
      <c r="G28" s="609">
        <v>6.5974043380051306E-2</v>
      </c>
      <c r="H28" s="692">
        <v>1</v>
      </c>
      <c r="I28" s="626"/>
      <c r="J28" s="751"/>
      <c r="K28" s="416"/>
      <c r="L28" s="705" t="s">
        <v>19</v>
      </c>
      <c r="M28" s="705" t="s">
        <v>1195</v>
      </c>
      <c r="N28" s="705" t="s">
        <v>1213</v>
      </c>
      <c r="O28" s="705"/>
      <c r="P28" s="705"/>
      <c r="Q28" s="705"/>
      <c r="R28" s="705"/>
      <c r="S28" s="416"/>
      <c r="T28" s="751"/>
      <c r="U28" s="416"/>
      <c r="V28" s="609">
        <f t="shared" si="2"/>
        <v>0</v>
      </c>
      <c r="W28" s="692"/>
    </row>
    <row r="29" spans="1:23" s="704" customFormat="1" ht="26.4" outlineLevel="3">
      <c r="A29" s="376"/>
      <c r="B29" s="376" t="s">
        <v>14</v>
      </c>
      <c r="C29" s="376" t="s">
        <v>29</v>
      </c>
      <c r="D29" s="376" t="s">
        <v>17</v>
      </c>
      <c r="E29" s="387" t="s">
        <v>19</v>
      </c>
      <c r="F29" s="608" t="s">
        <v>1221</v>
      </c>
      <c r="G29" s="609">
        <v>6.5974043380051306E-2</v>
      </c>
      <c r="H29" s="692">
        <v>1</v>
      </c>
      <c r="I29" s="626"/>
      <c r="J29" s="751"/>
      <c r="K29" s="416"/>
      <c r="L29" s="705" t="s">
        <v>19</v>
      </c>
      <c r="M29" s="705" t="s">
        <v>1195</v>
      </c>
      <c r="N29" s="705" t="s">
        <v>1213</v>
      </c>
      <c r="O29" s="705"/>
      <c r="P29" s="705"/>
      <c r="Q29" s="705"/>
      <c r="R29" s="705"/>
      <c r="S29" s="416"/>
      <c r="T29" s="751"/>
      <c r="U29" s="416"/>
      <c r="V29" s="609">
        <f t="shared" si="2"/>
        <v>0</v>
      </c>
      <c r="W29" s="692"/>
    </row>
    <row r="30" spans="1:23" s="704" customFormat="1" ht="26.4" outlineLevel="3">
      <c r="A30" s="376"/>
      <c r="B30" s="376" t="s">
        <v>14</v>
      </c>
      <c r="C30" s="376" t="s">
        <v>29</v>
      </c>
      <c r="D30" s="376" t="s">
        <v>17</v>
      </c>
      <c r="E30" s="387" t="s">
        <v>19</v>
      </c>
      <c r="F30" s="608" t="s">
        <v>1222</v>
      </c>
      <c r="G30" s="609">
        <v>1.466089852890029E-2</v>
      </c>
      <c r="H30" s="692">
        <v>1</v>
      </c>
      <c r="I30" s="626"/>
      <c r="J30" s="751"/>
      <c r="K30" s="416"/>
      <c r="L30" s="705" t="s">
        <v>19</v>
      </c>
      <c r="M30" s="705" t="s">
        <v>1195</v>
      </c>
      <c r="N30" s="705" t="s">
        <v>1213</v>
      </c>
      <c r="O30" s="705"/>
      <c r="P30" s="705"/>
      <c r="Q30" s="705"/>
      <c r="R30" s="705"/>
      <c r="S30" s="416"/>
      <c r="T30" s="751"/>
      <c r="U30" s="416"/>
      <c r="V30" s="609">
        <f t="shared" si="2"/>
        <v>0</v>
      </c>
      <c r="W30" s="692"/>
    </row>
    <row r="31" spans="1:23" s="704" customFormat="1" ht="26.4" outlineLevel="3">
      <c r="A31" s="376"/>
      <c r="B31" s="376" t="s">
        <v>14</v>
      </c>
      <c r="C31" s="376" t="s">
        <v>29</v>
      </c>
      <c r="D31" s="376" t="s">
        <v>17</v>
      </c>
      <c r="E31" s="387" t="s">
        <v>19</v>
      </c>
      <c r="F31" s="608" t="s">
        <v>1223</v>
      </c>
      <c r="G31" s="609">
        <v>2.932179705780058E-2</v>
      </c>
      <c r="H31" s="692">
        <v>1</v>
      </c>
      <c r="I31" s="626"/>
      <c r="J31" s="751"/>
      <c r="K31" s="416"/>
      <c r="L31" s="705" t="s">
        <v>19</v>
      </c>
      <c r="M31" s="705" t="s">
        <v>1195</v>
      </c>
      <c r="N31" s="705" t="s">
        <v>1196</v>
      </c>
      <c r="O31" s="705"/>
      <c r="P31" s="705"/>
      <c r="Q31" s="705"/>
      <c r="R31" s="705"/>
      <c r="S31" s="416"/>
      <c r="T31" s="751"/>
      <c r="U31" s="416"/>
      <c r="V31" s="609">
        <f t="shared" si="2"/>
        <v>0</v>
      </c>
      <c r="W31" s="692"/>
    </row>
    <row r="32" spans="1:23" s="704" customFormat="1" ht="26.4" outlineLevel="3">
      <c r="A32" s="376"/>
      <c r="B32" s="376" t="s">
        <v>14</v>
      </c>
      <c r="C32" s="376" t="s">
        <v>29</v>
      </c>
      <c r="D32" s="376" t="s">
        <v>17</v>
      </c>
      <c r="E32" s="387" t="s">
        <v>19</v>
      </c>
      <c r="F32" s="608" t="s">
        <v>1224</v>
      </c>
      <c r="G32" s="609">
        <v>4.3982695586700871E-2</v>
      </c>
      <c r="H32" s="692">
        <v>1</v>
      </c>
      <c r="I32" s="626"/>
      <c r="J32" s="751"/>
      <c r="K32" s="416"/>
      <c r="L32" s="705" t="s">
        <v>19</v>
      </c>
      <c r="M32" s="705" t="s">
        <v>1195</v>
      </c>
      <c r="N32" s="705" t="s">
        <v>1196</v>
      </c>
      <c r="O32" s="705"/>
      <c r="P32" s="705"/>
      <c r="Q32" s="705"/>
      <c r="R32" s="705"/>
      <c r="S32" s="416"/>
      <c r="T32" s="751"/>
      <c r="U32" s="416"/>
      <c r="V32" s="609">
        <f t="shared" si="2"/>
        <v>0</v>
      </c>
      <c r="W32" s="692"/>
    </row>
    <row r="33" spans="1:23" s="704" customFormat="1" outlineLevel="3">
      <c r="A33" s="376"/>
      <c r="B33" s="387" t="s">
        <v>14</v>
      </c>
      <c r="C33" s="387" t="s">
        <v>29</v>
      </c>
      <c r="D33" s="387" t="s">
        <v>17</v>
      </c>
      <c r="E33" s="387" t="s">
        <v>19</v>
      </c>
      <c r="F33" s="705" t="s">
        <v>221</v>
      </c>
      <c r="G33" s="706">
        <v>0.05</v>
      </c>
      <c r="H33" s="707">
        <v>1</v>
      </c>
      <c r="I33" s="626"/>
      <c r="J33" s="751"/>
      <c r="K33" s="416"/>
      <c r="L33" s="705" t="s">
        <v>19</v>
      </c>
      <c r="M33" s="705" t="s">
        <v>1198</v>
      </c>
      <c r="N33" s="705" t="s">
        <v>1199</v>
      </c>
      <c r="O33" s="705"/>
      <c r="P33" s="705"/>
      <c r="Q33" s="705"/>
      <c r="R33" s="705"/>
      <c r="S33" s="416"/>
      <c r="T33" s="751"/>
      <c r="U33" s="416"/>
      <c r="V33" s="609">
        <f t="shared" si="2"/>
        <v>0</v>
      </c>
      <c r="W33" s="707"/>
    </row>
    <row r="34" spans="1:23" s="704" customFormat="1" outlineLevel="3">
      <c r="A34" s="376"/>
      <c r="B34" s="387" t="s">
        <v>14</v>
      </c>
      <c r="C34" s="387" t="s">
        <v>29</v>
      </c>
      <c r="D34" s="387" t="s">
        <v>17</v>
      </c>
      <c r="E34" s="387" t="s">
        <v>19</v>
      </c>
      <c r="F34" s="705" t="s">
        <v>1225</v>
      </c>
      <c r="G34" s="706">
        <v>0.05</v>
      </c>
      <c r="H34" s="707">
        <v>1</v>
      </c>
      <c r="I34" s="626"/>
      <c r="J34" s="751"/>
      <c r="K34" s="416"/>
      <c r="L34" s="705" t="s">
        <v>19</v>
      </c>
      <c r="M34" s="705" t="s">
        <v>1198</v>
      </c>
      <c r="N34" s="705" t="s">
        <v>1199</v>
      </c>
      <c r="O34" s="705"/>
      <c r="P34" s="705"/>
      <c r="Q34" s="705"/>
      <c r="R34" s="705"/>
      <c r="S34" s="416"/>
      <c r="T34" s="751"/>
      <c r="U34" s="416"/>
      <c r="V34" s="609">
        <f t="shared" si="2"/>
        <v>0</v>
      </c>
      <c r="W34" s="707"/>
    </row>
    <row r="35" spans="1:23" outlineLevel="2">
      <c r="A35" s="376"/>
      <c r="B35" s="684" t="s">
        <v>14</v>
      </c>
      <c r="C35" s="684" t="s">
        <v>29</v>
      </c>
      <c r="D35" s="684" t="s">
        <v>25</v>
      </c>
      <c r="E35" s="684"/>
      <c r="F35" s="685" t="s">
        <v>1226</v>
      </c>
      <c r="G35" s="686">
        <f>SUBTOTAL(9,G36:G48)</f>
        <v>0.29155049103211073</v>
      </c>
      <c r="H35" s="691">
        <f>SUBTOTAL(9,H36:H48)</f>
        <v>13</v>
      </c>
      <c r="I35" s="626"/>
      <c r="J35" s="751"/>
      <c r="L35" s="685"/>
      <c r="M35" s="685"/>
      <c r="N35" s="685"/>
      <c r="O35" s="685"/>
      <c r="P35" s="685"/>
      <c r="Q35" s="685"/>
      <c r="R35" s="685"/>
      <c r="T35" s="751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14</v>
      </c>
      <c r="C36" s="376" t="s">
        <v>29</v>
      </c>
      <c r="D36" s="376" t="s">
        <v>25</v>
      </c>
      <c r="E36" s="376" t="s">
        <v>26</v>
      </c>
      <c r="F36" s="608" t="s">
        <v>1227</v>
      </c>
      <c r="G36" s="609">
        <v>9.3421603890201377E-2</v>
      </c>
      <c r="H36" s="700">
        <v>1</v>
      </c>
      <c r="I36" s="626"/>
      <c r="J36" s="751"/>
      <c r="L36" s="608" t="s">
        <v>26</v>
      </c>
      <c r="M36" s="608" t="s">
        <v>1201</v>
      </c>
      <c r="N36" s="608" t="s">
        <v>1228</v>
      </c>
      <c r="O36" s="608"/>
      <c r="P36" s="608" t="s">
        <v>1207</v>
      </c>
      <c r="Q36" s="608"/>
      <c r="R36" s="608"/>
      <c r="T36" s="751"/>
      <c r="V36" s="609">
        <f t="shared" ref="V36:V48" si="3">IF(W36=1,G36,0)</f>
        <v>0</v>
      </c>
      <c r="W36" s="700"/>
    </row>
    <row r="37" spans="1:23" ht="26.4" outlineLevel="3">
      <c r="A37" s="376"/>
      <c r="B37" s="376" t="s">
        <v>14</v>
      </c>
      <c r="C37" s="376" t="s">
        <v>29</v>
      </c>
      <c r="D37" s="376" t="s">
        <v>25</v>
      </c>
      <c r="E37" s="376" t="s">
        <v>26</v>
      </c>
      <c r="F37" s="608" t="s">
        <v>1229</v>
      </c>
      <c r="G37" s="609">
        <v>2.1106865436972901E-2</v>
      </c>
      <c r="H37" s="700">
        <v>1</v>
      </c>
      <c r="I37" s="626"/>
      <c r="J37" s="751"/>
      <c r="L37" s="608" t="s">
        <v>26</v>
      </c>
      <c r="M37" s="608" t="s">
        <v>1201</v>
      </c>
      <c r="N37" s="608" t="s">
        <v>1228</v>
      </c>
      <c r="O37" s="608"/>
      <c r="P37" s="608" t="s">
        <v>1207</v>
      </c>
      <c r="Q37" s="608"/>
      <c r="R37" s="608"/>
      <c r="T37" s="751"/>
      <c r="V37" s="609">
        <f t="shared" si="3"/>
        <v>0</v>
      </c>
      <c r="W37" s="700"/>
    </row>
    <row r="38" spans="1:23" outlineLevel="3">
      <c r="A38" s="376"/>
      <c r="B38" s="376" t="s">
        <v>14</v>
      </c>
      <c r="C38" s="376" t="s">
        <v>29</v>
      </c>
      <c r="D38" s="376" t="s">
        <v>25</v>
      </c>
      <c r="E38" s="376" t="s">
        <v>26</v>
      </c>
      <c r="F38" s="608" t="s">
        <v>1230</v>
      </c>
      <c r="G38" s="609">
        <v>3.166029815545935E-2</v>
      </c>
      <c r="H38" s="700">
        <v>1</v>
      </c>
      <c r="I38" s="626"/>
      <c r="J38" s="751"/>
      <c r="L38" s="608" t="s">
        <v>26</v>
      </c>
      <c r="M38" s="608" t="s">
        <v>1201</v>
      </c>
      <c r="N38" s="608" t="s">
        <v>1228</v>
      </c>
      <c r="O38" s="608"/>
      <c r="P38" s="608" t="s">
        <v>1207</v>
      </c>
      <c r="Q38" s="608"/>
      <c r="R38" s="608"/>
      <c r="T38" s="751"/>
      <c r="V38" s="609">
        <f t="shared" si="3"/>
        <v>0</v>
      </c>
      <c r="W38" s="700"/>
    </row>
    <row r="39" spans="1:23" ht="26.4" outlineLevel="3">
      <c r="A39" s="376"/>
      <c r="B39" s="376" t="s">
        <v>14</v>
      </c>
      <c r="C39" s="376" t="s">
        <v>29</v>
      </c>
      <c r="D39" s="376" t="s">
        <v>25</v>
      </c>
      <c r="E39" s="376" t="s">
        <v>26</v>
      </c>
      <c r="F39" s="608" t="s">
        <v>1219</v>
      </c>
      <c r="G39" s="609">
        <v>5.2767163592432253E-3</v>
      </c>
      <c r="H39" s="700">
        <v>1</v>
      </c>
      <c r="I39" s="626"/>
      <c r="J39" s="751"/>
      <c r="L39" s="608" t="s">
        <v>26</v>
      </c>
      <c r="M39" s="608" t="s">
        <v>1201</v>
      </c>
      <c r="N39" s="608" t="s">
        <v>1228</v>
      </c>
      <c r="O39" s="608"/>
      <c r="P39" s="608" t="s">
        <v>1207</v>
      </c>
      <c r="Q39" s="608"/>
      <c r="R39" s="608"/>
      <c r="T39" s="751"/>
      <c r="V39" s="609">
        <f t="shared" si="3"/>
        <v>0</v>
      </c>
      <c r="W39" s="700"/>
    </row>
    <row r="40" spans="1:23" ht="26.4" outlineLevel="3">
      <c r="A40" s="376"/>
      <c r="B40" s="376" t="s">
        <v>14</v>
      </c>
      <c r="C40" s="376" t="s">
        <v>29</v>
      </c>
      <c r="D40" s="376" t="s">
        <v>25</v>
      </c>
      <c r="E40" s="376" t="s">
        <v>26</v>
      </c>
      <c r="F40" s="608" t="s">
        <v>1231</v>
      </c>
      <c r="G40" s="609">
        <v>2.1106865436972901E-2</v>
      </c>
      <c r="H40" s="700">
        <v>1</v>
      </c>
      <c r="I40" s="626"/>
      <c r="J40" s="751"/>
      <c r="L40" s="608" t="s">
        <v>26</v>
      </c>
      <c r="M40" s="608" t="s">
        <v>1201</v>
      </c>
      <c r="N40" s="608" t="s">
        <v>1228</v>
      </c>
      <c r="O40" s="608"/>
      <c r="P40" s="608" t="s">
        <v>1207</v>
      </c>
      <c r="Q40" s="608"/>
      <c r="R40" s="608"/>
      <c r="T40" s="751"/>
      <c r="V40" s="609">
        <f t="shared" si="3"/>
        <v>0</v>
      </c>
      <c r="W40" s="700"/>
    </row>
    <row r="41" spans="1:23" outlineLevel="3">
      <c r="A41" s="376"/>
      <c r="B41" s="376" t="s">
        <v>14</v>
      </c>
      <c r="C41" s="376" t="s">
        <v>29</v>
      </c>
      <c r="D41" s="376" t="s">
        <v>25</v>
      </c>
      <c r="E41" s="376" t="s">
        <v>26</v>
      </c>
      <c r="F41" s="608" t="s">
        <v>1232</v>
      </c>
      <c r="G41" s="609">
        <v>3.166029815545935E-2</v>
      </c>
      <c r="H41" s="700">
        <v>1</v>
      </c>
      <c r="I41" s="626"/>
      <c r="J41" s="751"/>
      <c r="L41" s="608" t="s">
        <v>26</v>
      </c>
      <c r="M41" s="608" t="s">
        <v>1201</v>
      </c>
      <c r="N41" s="608" t="s">
        <v>1228</v>
      </c>
      <c r="O41" s="608"/>
      <c r="P41" s="608" t="s">
        <v>1207</v>
      </c>
      <c r="Q41" s="608"/>
      <c r="R41" s="608"/>
      <c r="T41" s="751"/>
      <c r="V41" s="609">
        <f t="shared" si="3"/>
        <v>0</v>
      </c>
      <c r="W41" s="700"/>
    </row>
    <row r="42" spans="1:23" ht="26.4" outlineLevel="3">
      <c r="A42" s="376"/>
      <c r="B42" s="376" t="s">
        <v>14</v>
      </c>
      <c r="C42" s="376" t="s">
        <v>29</v>
      </c>
      <c r="D42" s="376" t="s">
        <v>25</v>
      </c>
      <c r="E42" s="376" t="s">
        <v>26</v>
      </c>
      <c r="F42" s="608" t="s">
        <v>1221</v>
      </c>
      <c r="G42" s="609">
        <v>5.2767163592432253E-3</v>
      </c>
      <c r="H42" s="700">
        <v>1</v>
      </c>
      <c r="I42" s="626"/>
      <c r="J42" s="751"/>
      <c r="L42" s="608" t="s">
        <v>26</v>
      </c>
      <c r="M42" s="608" t="s">
        <v>1201</v>
      </c>
      <c r="N42" s="608" t="s">
        <v>1228</v>
      </c>
      <c r="O42" s="608"/>
      <c r="P42" s="608" t="s">
        <v>1207</v>
      </c>
      <c r="Q42" s="608"/>
      <c r="R42" s="608"/>
      <c r="T42" s="751"/>
      <c r="V42" s="609">
        <f t="shared" si="3"/>
        <v>0</v>
      </c>
      <c r="W42" s="700"/>
    </row>
    <row r="43" spans="1:23" ht="26.4" outlineLevel="3">
      <c r="A43" s="376"/>
      <c r="B43" s="376" t="s">
        <v>14</v>
      </c>
      <c r="C43" s="376" t="s">
        <v>29</v>
      </c>
      <c r="D43" s="376" t="s">
        <v>25</v>
      </c>
      <c r="E43" s="376" t="s">
        <v>26</v>
      </c>
      <c r="F43" s="608" t="s">
        <v>1222</v>
      </c>
      <c r="G43" s="609">
        <v>1E-3</v>
      </c>
      <c r="H43" s="700">
        <v>1</v>
      </c>
      <c r="I43" s="626"/>
      <c r="J43" s="751"/>
      <c r="L43" s="608" t="s">
        <v>26</v>
      </c>
      <c r="M43" s="608" t="s">
        <v>1201</v>
      </c>
      <c r="N43" s="608" t="s">
        <v>1228</v>
      </c>
      <c r="O43" s="608"/>
      <c r="P43" s="608" t="s">
        <v>1207</v>
      </c>
      <c r="Q43" s="608"/>
      <c r="R43" s="608"/>
      <c r="T43" s="751"/>
      <c r="V43" s="609">
        <f t="shared" si="3"/>
        <v>0</v>
      </c>
      <c r="W43" s="700"/>
    </row>
    <row r="44" spans="1:23" ht="26.4" outlineLevel="3">
      <c r="A44" s="376"/>
      <c r="B44" s="376" t="s">
        <v>14</v>
      </c>
      <c r="C44" s="376" t="s">
        <v>29</v>
      </c>
      <c r="D44" s="376" t="s">
        <v>25</v>
      </c>
      <c r="E44" s="376" t="s">
        <v>26</v>
      </c>
      <c r="F44" s="608" t="s">
        <v>1223</v>
      </c>
      <c r="G44" s="609">
        <v>2.3452072707747665E-3</v>
      </c>
      <c r="H44" s="700">
        <v>1</v>
      </c>
      <c r="I44" s="626"/>
      <c r="J44" s="751"/>
      <c r="L44" s="608" t="s">
        <v>26</v>
      </c>
      <c r="M44" s="608" t="s">
        <v>1201</v>
      </c>
      <c r="N44" s="608" t="s">
        <v>1228</v>
      </c>
      <c r="O44" s="608"/>
      <c r="P44" s="608" t="s">
        <v>1207</v>
      </c>
      <c r="Q44" s="608"/>
      <c r="R44" s="608"/>
      <c r="T44" s="751"/>
      <c r="V44" s="609">
        <f t="shared" si="3"/>
        <v>0</v>
      </c>
      <c r="W44" s="700"/>
    </row>
    <row r="45" spans="1:23" s="704" customFormat="1" ht="26.4" outlineLevel="3">
      <c r="A45" s="376"/>
      <c r="B45" s="376" t="s">
        <v>14</v>
      </c>
      <c r="C45" s="376" t="s">
        <v>29</v>
      </c>
      <c r="D45" s="376" t="s">
        <v>25</v>
      </c>
      <c r="E45" s="376" t="s">
        <v>26</v>
      </c>
      <c r="F45" s="608" t="s">
        <v>1233</v>
      </c>
      <c r="G45" s="609">
        <v>1.4071243624648597E-2</v>
      </c>
      <c r="H45" s="692">
        <v>1</v>
      </c>
      <c r="I45" s="626"/>
      <c r="J45" s="751"/>
      <c r="K45" s="416"/>
      <c r="L45" s="608" t="s">
        <v>26</v>
      </c>
      <c r="M45" s="608" t="s">
        <v>1201</v>
      </c>
      <c r="N45" s="608" t="s">
        <v>1228</v>
      </c>
      <c r="O45" s="608"/>
      <c r="P45" s="608" t="s">
        <v>1207</v>
      </c>
      <c r="Q45" s="608"/>
      <c r="R45" s="608"/>
      <c r="S45" s="416"/>
      <c r="T45" s="751"/>
      <c r="U45" s="416"/>
      <c r="V45" s="609">
        <f t="shared" si="3"/>
        <v>0</v>
      </c>
      <c r="W45" s="692"/>
    </row>
    <row r="46" spans="1:23" outlineLevel="3">
      <c r="A46" s="376"/>
      <c r="B46" s="376" t="s">
        <v>14</v>
      </c>
      <c r="C46" s="376" t="s">
        <v>29</v>
      </c>
      <c r="D46" s="376" t="s">
        <v>25</v>
      </c>
      <c r="E46" s="376" t="s">
        <v>26</v>
      </c>
      <c r="F46" s="608" t="s">
        <v>1234</v>
      </c>
      <c r="G46" s="609">
        <v>2.1106865436972894E-2</v>
      </c>
      <c r="H46" s="700">
        <v>1</v>
      </c>
      <c r="I46" s="626"/>
      <c r="J46" s="751"/>
      <c r="L46" s="608" t="s">
        <v>26</v>
      </c>
      <c r="M46" s="608" t="s">
        <v>1201</v>
      </c>
      <c r="N46" s="608" t="s">
        <v>1228</v>
      </c>
      <c r="O46" s="608"/>
      <c r="P46" s="608" t="s">
        <v>1207</v>
      </c>
      <c r="Q46" s="608"/>
      <c r="R46" s="608"/>
      <c r="T46" s="751"/>
      <c r="V46" s="609">
        <f t="shared" si="3"/>
        <v>0</v>
      </c>
      <c r="W46" s="700"/>
    </row>
    <row r="47" spans="1:23" ht="26.4" outlineLevel="3">
      <c r="A47" s="376"/>
      <c r="B47" s="376" t="s">
        <v>14</v>
      </c>
      <c r="C47" s="376" t="s">
        <v>29</v>
      </c>
      <c r="D47" s="376" t="s">
        <v>25</v>
      </c>
      <c r="E47" s="376" t="s">
        <v>26</v>
      </c>
      <c r="F47" s="608" t="s">
        <v>1224</v>
      </c>
      <c r="G47" s="609">
        <v>3.5178109061621493E-3</v>
      </c>
      <c r="H47" s="700">
        <v>1</v>
      </c>
      <c r="I47" s="626"/>
      <c r="J47" s="751"/>
      <c r="L47" s="608" t="s">
        <v>26</v>
      </c>
      <c r="M47" s="608" t="s">
        <v>1201</v>
      </c>
      <c r="N47" s="608" t="s">
        <v>1228</v>
      </c>
      <c r="O47" s="608"/>
      <c r="P47" s="608" t="s">
        <v>1207</v>
      </c>
      <c r="Q47" s="608"/>
      <c r="R47" s="608"/>
      <c r="T47" s="751"/>
      <c r="V47" s="609">
        <f t="shared" si="3"/>
        <v>0</v>
      </c>
      <c r="W47" s="700"/>
    </row>
    <row r="48" spans="1:23" outlineLevel="3">
      <c r="A48" s="376"/>
      <c r="B48" s="376" t="s">
        <v>14</v>
      </c>
      <c r="C48" s="376" t="s">
        <v>29</v>
      </c>
      <c r="D48" s="376" t="s">
        <v>25</v>
      </c>
      <c r="E48" s="376" t="s">
        <v>26</v>
      </c>
      <c r="F48" s="608" t="s">
        <v>1225</v>
      </c>
      <c r="G48" s="609">
        <v>0.04</v>
      </c>
      <c r="H48" s="700">
        <v>1</v>
      </c>
      <c r="I48" s="626"/>
      <c r="J48" s="751"/>
      <c r="L48" s="608" t="s">
        <v>26</v>
      </c>
      <c r="M48" s="608" t="s">
        <v>1201</v>
      </c>
      <c r="N48" s="608" t="s">
        <v>1228</v>
      </c>
      <c r="O48" s="608"/>
      <c r="P48" s="608" t="s">
        <v>1207</v>
      </c>
      <c r="Q48" s="608"/>
      <c r="R48" s="608"/>
      <c r="T48" s="751"/>
      <c r="V48" s="609">
        <f t="shared" si="3"/>
        <v>0</v>
      </c>
      <c r="W48" s="700"/>
    </row>
    <row r="49" spans="1:23" outlineLevel="2">
      <c r="A49" s="376"/>
      <c r="B49" s="684" t="s">
        <v>14</v>
      </c>
      <c r="C49" s="684" t="s">
        <v>29</v>
      </c>
      <c r="D49" s="684" t="s">
        <v>27</v>
      </c>
      <c r="E49" s="684"/>
      <c r="F49" s="685" t="s">
        <v>1226</v>
      </c>
      <c r="G49" s="686">
        <f>SUBTOTAL(9,G50:G53)</f>
        <v>0.16927301849636628</v>
      </c>
      <c r="H49" s="691">
        <f>SUBTOTAL(9,H50:H53)</f>
        <v>4</v>
      </c>
      <c r="I49" s="626"/>
      <c r="J49" s="751"/>
      <c r="L49" s="685"/>
      <c r="M49" s="685"/>
      <c r="N49" s="685"/>
      <c r="O49" s="685"/>
      <c r="P49" s="685"/>
      <c r="Q49" s="685"/>
      <c r="R49" s="685"/>
      <c r="T49" s="751"/>
      <c r="V49" s="686">
        <f>SUBTOTAL(9,V50:V53)</f>
        <v>0</v>
      </c>
      <c r="W49" s="691">
        <f>SUBTOTAL(9,W50:W53)</f>
        <v>0</v>
      </c>
    </row>
    <row r="50" spans="1:23" ht="39.6" outlineLevel="3">
      <c r="A50" s="376"/>
      <c r="B50" s="376" t="s">
        <v>14</v>
      </c>
      <c r="C50" s="376" t="s">
        <v>29</v>
      </c>
      <c r="D50" s="376" t="s">
        <v>27</v>
      </c>
      <c r="E50" s="376" t="s">
        <v>28</v>
      </c>
      <c r="F50" s="608" t="s">
        <v>1227</v>
      </c>
      <c r="G50" s="609">
        <v>2.1499694035440806E-2</v>
      </c>
      <c r="H50" s="700">
        <v>1</v>
      </c>
      <c r="I50" s="626"/>
      <c r="J50" s="751"/>
      <c r="L50" s="608" t="s">
        <v>28</v>
      </c>
      <c r="M50" s="608" t="s">
        <v>1208</v>
      </c>
      <c r="N50" s="608" t="s">
        <v>1209</v>
      </c>
      <c r="O50" s="608" t="s">
        <v>1235</v>
      </c>
      <c r="P50" s="608"/>
      <c r="Q50" s="608"/>
      <c r="R50" s="608"/>
      <c r="T50" s="751"/>
      <c r="V50" s="609">
        <f t="shared" ref="V50:V53" si="4">IF(W50=1,G50,0)</f>
        <v>0</v>
      </c>
      <c r="W50" s="700"/>
    </row>
    <row r="51" spans="1:23" ht="39.6" outlineLevel="3">
      <c r="A51" s="376"/>
      <c r="B51" s="376" t="s">
        <v>14</v>
      </c>
      <c r="C51" s="376" t="s">
        <v>29</v>
      </c>
      <c r="D51" s="376" t="s">
        <v>27</v>
      </c>
      <c r="E51" s="376" t="s">
        <v>28</v>
      </c>
      <c r="F51" s="608" t="s">
        <v>1217</v>
      </c>
      <c r="G51" s="609">
        <v>2.8273590763100436E-3</v>
      </c>
      <c r="H51" s="700">
        <v>1</v>
      </c>
      <c r="I51" s="626"/>
      <c r="J51" s="751"/>
      <c r="L51" s="608" t="s">
        <v>28</v>
      </c>
      <c r="M51" s="608" t="s">
        <v>1208</v>
      </c>
      <c r="N51" s="608" t="s">
        <v>1209</v>
      </c>
      <c r="O51" s="608" t="s">
        <v>1235</v>
      </c>
      <c r="P51" s="608"/>
      <c r="Q51" s="608"/>
      <c r="R51" s="608"/>
      <c r="T51" s="751"/>
      <c r="V51" s="609">
        <f t="shared" si="4"/>
        <v>0</v>
      </c>
      <c r="W51" s="700"/>
    </row>
    <row r="52" spans="1:23" ht="39.6" outlineLevel="3">
      <c r="A52" s="376"/>
      <c r="B52" s="376" t="s">
        <v>14</v>
      </c>
      <c r="C52" s="376" t="s">
        <v>29</v>
      </c>
      <c r="D52" s="376" t="s">
        <v>27</v>
      </c>
      <c r="E52" s="376" t="s">
        <v>28</v>
      </c>
      <c r="F52" s="608" t="s">
        <v>1214</v>
      </c>
      <c r="G52" s="609">
        <v>0.10494596538461541</v>
      </c>
      <c r="H52" s="700">
        <v>1</v>
      </c>
      <c r="I52" s="626"/>
      <c r="J52" s="751"/>
      <c r="L52" s="608" t="s">
        <v>28</v>
      </c>
      <c r="M52" s="608" t="s">
        <v>1208</v>
      </c>
      <c r="N52" s="608" t="s">
        <v>1209</v>
      </c>
      <c r="O52" s="608" t="s">
        <v>1235</v>
      </c>
      <c r="P52" s="608"/>
      <c r="Q52" s="608"/>
      <c r="R52" s="608"/>
      <c r="T52" s="751"/>
      <c r="V52" s="609">
        <f t="shared" si="4"/>
        <v>0</v>
      </c>
      <c r="W52" s="700"/>
    </row>
    <row r="53" spans="1:23" ht="39.6" outlineLevel="3">
      <c r="A53" s="376"/>
      <c r="B53" s="376" t="s">
        <v>14</v>
      </c>
      <c r="C53" s="376" t="s">
        <v>29</v>
      </c>
      <c r="D53" s="376" t="s">
        <v>27</v>
      </c>
      <c r="E53" s="376" t="s">
        <v>28</v>
      </c>
      <c r="F53" s="608" t="s">
        <v>221</v>
      </c>
      <c r="G53" s="609">
        <v>0.04</v>
      </c>
      <c r="H53" s="700">
        <v>1</v>
      </c>
      <c r="I53" s="626"/>
      <c r="J53" s="751"/>
      <c r="L53" s="608" t="s">
        <v>28</v>
      </c>
      <c r="M53" s="608" t="s">
        <v>1208</v>
      </c>
      <c r="N53" s="608" t="s">
        <v>1209</v>
      </c>
      <c r="O53" s="608" t="s">
        <v>1235</v>
      </c>
      <c r="P53" s="608"/>
      <c r="Q53" s="608"/>
      <c r="R53" s="608"/>
      <c r="T53" s="751"/>
      <c r="V53" s="609">
        <f t="shared" si="4"/>
        <v>0</v>
      </c>
      <c r="W53" s="700"/>
    </row>
    <row r="54" spans="1:23" outlineLevel="2">
      <c r="A54" s="376"/>
      <c r="B54" s="684" t="s">
        <v>14</v>
      </c>
      <c r="C54" s="684" t="s">
        <v>29</v>
      </c>
      <c r="D54" s="684" t="s">
        <v>58</v>
      </c>
      <c r="E54" s="684"/>
      <c r="F54" s="685" t="s">
        <v>1226</v>
      </c>
      <c r="G54" s="686">
        <f>SUBTOTAL(9,G55:G56)</f>
        <v>4.7863519954722676E-2</v>
      </c>
      <c r="H54" s="691">
        <f>SUBTOTAL(9,H55:H56)</f>
        <v>1</v>
      </c>
      <c r="I54" s="626"/>
      <c r="J54" s="751"/>
      <c r="L54" s="685"/>
      <c r="M54" s="685"/>
      <c r="N54" s="685"/>
      <c r="O54" s="685"/>
      <c r="P54" s="685"/>
      <c r="Q54" s="685"/>
      <c r="R54" s="685"/>
      <c r="T54" s="751"/>
      <c r="V54" s="686">
        <f>SUBTOTAL(9,V55:V56)</f>
        <v>0</v>
      </c>
      <c r="W54" s="691">
        <f>SUBTOTAL(9,W55:W56)</f>
        <v>0</v>
      </c>
    </row>
    <row r="55" spans="1:23" ht="26.4" outlineLevel="3">
      <c r="A55" s="376"/>
      <c r="B55" s="376" t="s">
        <v>14</v>
      </c>
      <c r="C55" s="376" t="s">
        <v>29</v>
      </c>
      <c r="D55" s="376" t="s">
        <v>58</v>
      </c>
      <c r="E55" s="376" t="s">
        <v>28</v>
      </c>
      <c r="F55" s="608" t="s">
        <v>1227</v>
      </c>
      <c r="G55" s="609">
        <v>4.7863519954722676E-2</v>
      </c>
      <c r="H55" s="700">
        <v>1</v>
      </c>
      <c r="I55" s="626"/>
      <c r="J55" s="751"/>
      <c r="L55" s="608" t="s">
        <v>28</v>
      </c>
      <c r="M55" s="608" t="s">
        <v>1236</v>
      </c>
      <c r="N55" s="608" t="s">
        <v>1237</v>
      </c>
      <c r="O55" s="608" t="s">
        <v>1238</v>
      </c>
      <c r="P55" s="608"/>
      <c r="Q55" s="608"/>
      <c r="R55" s="608"/>
      <c r="T55" s="751"/>
      <c r="V55" s="609">
        <f t="shared" ref="V55:V56" si="5">IF(W55=1,G55,0)</f>
        <v>0</v>
      </c>
      <c r="W55" s="700"/>
    </row>
    <row r="56" spans="1:23" ht="26.4" outlineLevel="3">
      <c r="A56" s="376"/>
      <c r="B56" s="376" t="s">
        <v>14</v>
      </c>
      <c r="C56" s="376" t="s">
        <v>29</v>
      </c>
      <c r="D56" s="376" t="s">
        <v>58</v>
      </c>
      <c r="E56" s="376" t="s">
        <v>28</v>
      </c>
      <c r="F56" s="759" t="s">
        <v>1239</v>
      </c>
      <c r="G56" s="609"/>
      <c r="H56" s="700"/>
      <c r="I56" s="626"/>
      <c r="J56" s="751"/>
      <c r="L56" s="608" t="s">
        <v>28</v>
      </c>
      <c r="M56" s="608" t="s">
        <v>1236</v>
      </c>
      <c r="N56" s="608" t="s">
        <v>1237</v>
      </c>
      <c r="O56" s="608" t="s">
        <v>1238</v>
      </c>
      <c r="P56" s="608"/>
      <c r="Q56" s="608"/>
      <c r="R56" s="608"/>
      <c r="T56" s="751"/>
      <c r="V56" s="609">
        <f t="shared" si="5"/>
        <v>0</v>
      </c>
      <c r="W56" s="700"/>
    </row>
    <row r="57" spans="1:23" s="711" customFormat="1" outlineLevel="1">
      <c r="A57" s="386"/>
      <c r="B57" s="666" t="s">
        <v>62</v>
      </c>
      <c r="C57" s="666" t="s">
        <v>63</v>
      </c>
      <c r="D57" s="666"/>
      <c r="E57" s="666"/>
      <c r="F57" s="681" t="s">
        <v>262</v>
      </c>
      <c r="G57" s="708">
        <f>SUBTOTAL(9,G58:G68)</f>
        <v>0.81650520351452482</v>
      </c>
      <c r="H57" s="709">
        <f>SUBTOTAL(9,H58:H68)</f>
        <v>8</v>
      </c>
      <c r="I57" s="710"/>
      <c r="J57" s="755"/>
      <c r="L57" s="760"/>
      <c r="M57" s="760"/>
      <c r="N57" s="760"/>
      <c r="O57" s="760"/>
      <c r="P57" s="760"/>
      <c r="Q57" s="760"/>
      <c r="R57" s="760"/>
      <c r="T57" s="755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62</v>
      </c>
      <c r="C58" s="684" t="s">
        <v>63</v>
      </c>
      <c r="D58" s="684" t="s">
        <v>17</v>
      </c>
      <c r="E58" s="684"/>
      <c r="F58" s="712" t="s">
        <v>1194</v>
      </c>
      <c r="G58" s="713">
        <f>SUBTOTAL(9,G59:G61)</f>
        <v>0.3642147722995997</v>
      </c>
      <c r="H58" s="714">
        <f>SUBTOTAL(9,H59:H61)</f>
        <v>3</v>
      </c>
      <c r="I58" s="626"/>
      <c r="J58" s="751"/>
      <c r="L58" s="685"/>
      <c r="M58" s="685"/>
      <c r="N58" s="685"/>
      <c r="O58" s="685"/>
      <c r="P58" s="685"/>
      <c r="Q58" s="685"/>
      <c r="R58" s="685"/>
      <c r="T58" s="751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62</v>
      </c>
      <c r="C59" s="376" t="s">
        <v>63</v>
      </c>
      <c r="D59" s="376" t="s">
        <v>17</v>
      </c>
      <c r="E59" s="376" t="s">
        <v>64</v>
      </c>
      <c r="F59" s="608" t="s">
        <v>184</v>
      </c>
      <c r="G59" s="695">
        <v>0.13658053961234987</v>
      </c>
      <c r="H59" s="700">
        <v>1</v>
      </c>
      <c r="I59" s="626"/>
      <c r="J59" s="751"/>
      <c r="L59" s="608" t="s">
        <v>64</v>
      </c>
      <c r="M59" s="608" t="s">
        <v>1240</v>
      </c>
      <c r="N59" s="608" t="s">
        <v>1241</v>
      </c>
      <c r="O59" s="608"/>
      <c r="P59" s="608"/>
      <c r="Q59" s="608"/>
      <c r="R59" s="608"/>
      <c r="T59" s="751"/>
      <c r="V59" s="609">
        <f t="shared" ref="V59:V61" si="6">IF(W59=1,G59,0)</f>
        <v>0</v>
      </c>
      <c r="W59" s="700"/>
    </row>
    <row r="60" spans="1:23" outlineLevel="3">
      <c r="A60" s="376"/>
      <c r="B60" s="376" t="s">
        <v>62</v>
      </c>
      <c r="C60" s="376" t="s">
        <v>63</v>
      </c>
      <c r="D60" s="376" t="s">
        <v>17</v>
      </c>
      <c r="E60" s="376" t="s">
        <v>64</v>
      </c>
      <c r="F60" s="623" t="s">
        <v>186</v>
      </c>
      <c r="G60" s="695">
        <v>0.18210738614979985</v>
      </c>
      <c r="H60" s="700">
        <v>1</v>
      </c>
      <c r="I60" s="626"/>
      <c r="J60" s="751"/>
      <c r="L60" s="608" t="s">
        <v>64</v>
      </c>
      <c r="M60" s="608" t="s">
        <v>1240</v>
      </c>
      <c r="N60" s="608" t="s">
        <v>1242</v>
      </c>
      <c r="O60" s="608"/>
      <c r="P60" s="608"/>
      <c r="Q60" s="608"/>
      <c r="R60" s="608"/>
      <c r="T60" s="751"/>
      <c r="V60" s="609">
        <f t="shared" si="6"/>
        <v>0</v>
      </c>
      <c r="W60" s="700"/>
    </row>
    <row r="61" spans="1:23" outlineLevel="3">
      <c r="A61" s="376"/>
      <c r="B61" s="376" t="s">
        <v>62</v>
      </c>
      <c r="C61" s="376" t="s">
        <v>63</v>
      </c>
      <c r="D61" s="376" t="s">
        <v>17</v>
      </c>
      <c r="E61" s="376" t="s">
        <v>64</v>
      </c>
      <c r="F61" s="623" t="s">
        <v>187</v>
      </c>
      <c r="G61" s="695">
        <v>4.5526846537449962E-2</v>
      </c>
      <c r="H61" s="700">
        <v>1</v>
      </c>
      <c r="I61" s="626"/>
      <c r="J61" s="751"/>
      <c r="L61" s="608" t="s">
        <v>64</v>
      </c>
      <c r="M61" s="608" t="s">
        <v>1240</v>
      </c>
      <c r="N61" s="608" t="s">
        <v>1243</v>
      </c>
      <c r="O61" s="608"/>
      <c r="P61" s="608"/>
      <c r="Q61" s="608"/>
      <c r="R61" s="608"/>
      <c r="T61" s="751"/>
      <c r="V61" s="609">
        <f t="shared" si="6"/>
        <v>0</v>
      </c>
      <c r="W61" s="700"/>
    </row>
    <row r="62" spans="1:23" ht="26.4" outlineLevel="2">
      <c r="A62" s="376"/>
      <c r="B62" s="684" t="s">
        <v>62</v>
      </c>
      <c r="C62" s="684" t="s">
        <v>63</v>
      </c>
      <c r="D62" s="684" t="s">
        <v>25</v>
      </c>
      <c r="E62" s="684"/>
      <c r="F62" s="685" t="s">
        <v>1244</v>
      </c>
      <c r="G62" s="713">
        <f>SUBTOTAL(9,G63:G65)</f>
        <v>0.28478494761492512</v>
      </c>
      <c r="H62" s="714">
        <f>SUBTOTAL(9,H63:H65)</f>
        <v>3</v>
      </c>
      <c r="I62" s="626"/>
      <c r="J62" s="751"/>
      <c r="L62" s="685"/>
      <c r="M62" s="685"/>
      <c r="N62" s="685"/>
      <c r="O62" s="685"/>
      <c r="P62" s="685"/>
      <c r="Q62" s="685"/>
      <c r="R62" s="685"/>
      <c r="T62" s="751"/>
      <c r="V62" s="713">
        <f>SUBTOTAL(9,V63:V65)</f>
        <v>0</v>
      </c>
      <c r="W62" s="714">
        <f>SUBTOTAL(9,W63:W65)</f>
        <v>0</v>
      </c>
    </row>
    <row r="63" spans="1:23" ht="26.4" outlineLevel="3">
      <c r="A63" s="376"/>
      <c r="B63" s="376" t="s">
        <v>62</v>
      </c>
      <c r="C63" s="376" t="s">
        <v>63</v>
      </c>
      <c r="D63" s="376" t="s">
        <v>25</v>
      </c>
      <c r="E63" s="376" t="s">
        <v>26</v>
      </c>
      <c r="F63" s="608" t="s">
        <v>1245</v>
      </c>
      <c r="G63" s="609">
        <v>0.25822711064277509</v>
      </c>
      <c r="H63" s="700">
        <v>1</v>
      </c>
      <c r="I63" s="626"/>
      <c r="J63" s="751"/>
      <c r="L63" s="608" t="s">
        <v>26</v>
      </c>
      <c r="M63" s="608" t="s">
        <v>1246</v>
      </c>
      <c r="N63" s="608" t="s">
        <v>1247</v>
      </c>
      <c r="O63" s="608" t="s">
        <v>1248</v>
      </c>
      <c r="P63" s="608"/>
      <c r="Q63" s="608"/>
      <c r="R63" s="608"/>
      <c r="T63" s="751"/>
      <c r="V63" s="609">
        <f t="shared" ref="V63:V65" si="7">IF(W63=1,G63,0)</f>
        <v>0</v>
      </c>
      <c r="W63" s="700"/>
    </row>
    <row r="64" spans="1:23" ht="26.4" outlineLevel="3">
      <c r="A64" s="376"/>
      <c r="B64" s="376" t="s">
        <v>62</v>
      </c>
      <c r="C64" s="376" t="s">
        <v>63</v>
      </c>
      <c r="D64" s="376" t="s">
        <v>25</v>
      </c>
      <c r="E64" s="376" t="s">
        <v>26</v>
      </c>
      <c r="F64" s="608" t="s">
        <v>184</v>
      </c>
      <c r="G64" s="609">
        <v>1.4486092893899998E-2</v>
      </c>
      <c r="H64" s="700">
        <v>1</v>
      </c>
      <c r="I64" s="626"/>
      <c r="J64" s="751"/>
      <c r="L64" s="608" t="s">
        <v>26</v>
      </c>
      <c r="M64" s="608" t="s">
        <v>1246</v>
      </c>
      <c r="N64" s="608" t="s">
        <v>1249</v>
      </c>
      <c r="O64" s="608" t="s">
        <v>1250</v>
      </c>
      <c r="P64" s="608"/>
      <c r="Q64" s="608"/>
      <c r="R64" s="608"/>
      <c r="T64" s="751"/>
      <c r="V64" s="609">
        <f t="shared" si="7"/>
        <v>0</v>
      </c>
      <c r="W64" s="700"/>
    </row>
    <row r="65" spans="1:23" outlineLevel="3">
      <c r="A65" s="376"/>
      <c r="B65" s="376" t="s">
        <v>62</v>
      </c>
      <c r="C65" s="376" t="s">
        <v>63</v>
      </c>
      <c r="D65" s="376" t="s">
        <v>25</v>
      </c>
      <c r="E65" s="376" t="s">
        <v>26</v>
      </c>
      <c r="F65" s="608" t="s">
        <v>186</v>
      </c>
      <c r="G65" s="609">
        <v>1.2071744078249999E-2</v>
      </c>
      <c r="H65" s="700">
        <v>1</v>
      </c>
      <c r="I65" s="626"/>
      <c r="J65" s="751"/>
      <c r="L65" s="608" t="s">
        <v>26</v>
      </c>
      <c r="M65" s="608" t="s">
        <v>1246</v>
      </c>
      <c r="N65" s="608" t="s">
        <v>1251</v>
      </c>
      <c r="O65" s="608" t="s">
        <v>1252</v>
      </c>
      <c r="P65" s="608"/>
      <c r="Q65" s="608"/>
      <c r="R65" s="608"/>
      <c r="T65" s="751"/>
      <c r="V65" s="609">
        <f t="shared" si="7"/>
        <v>0</v>
      </c>
      <c r="W65" s="700"/>
    </row>
    <row r="66" spans="1:23" outlineLevel="2">
      <c r="A66" s="376"/>
      <c r="B66" s="684" t="s">
        <v>62</v>
      </c>
      <c r="C66" s="684" t="s">
        <v>63</v>
      </c>
      <c r="D66" s="684" t="s">
        <v>27</v>
      </c>
      <c r="E66" s="684"/>
      <c r="F66" s="712" t="s">
        <v>1194</v>
      </c>
      <c r="G66" s="713">
        <f>SUBTOTAL(9,G67:G68)</f>
        <v>0.16750548359999998</v>
      </c>
      <c r="H66" s="714">
        <f>SUBTOTAL(9,H67:H68)</f>
        <v>2</v>
      </c>
      <c r="I66" s="626"/>
      <c r="J66" s="751"/>
      <c r="L66" s="685"/>
      <c r="M66" s="685"/>
      <c r="N66" s="685"/>
      <c r="O66" s="685"/>
      <c r="P66" s="685"/>
      <c r="Q66" s="685"/>
      <c r="R66" s="685"/>
      <c r="T66" s="751"/>
      <c r="V66" s="713">
        <f>SUBTOTAL(9,V67:V68)</f>
        <v>0</v>
      </c>
      <c r="W66" s="714">
        <f>SUBTOTAL(9,W67:W68)</f>
        <v>0</v>
      </c>
    </row>
    <row r="67" spans="1:23" ht="26.4" outlineLevel="3">
      <c r="A67" s="376"/>
      <c r="B67" s="376" t="s">
        <v>62</v>
      </c>
      <c r="C67" s="376" t="s">
        <v>63</v>
      </c>
      <c r="D67" s="376" t="s">
        <v>27</v>
      </c>
      <c r="E67" s="376" t="s">
        <v>28</v>
      </c>
      <c r="F67" s="623" t="s">
        <v>221</v>
      </c>
      <c r="G67" s="609">
        <v>3.8655111599999993E-2</v>
      </c>
      <c r="H67" s="700">
        <v>1</v>
      </c>
      <c r="I67" s="626"/>
      <c r="J67" s="751"/>
      <c r="L67" s="608" t="s">
        <v>28</v>
      </c>
      <c r="M67" s="608" t="s">
        <v>1208</v>
      </c>
      <c r="N67" s="608" t="s">
        <v>1253</v>
      </c>
      <c r="O67" s="608" t="s">
        <v>1254</v>
      </c>
      <c r="P67" s="608"/>
      <c r="Q67" s="608"/>
      <c r="R67" s="608"/>
      <c r="T67" s="751"/>
      <c r="V67" s="609">
        <f t="shared" ref="V67:V68" si="8">IF(W67=1,G67,0)</f>
        <v>0</v>
      </c>
      <c r="W67" s="700"/>
    </row>
    <row r="68" spans="1:23" ht="26.4" outlineLevel="3">
      <c r="A68" s="376"/>
      <c r="B68" s="376" t="s">
        <v>62</v>
      </c>
      <c r="C68" s="376" t="s">
        <v>63</v>
      </c>
      <c r="D68" s="376" t="s">
        <v>27</v>
      </c>
      <c r="E68" s="376" t="s">
        <v>28</v>
      </c>
      <c r="F68" s="623" t="s">
        <v>186</v>
      </c>
      <c r="G68" s="609">
        <v>0.12885037199999999</v>
      </c>
      <c r="H68" s="700">
        <v>1</v>
      </c>
      <c r="I68" s="626"/>
      <c r="J68" s="751"/>
      <c r="L68" s="608" t="s">
        <v>28</v>
      </c>
      <c r="M68" s="608" t="s">
        <v>1208</v>
      </c>
      <c r="N68" s="608" t="s">
        <v>1253</v>
      </c>
      <c r="O68" s="608" t="s">
        <v>1254</v>
      </c>
      <c r="P68" s="608"/>
      <c r="Q68" s="608"/>
      <c r="R68" s="608"/>
      <c r="T68" s="751"/>
      <c r="V68" s="609">
        <f t="shared" si="8"/>
        <v>0</v>
      </c>
      <c r="W68" s="700"/>
    </row>
    <row r="69" spans="1:23" s="711" customFormat="1" outlineLevel="1">
      <c r="A69" s="386"/>
      <c r="B69" s="666" t="s">
        <v>69</v>
      </c>
      <c r="C69" s="666" t="s">
        <v>70</v>
      </c>
      <c r="D69" s="666"/>
      <c r="E69" s="666"/>
      <c r="F69" s="681" t="s">
        <v>262</v>
      </c>
      <c r="G69" s="715">
        <f>SUBTOTAL(9,G70:G71)</f>
        <v>0</v>
      </c>
      <c r="H69" s="716">
        <f>SUBTOTAL(9,H70:H71)</f>
        <v>0</v>
      </c>
      <c r="I69" s="710"/>
      <c r="J69" s="755"/>
      <c r="L69" s="760"/>
      <c r="M69" s="760"/>
      <c r="N69" s="760"/>
      <c r="O69" s="760"/>
      <c r="P69" s="760"/>
      <c r="Q69" s="760"/>
      <c r="R69" s="760"/>
      <c r="T69" s="755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69</v>
      </c>
      <c r="C70" s="687" t="s">
        <v>70</v>
      </c>
      <c r="D70" s="684"/>
      <c r="E70" s="684"/>
      <c r="F70" s="717" t="s">
        <v>1255</v>
      </c>
      <c r="G70" s="686">
        <f>SUBTOTAL(9,G71)</f>
        <v>0</v>
      </c>
      <c r="H70" s="691">
        <f>SUBTOTAL(9,H71)</f>
        <v>0</v>
      </c>
      <c r="I70" s="626"/>
      <c r="J70" s="751"/>
      <c r="L70" s="685"/>
      <c r="M70" s="685"/>
      <c r="N70" s="685"/>
      <c r="O70" s="685"/>
      <c r="P70" s="685"/>
      <c r="Q70" s="685"/>
      <c r="R70" s="685"/>
      <c r="T70" s="751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1256</v>
      </c>
      <c r="G71" s="718"/>
      <c r="H71" s="719"/>
      <c r="I71" s="626"/>
      <c r="J71" s="751"/>
      <c r="L71" s="761"/>
      <c r="M71" s="761"/>
      <c r="N71" s="761"/>
      <c r="O71" s="761"/>
      <c r="P71" s="761"/>
      <c r="Q71" s="761"/>
      <c r="R71" s="761"/>
      <c r="T71" s="751"/>
      <c r="V71" s="718"/>
      <c r="W71" s="719"/>
    </row>
    <row r="72" spans="1:23" s="711" customFormat="1" outlineLevel="1">
      <c r="A72" s="386"/>
      <c r="B72" s="666" t="s">
        <v>74</v>
      </c>
      <c r="C72" s="666" t="s">
        <v>75</v>
      </c>
      <c r="D72" s="666"/>
      <c r="E72" s="666"/>
      <c r="F72" s="681" t="s">
        <v>262</v>
      </c>
      <c r="G72" s="708">
        <f>SUBTOTAL(9,G73:G91)</f>
        <v>4.0891744999999995</v>
      </c>
      <c r="H72" s="709">
        <f>SUBTOTAL(9,H73:H91)</f>
        <v>14</v>
      </c>
      <c r="I72" s="710"/>
      <c r="J72" s="755"/>
      <c r="L72" s="760"/>
      <c r="M72" s="760"/>
      <c r="N72" s="760"/>
      <c r="O72" s="760"/>
      <c r="P72" s="760"/>
      <c r="Q72" s="760"/>
      <c r="R72" s="760"/>
      <c r="T72" s="755"/>
      <c r="V72" s="708">
        <f>SUBTOTAL(9,V73:V91)</f>
        <v>0</v>
      </c>
      <c r="W72" s="709">
        <f>SUBTOTAL(9,W73:W91)</f>
        <v>0</v>
      </c>
    </row>
    <row r="73" spans="1:23" outlineLevel="2">
      <c r="A73" s="376"/>
      <c r="B73" s="684" t="s">
        <v>74</v>
      </c>
      <c r="C73" s="684" t="s">
        <v>75</v>
      </c>
      <c r="D73" s="684" t="s">
        <v>17</v>
      </c>
      <c r="E73" s="684"/>
      <c r="F73" s="712" t="s">
        <v>77</v>
      </c>
      <c r="G73" s="713">
        <f>SUBTOTAL(9,G74:G81)</f>
        <v>3.3658999999999999</v>
      </c>
      <c r="H73" s="714">
        <f>SUBTOTAL(9,H74:H81)</f>
        <v>8</v>
      </c>
      <c r="I73" s="626"/>
      <c r="J73" s="751"/>
      <c r="L73" s="685"/>
      <c r="M73" s="685"/>
      <c r="N73" s="685"/>
      <c r="O73" s="685"/>
      <c r="P73" s="685"/>
      <c r="Q73" s="685"/>
      <c r="R73" s="685"/>
      <c r="T73" s="751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74</v>
      </c>
      <c r="C74" s="376" t="s">
        <v>75</v>
      </c>
      <c r="D74" s="376" t="s">
        <v>17</v>
      </c>
      <c r="E74" s="376" t="s">
        <v>19</v>
      </c>
      <c r="F74" s="623" t="s">
        <v>1257</v>
      </c>
      <c r="G74" s="720">
        <v>0.17</v>
      </c>
      <c r="H74" s="700">
        <v>1</v>
      </c>
      <c r="I74" s="626"/>
      <c r="J74" s="751"/>
      <c r="L74" s="608" t="s">
        <v>19</v>
      </c>
      <c r="M74" s="608" t="s">
        <v>1258</v>
      </c>
      <c r="N74" s="608" t="s">
        <v>1259</v>
      </c>
      <c r="O74" s="608"/>
      <c r="P74" s="608"/>
      <c r="Q74" s="608"/>
      <c r="R74" s="608"/>
      <c r="T74" s="751"/>
      <c r="V74" s="609">
        <f t="shared" ref="V74:V81" si="9">IF(W74=1,G74,0)</f>
        <v>0</v>
      </c>
      <c r="W74" s="700"/>
    </row>
    <row r="75" spans="1:23" outlineLevel="3">
      <c r="A75" s="376"/>
      <c r="B75" s="376" t="s">
        <v>74</v>
      </c>
      <c r="C75" s="376" t="s">
        <v>75</v>
      </c>
      <c r="D75" s="376" t="s">
        <v>17</v>
      </c>
      <c r="E75" s="376" t="s">
        <v>19</v>
      </c>
      <c r="F75" s="623" t="s">
        <v>1260</v>
      </c>
      <c r="G75" s="720">
        <v>0.17</v>
      </c>
      <c r="H75" s="700">
        <v>1</v>
      </c>
      <c r="I75" s="626"/>
      <c r="J75" s="751"/>
      <c r="L75" s="608" t="s">
        <v>19</v>
      </c>
      <c r="M75" s="608" t="s">
        <v>1258</v>
      </c>
      <c r="N75" s="608" t="s">
        <v>1259</v>
      </c>
      <c r="O75" s="608"/>
      <c r="P75" s="608"/>
      <c r="Q75" s="608"/>
      <c r="R75" s="608"/>
      <c r="T75" s="751"/>
      <c r="V75" s="609">
        <f t="shared" si="9"/>
        <v>0</v>
      </c>
      <c r="W75" s="700"/>
    </row>
    <row r="76" spans="1:23" outlineLevel="3">
      <c r="A76" s="376"/>
      <c r="B76" s="376" t="s">
        <v>74</v>
      </c>
      <c r="C76" s="376" t="s">
        <v>75</v>
      </c>
      <c r="D76" s="376" t="s">
        <v>17</v>
      </c>
      <c r="E76" s="376" t="s">
        <v>19</v>
      </c>
      <c r="F76" s="623" t="s">
        <v>1261</v>
      </c>
      <c r="G76" s="720">
        <v>1.18</v>
      </c>
      <c r="H76" s="700">
        <v>1</v>
      </c>
      <c r="I76" s="626"/>
      <c r="J76" s="751"/>
      <c r="L76" s="608" t="s">
        <v>19</v>
      </c>
      <c r="M76" s="608" t="s">
        <v>1262</v>
      </c>
      <c r="N76" s="608"/>
      <c r="O76" s="608"/>
      <c r="P76" s="608"/>
      <c r="Q76" s="608"/>
      <c r="R76" s="608"/>
      <c r="T76" s="751"/>
      <c r="V76" s="609">
        <f t="shared" si="9"/>
        <v>0</v>
      </c>
      <c r="W76" s="700"/>
    </row>
    <row r="77" spans="1:23" outlineLevel="3">
      <c r="A77" s="376"/>
      <c r="B77" s="376" t="s">
        <v>74</v>
      </c>
      <c r="C77" s="376" t="s">
        <v>75</v>
      </c>
      <c r="D77" s="376" t="s">
        <v>17</v>
      </c>
      <c r="E77" s="376" t="s">
        <v>19</v>
      </c>
      <c r="F77" s="623" t="s">
        <v>1263</v>
      </c>
      <c r="G77" s="720">
        <f>10659000/10^7</f>
        <v>1.0659000000000001</v>
      </c>
      <c r="H77" s="700">
        <v>1</v>
      </c>
      <c r="I77" s="626"/>
      <c r="J77" s="751"/>
      <c r="L77" s="608" t="s">
        <v>19</v>
      </c>
      <c r="M77" s="608" t="s">
        <v>1243</v>
      </c>
      <c r="N77" s="608" t="s">
        <v>1264</v>
      </c>
      <c r="O77" s="608"/>
      <c r="P77" s="608"/>
      <c r="Q77" s="608"/>
      <c r="R77" s="608"/>
      <c r="T77" s="751"/>
      <c r="V77" s="609">
        <f t="shared" si="9"/>
        <v>0</v>
      </c>
      <c r="W77" s="700"/>
    </row>
    <row r="78" spans="1:23" outlineLevel="3">
      <c r="A78" s="376"/>
      <c r="B78" s="376" t="s">
        <v>74</v>
      </c>
      <c r="C78" s="376" t="s">
        <v>75</v>
      </c>
      <c r="D78" s="376" t="s">
        <v>17</v>
      </c>
      <c r="E78" s="376" t="s">
        <v>19</v>
      </c>
      <c r="F78" s="623" t="s">
        <v>1265</v>
      </c>
      <c r="G78" s="720">
        <v>0.45</v>
      </c>
      <c r="H78" s="700">
        <v>1</v>
      </c>
      <c r="I78" s="626"/>
      <c r="J78" s="751"/>
      <c r="L78" s="608" t="s">
        <v>19</v>
      </c>
      <c r="M78" s="608" t="s">
        <v>1266</v>
      </c>
      <c r="N78" s="608"/>
      <c r="O78" s="608"/>
      <c r="P78" s="608"/>
      <c r="Q78" s="608"/>
      <c r="R78" s="608"/>
      <c r="T78" s="751"/>
      <c r="V78" s="609">
        <f t="shared" si="9"/>
        <v>0</v>
      </c>
      <c r="W78" s="700"/>
    </row>
    <row r="79" spans="1:23" outlineLevel="3">
      <c r="A79" s="376"/>
      <c r="B79" s="376" t="s">
        <v>74</v>
      </c>
      <c r="C79" s="376" t="s">
        <v>75</v>
      </c>
      <c r="D79" s="376" t="s">
        <v>17</v>
      </c>
      <c r="E79" s="376" t="s">
        <v>19</v>
      </c>
      <c r="F79" s="623" t="s">
        <v>1267</v>
      </c>
      <c r="G79" s="720">
        <v>0.15</v>
      </c>
      <c r="H79" s="700">
        <v>1</v>
      </c>
      <c r="I79" s="626"/>
      <c r="J79" s="751"/>
      <c r="L79" s="608" t="s">
        <v>19</v>
      </c>
      <c r="M79" s="608" t="s">
        <v>1266</v>
      </c>
      <c r="N79" s="608"/>
      <c r="O79" s="608"/>
      <c r="P79" s="608"/>
      <c r="Q79" s="608"/>
      <c r="R79" s="608"/>
      <c r="T79" s="751"/>
      <c r="V79" s="609">
        <f t="shared" si="9"/>
        <v>0</v>
      </c>
      <c r="W79" s="700"/>
    </row>
    <row r="80" spans="1:23" outlineLevel="3">
      <c r="A80" s="376"/>
      <c r="B80" s="376" t="s">
        <v>74</v>
      </c>
      <c r="C80" s="376" t="s">
        <v>75</v>
      </c>
      <c r="D80" s="376" t="s">
        <v>17</v>
      </c>
      <c r="E80" s="376" t="s">
        <v>19</v>
      </c>
      <c r="F80" s="623" t="s">
        <v>1268</v>
      </c>
      <c r="G80" s="720">
        <v>0.15</v>
      </c>
      <c r="H80" s="700">
        <v>1</v>
      </c>
      <c r="I80" s="626"/>
      <c r="J80" s="751"/>
      <c r="L80" s="608" t="s">
        <v>19</v>
      </c>
      <c r="M80" s="608" t="s">
        <v>1266</v>
      </c>
      <c r="N80" s="608"/>
      <c r="O80" s="608"/>
      <c r="P80" s="608"/>
      <c r="Q80" s="608"/>
      <c r="R80" s="608"/>
      <c r="T80" s="751"/>
      <c r="V80" s="609">
        <f t="shared" si="9"/>
        <v>0</v>
      </c>
      <c r="W80" s="700"/>
    </row>
    <row r="81" spans="1:23" outlineLevel="3">
      <c r="A81" s="376"/>
      <c r="B81" s="387" t="s">
        <v>74</v>
      </c>
      <c r="C81" s="387" t="s">
        <v>75</v>
      </c>
      <c r="D81" s="387" t="s">
        <v>17</v>
      </c>
      <c r="E81" s="387" t="s">
        <v>19</v>
      </c>
      <c r="F81" s="705" t="s">
        <v>1269</v>
      </c>
      <c r="G81" s="721">
        <v>0.03</v>
      </c>
      <c r="H81" s="722">
        <v>1</v>
      </c>
      <c r="I81" s="626"/>
      <c r="J81" s="751"/>
      <c r="L81" s="705" t="s">
        <v>19</v>
      </c>
      <c r="M81" s="705" t="s">
        <v>1266</v>
      </c>
      <c r="N81" s="705" t="s">
        <v>1270</v>
      </c>
      <c r="O81" s="705"/>
      <c r="P81" s="705"/>
      <c r="Q81" s="705"/>
      <c r="R81" s="705"/>
      <c r="T81" s="751"/>
      <c r="V81" s="609">
        <f t="shared" si="9"/>
        <v>0</v>
      </c>
      <c r="W81" s="722"/>
    </row>
    <row r="82" spans="1:23" outlineLevel="2">
      <c r="A82" s="376"/>
      <c r="B82" s="684" t="s">
        <v>74</v>
      </c>
      <c r="C82" s="684" t="s">
        <v>75</v>
      </c>
      <c r="D82" s="684" t="s">
        <v>25</v>
      </c>
      <c r="E82" s="684"/>
      <c r="F82" s="712" t="s">
        <v>77</v>
      </c>
      <c r="G82" s="713">
        <f>SUBTOTAL(9,G83:G85)</f>
        <v>0.36</v>
      </c>
      <c r="H82" s="714">
        <f>SUBTOTAL(9,H83:H85)</f>
        <v>3</v>
      </c>
      <c r="I82" s="626"/>
      <c r="J82" s="751"/>
      <c r="L82" s="685"/>
      <c r="M82" s="685"/>
      <c r="N82" s="685"/>
      <c r="O82" s="685"/>
      <c r="P82" s="685"/>
      <c r="Q82" s="685"/>
      <c r="R82" s="685"/>
      <c r="T82" s="751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74</v>
      </c>
      <c r="C83" s="376" t="s">
        <v>75</v>
      </c>
      <c r="D83" s="376" t="s">
        <v>25</v>
      </c>
      <c r="E83" s="376" t="s">
        <v>26</v>
      </c>
      <c r="F83" s="623" t="s">
        <v>1271</v>
      </c>
      <c r="G83" s="720">
        <v>0.19</v>
      </c>
      <c r="H83" s="700">
        <v>1</v>
      </c>
      <c r="I83" s="626"/>
      <c r="J83" s="751"/>
      <c r="L83" s="608" t="s">
        <v>26</v>
      </c>
      <c r="M83" s="608" t="s">
        <v>1272</v>
      </c>
      <c r="N83" s="608" t="s">
        <v>1273</v>
      </c>
      <c r="O83" s="608"/>
      <c r="P83" s="608" t="s">
        <v>1274</v>
      </c>
      <c r="Q83" s="608"/>
      <c r="R83" s="608"/>
      <c r="T83" s="751"/>
      <c r="V83" s="609">
        <f t="shared" ref="V83:V85" si="10">IF(W83=1,G83,0)</f>
        <v>0</v>
      </c>
      <c r="W83" s="700"/>
    </row>
    <row r="84" spans="1:23" outlineLevel="3">
      <c r="A84" s="376"/>
      <c r="B84" s="376" t="s">
        <v>74</v>
      </c>
      <c r="C84" s="376" t="s">
        <v>75</v>
      </c>
      <c r="D84" s="376" t="s">
        <v>25</v>
      </c>
      <c r="E84" s="376" t="s">
        <v>26</v>
      </c>
      <c r="F84" s="623" t="s">
        <v>1275</v>
      </c>
      <c r="G84" s="720">
        <v>0.16</v>
      </c>
      <c r="H84" s="700">
        <v>1</v>
      </c>
      <c r="I84" s="626"/>
      <c r="J84" s="751"/>
      <c r="L84" s="608" t="s">
        <v>26</v>
      </c>
      <c r="M84" s="608" t="s">
        <v>1272</v>
      </c>
      <c r="N84" s="608" t="s">
        <v>1273</v>
      </c>
      <c r="O84" s="608"/>
      <c r="P84" s="608" t="s">
        <v>1274</v>
      </c>
      <c r="Q84" s="608"/>
      <c r="R84" s="608"/>
      <c r="T84" s="751"/>
      <c r="V84" s="609">
        <f t="shared" si="10"/>
        <v>0</v>
      </c>
      <c r="W84" s="700"/>
    </row>
    <row r="85" spans="1:23" outlineLevel="3">
      <c r="A85" s="376"/>
      <c r="B85" s="376" t="s">
        <v>74</v>
      </c>
      <c r="C85" s="376" t="s">
        <v>75</v>
      </c>
      <c r="D85" s="376" t="s">
        <v>25</v>
      </c>
      <c r="E85" s="376" t="s">
        <v>26</v>
      </c>
      <c r="F85" s="623" t="s">
        <v>1276</v>
      </c>
      <c r="G85" s="720">
        <v>0.01</v>
      </c>
      <c r="H85" s="700">
        <v>1</v>
      </c>
      <c r="I85" s="626"/>
      <c r="J85" s="751"/>
      <c r="L85" s="608" t="s">
        <v>26</v>
      </c>
      <c r="M85" s="608" t="s">
        <v>1272</v>
      </c>
      <c r="N85" s="608" t="s">
        <v>1273</v>
      </c>
      <c r="O85" s="608" t="s">
        <v>1277</v>
      </c>
      <c r="P85" s="608" t="s">
        <v>1274</v>
      </c>
      <c r="Q85" s="608"/>
      <c r="R85" s="608"/>
      <c r="T85" s="751"/>
      <c r="V85" s="609">
        <f t="shared" si="10"/>
        <v>0</v>
      </c>
      <c r="W85" s="700"/>
    </row>
    <row r="86" spans="1:23" outlineLevel="2">
      <c r="A86" s="376"/>
      <c r="B86" s="684" t="s">
        <v>74</v>
      </c>
      <c r="C86" s="684" t="s">
        <v>75</v>
      </c>
      <c r="D86" s="684" t="s">
        <v>27</v>
      </c>
      <c r="E86" s="684"/>
      <c r="F86" s="712" t="s">
        <v>77</v>
      </c>
      <c r="G86" s="713">
        <f>SUBTOTAL(9,G87:G89)</f>
        <v>0.3632745</v>
      </c>
      <c r="H86" s="714">
        <f>SUBTOTAL(9,H87:H89)</f>
        <v>3</v>
      </c>
      <c r="I86" s="626"/>
      <c r="J86" s="751"/>
      <c r="L86" s="685"/>
      <c r="M86" s="685"/>
      <c r="N86" s="685"/>
      <c r="O86" s="685"/>
      <c r="P86" s="685"/>
      <c r="Q86" s="685"/>
      <c r="R86" s="685"/>
      <c r="T86" s="751"/>
      <c r="V86" s="713">
        <f>SUBTOTAL(9,V87:V89)</f>
        <v>0</v>
      </c>
      <c r="W86" s="714">
        <f>SUBTOTAL(9,W87:W89)</f>
        <v>0</v>
      </c>
    </row>
    <row r="87" spans="1:23" ht="66" outlineLevel="3">
      <c r="A87" s="376"/>
      <c r="B87" s="376" t="s">
        <v>74</v>
      </c>
      <c r="C87" s="376" t="s">
        <v>75</v>
      </c>
      <c r="D87" s="376" t="s">
        <v>27</v>
      </c>
      <c r="E87" s="376" t="s">
        <v>28</v>
      </c>
      <c r="F87" s="623" t="s">
        <v>1275</v>
      </c>
      <c r="G87" s="723">
        <v>0.36</v>
      </c>
      <c r="H87" s="692">
        <v>1</v>
      </c>
      <c r="I87" s="626"/>
      <c r="J87" s="751"/>
      <c r="L87" s="608" t="s">
        <v>28</v>
      </c>
      <c r="M87" s="608" t="s">
        <v>1208</v>
      </c>
      <c r="N87" s="608" t="s">
        <v>1278</v>
      </c>
      <c r="O87" s="608" t="s">
        <v>1279</v>
      </c>
      <c r="P87" s="608"/>
      <c r="Q87" s="608"/>
      <c r="R87" s="608"/>
      <c r="T87" s="751"/>
      <c r="V87" s="609">
        <f t="shared" ref="V87:V89" si="11">IF(W87=1,G87,0)</f>
        <v>0</v>
      </c>
      <c r="W87" s="692"/>
    </row>
    <row r="88" spans="1:23" ht="66" outlineLevel="3" collapsed="1">
      <c r="A88" s="376"/>
      <c r="B88" s="376" t="s">
        <v>74</v>
      </c>
      <c r="C88" s="376" t="s">
        <v>75</v>
      </c>
      <c r="D88" s="376" t="s">
        <v>27</v>
      </c>
      <c r="E88" s="376" t="s">
        <v>28</v>
      </c>
      <c r="F88" s="623" t="s">
        <v>1280</v>
      </c>
      <c r="G88" s="723">
        <v>2.183E-3</v>
      </c>
      <c r="H88" s="692">
        <v>1</v>
      </c>
      <c r="I88" s="626"/>
      <c r="J88" s="751"/>
      <c r="L88" s="608" t="s">
        <v>28</v>
      </c>
      <c r="M88" s="608" t="s">
        <v>1208</v>
      </c>
      <c r="N88" s="608" t="s">
        <v>1278</v>
      </c>
      <c r="O88" s="608" t="s">
        <v>1279</v>
      </c>
      <c r="P88" s="608"/>
      <c r="Q88" s="608"/>
      <c r="R88" s="608"/>
      <c r="T88" s="751"/>
      <c r="V88" s="609">
        <f t="shared" si="11"/>
        <v>0</v>
      </c>
      <c r="W88" s="692"/>
    </row>
    <row r="89" spans="1:23" ht="66" outlineLevel="3">
      <c r="A89" s="376"/>
      <c r="B89" s="376" t="s">
        <v>74</v>
      </c>
      <c r="C89" s="376" t="s">
        <v>75</v>
      </c>
      <c r="D89" s="376" t="s">
        <v>27</v>
      </c>
      <c r="E89" s="376" t="s">
        <v>28</v>
      </c>
      <c r="F89" s="623" t="s">
        <v>1276</v>
      </c>
      <c r="G89" s="720">
        <v>1.0915E-3</v>
      </c>
      <c r="H89" s="700">
        <v>1</v>
      </c>
      <c r="I89" s="626"/>
      <c r="J89" s="751"/>
      <c r="L89" s="608" t="s">
        <v>28</v>
      </c>
      <c r="M89" s="608" t="s">
        <v>1208</v>
      </c>
      <c r="N89" s="608" t="s">
        <v>1278</v>
      </c>
      <c r="O89" s="608" t="s">
        <v>1279</v>
      </c>
      <c r="P89" s="608"/>
      <c r="Q89" s="608"/>
      <c r="R89" s="608"/>
      <c r="T89" s="751"/>
      <c r="V89" s="609">
        <f t="shared" si="11"/>
        <v>0</v>
      </c>
      <c r="W89" s="700"/>
    </row>
    <row r="90" spans="1:23" outlineLevel="2">
      <c r="A90" s="376"/>
      <c r="B90" s="684" t="s">
        <v>74</v>
      </c>
      <c r="C90" s="684" t="s">
        <v>75</v>
      </c>
      <c r="D90" s="684" t="s">
        <v>58</v>
      </c>
      <c r="E90" s="684"/>
      <c r="F90" s="712" t="s">
        <v>77</v>
      </c>
      <c r="G90" s="713">
        <f>SUBTOTAL(9,G91)</f>
        <v>0</v>
      </c>
      <c r="H90" s="714">
        <f>SUBTOTAL(9,H91)</f>
        <v>0</v>
      </c>
      <c r="I90" s="626"/>
      <c r="J90" s="751"/>
      <c r="L90" s="685"/>
      <c r="M90" s="685"/>
      <c r="N90" s="685"/>
      <c r="O90" s="685"/>
      <c r="P90" s="685"/>
      <c r="Q90" s="685"/>
      <c r="R90" s="685"/>
      <c r="T90" s="751"/>
      <c r="V90" s="713">
        <f>SUBTOTAL(9,V91)</f>
        <v>0</v>
      </c>
      <c r="W90" s="714">
        <f>SUBTOTAL(9,W91)</f>
        <v>0</v>
      </c>
    </row>
    <row r="91" spans="1:23" ht="26.4" outlineLevel="3">
      <c r="A91" s="376"/>
      <c r="B91" s="376" t="s">
        <v>74</v>
      </c>
      <c r="C91" s="376" t="s">
        <v>75</v>
      </c>
      <c r="D91" s="376" t="s">
        <v>58</v>
      </c>
      <c r="E91" s="376" t="s">
        <v>28</v>
      </c>
      <c r="F91" s="759" t="s">
        <v>1281</v>
      </c>
      <c r="G91" s="720"/>
      <c r="H91" s="700"/>
      <c r="I91" s="626"/>
      <c r="J91" s="751"/>
      <c r="L91" s="608" t="s">
        <v>28</v>
      </c>
      <c r="M91" s="608" t="s">
        <v>1236</v>
      </c>
      <c r="N91" s="608" t="s">
        <v>1282</v>
      </c>
      <c r="O91" s="608"/>
      <c r="P91" s="608"/>
      <c r="Q91" s="608"/>
      <c r="R91" s="608"/>
      <c r="T91" s="751"/>
      <c r="V91" s="609">
        <f t="shared" ref="V91" si="12">IF(W91=1,G91,0)</f>
        <v>0</v>
      </c>
      <c r="W91" s="700"/>
    </row>
    <row r="92" spans="1:23" s="612" customFormat="1" outlineLevel="1">
      <c r="A92" s="380"/>
      <c r="B92" s="666" t="s">
        <v>91</v>
      </c>
      <c r="C92" s="666" t="s">
        <v>92</v>
      </c>
      <c r="D92" s="666"/>
      <c r="E92" s="666"/>
      <c r="F92" s="681" t="s">
        <v>262</v>
      </c>
      <c r="G92" s="724">
        <f>SUBTOTAL(9,G93:G135)</f>
        <v>9.0478499999999986</v>
      </c>
      <c r="H92" s="725">
        <f>SUBTOTAL(9,H93:H135)</f>
        <v>31</v>
      </c>
      <c r="I92" s="627"/>
      <c r="J92" s="753"/>
      <c r="L92" s="760"/>
      <c r="M92" s="760"/>
      <c r="N92" s="760"/>
      <c r="O92" s="760"/>
      <c r="P92" s="760"/>
      <c r="Q92" s="760"/>
      <c r="R92" s="760"/>
      <c r="T92" s="753"/>
      <c r="V92" s="724">
        <f>SUBTOTAL(9,V93:V135)</f>
        <v>0</v>
      </c>
      <c r="W92" s="725">
        <f>SUBTOTAL(9,W93:W135)</f>
        <v>0</v>
      </c>
    </row>
    <row r="93" spans="1:23" outlineLevel="2">
      <c r="A93" s="376"/>
      <c r="B93" s="684" t="s">
        <v>91</v>
      </c>
      <c r="C93" s="684" t="s">
        <v>92</v>
      </c>
      <c r="D93" s="684" t="s">
        <v>17</v>
      </c>
      <c r="E93" s="687"/>
      <c r="F93" s="685" t="s">
        <v>112</v>
      </c>
      <c r="G93" s="713">
        <f>SUBTOTAL(9,G94:G113)</f>
        <v>7.2038499999999983</v>
      </c>
      <c r="H93" s="714">
        <f>SUBTOTAL(9,H94:H113)</f>
        <v>20</v>
      </c>
      <c r="I93" s="626"/>
      <c r="J93" s="751"/>
      <c r="L93" s="717"/>
      <c r="M93" s="717"/>
      <c r="N93" s="717"/>
      <c r="O93" s="717"/>
      <c r="P93" s="717"/>
      <c r="Q93" s="717"/>
      <c r="R93" s="717"/>
      <c r="T93" s="751"/>
      <c r="V93" s="713">
        <f>SUBTOTAL(9,V94:V113)</f>
        <v>0</v>
      </c>
      <c r="W93" s="714">
        <f>SUBTOTAL(9,W94:W113)</f>
        <v>0</v>
      </c>
    </row>
    <row r="94" spans="1:23" outlineLevel="3">
      <c r="A94" s="376"/>
      <c r="B94" s="376" t="s">
        <v>91</v>
      </c>
      <c r="C94" s="376" t="s">
        <v>92</v>
      </c>
      <c r="D94" s="376" t="s">
        <v>17</v>
      </c>
      <c r="E94" s="387" t="s">
        <v>19</v>
      </c>
      <c r="F94" s="623" t="s">
        <v>1283</v>
      </c>
      <c r="G94" s="695">
        <v>0.2</v>
      </c>
      <c r="H94" s="700">
        <v>1</v>
      </c>
      <c r="I94" s="626"/>
      <c r="J94" s="751"/>
      <c r="L94" s="705" t="s">
        <v>19</v>
      </c>
      <c r="M94" s="705" t="s">
        <v>1284</v>
      </c>
      <c r="N94" s="705" t="s">
        <v>1285</v>
      </c>
      <c r="O94" s="705"/>
      <c r="P94" s="705"/>
      <c r="Q94" s="705"/>
      <c r="R94" s="705"/>
      <c r="T94" s="751"/>
      <c r="V94" s="609">
        <f t="shared" ref="V94:V113" si="13">IF(W94=1,G94,0)</f>
        <v>0</v>
      </c>
      <c r="W94" s="700"/>
    </row>
    <row r="95" spans="1:23" outlineLevel="3">
      <c r="A95" s="376"/>
      <c r="B95" s="376" t="s">
        <v>91</v>
      </c>
      <c r="C95" s="376" t="s">
        <v>92</v>
      </c>
      <c r="D95" s="376" t="s">
        <v>17</v>
      </c>
      <c r="E95" s="387" t="s">
        <v>19</v>
      </c>
      <c r="F95" s="623" t="s">
        <v>1286</v>
      </c>
      <c r="G95" s="695">
        <v>0.41</v>
      </c>
      <c r="H95" s="700">
        <v>1</v>
      </c>
      <c r="I95" s="626"/>
      <c r="J95" s="751"/>
      <c r="L95" s="705" t="s">
        <v>19</v>
      </c>
      <c r="M95" s="705" t="s">
        <v>1284</v>
      </c>
      <c r="N95" s="705" t="s">
        <v>1285</v>
      </c>
      <c r="O95" s="705"/>
      <c r="P95" s="705"/>
      <c r="Q95" s="705"/>
      <c r="R95" s="705"/>
      <c r="T95" s="751"/>
      <c r="V95" s="609">
        <f t="shared" si="13"/>
        <v>0</v>
      </c>
      <c r="W95" s="700"/>
    </row>
    <row r="96" spans="1:23" outlineLevel="3">
      <c r="A96" s="376"/>
      <c r="B96" s="376" t="s">
        <v>91</v>
      </c>
      <c r="C96" s="376" t="s">
        <v>92</v>
      </c>
      <c r="D96" s="376" t="s">
        <v>17</v>
      </c>
      <c r="E96" s="387" t="s">
        <v>19</v>
      </c>
      <c r="F96" s="623" t="s">
        <v>1287</v>
      </c>
      <c r="G96" s="695">
        <v>0.61</v>
      </c>
      <c r="H96" s="700">
        <v>1</v>
      </c>
      <c r="I96" s="626"/>
      <c r="J96" s="751"/>
      <c r="L96" s="705" t="s">
        <v>19</v>
      </c>
      <c r="M96" s="705" t="s">
        <v>1284</v>
      </c>
      <c r="N96" s="705" t="s">
        <v>1285</v>
      </c>
      <c r="O96" s="705"/>
      <c r="P96" s="705"/>
      <c r="Q96" s="705"/>
      <c r="R96" s="705"/>
      <c r="T96" s="751"/>
      <c r="V96" s="609">
        <f t="shared" si="13"/>
        <v>0</v>
      </c>
      <c r="W96" s="700"/>
    </row>
    <row r="97" spans="1:23" outlineLevel="3">
      <c r="A97" s="376"/>
      <c r="B97" s="376" t="s">
        <v>91</v>
      </c>
      <c r="C97" s="376" t="s">
        <v>92</v>
      </c>
      <c r="D97" s="376" t="s">
        <v>17</v>
      </c>
      <c r="E97" s="387" t="s">
        <v>19</v>
      </c>
      <c r="F97" s="623" t="s">
        <v>1288</v>
      </c>
      <c r="G97" s="695">
        <v>0.82</v>
      </c>
      <c r="H97" s="700">
        <v>1</v>
      </c>
      <c r="I97" s="626"/>
      <c r="J97" s="751"/>
      <c r="L97" s="705" t="s">
        <v>19</v>
      </c>
      <c r="M97" s="705" t="s">
        <v>1284</v>
      </c>
      <c r="N97" s="705" t="s">
        <v>1285</v>
      </c>
      <c r="O97" s="705"/>
      <c r="P97" s="705"/>
      <c r="Q97" s="705"/>
      <c r="R97" s="705"/>
      <c r="T97" s="751"/>
      <c r="V97" s="609">
        <f t="shared" si="13"/>
        <v>0</v>
      </c>
      <c r="W97" s="700"/>
    </row>
    <row r="98" spans="1:23" outlineLevel="3">
      <c r="A98" s="376"/>
      <c r="B98" s="376" t="s">
        <v>91</v>
      </c>
      <c r="C98" s="376" t="s">
        <v>92</v>
      </c>
      <c r="D98" s="376" t="s">
        <v>17</v>
      </c>
      <c r="E98" s="387" t="s">
        <v>19</v>
      </c>
      <c r="F98" s="623" t="s">
        <v>1289</v>
      </c>
      <c r="G98" s="695">
        <v>0.48</v>
      </c>
      <c r="H98" s="700">
        <v>1</v>
      </c>
      <c r="I98" s="626"/>
      <c r="J98" s="751"/>
      <c r="L98" s="705" t="s">
        <v>19</v>
      </c>
      <c r="M98" s="705" t="s">
        <v>1285</v>
      </c>
      <c r="N98" s="705" t="s">
        <v>1290</v>
      </c>
      <c r="O98" s="705"/>
      <c r="P98" s="705"/>
      <c r="Q98" s="705"/>
      <c r="R98" s="705"/>
      <c r="T98" s="751"/>
      <c r="V98" s="609">
        <f t="shared" si="13"/>
        <v>0</v>
      </c>
      <c r="W98" s="700"/>
    </row>
    <row r="99" spans="1:23" ht="26.4" outlineLevel="3">
      <c r="A99" s="376"/>
      <c r="B99" s="376" t="s">
        <v>91</v>
      </c>
      <c r="C99" s="376" t="s">
        <v>92</v>
      </c>
      <c r="D99" s="376" t="s">
        <v>17</v>
      </c>
      <c r="E99" s="387" t="s">
        <v>19</v>
      </c>
      <c r="F99" s="623" t="s">
        <v>1291</v>
      </c>
      <c r="G99" s="695">
        <v>0.9638500000000001</v>
      </c>
      <c r="H99" s="700">
        <v>1</v>
      </c>
      <c r="I99" s="626"/>
      <c r="J99" s="751"/>
      <c r="L99" s="705" t="s">
        <v>19</v>
      </c>
      <c r="M99" s="705" t="s">
        <v>1285</v>
      </c>
      <c r="N99" s="705" t="s">
        <v>1290</v>
      </c>
      <c r="O99" s="705"/>
      <c r="P99" s="705"/>
      <c r="Q99" s="705"/>
      <c r="R99" s="705"/>
      <c r="T99" s="751"/>
      <c r="V99" s="609">
        <f t="shared" si="13"/>
        <v>0</v>
      </c>
      <c r="W99" s="700"/>
    </row>
    <row r="100" spans="1:23" outlineLevel="3">
      <c r="A100" s="376"/>
      <c r="B100" s="376" t="s">
        <v>91</v>
      </c>
      <c r="C100" s="376" t="s">
        <v>92</v>
      </c>
      <c r="D100" s="376" t="s">
        <v>17</v>
      </c>
      <c r="E100" s="387" t="s">
        <v>19</v>
      </c>
      <c r="F100" s="623" t="s">
        <v>1292</v>
      </c>
      <c r="G100" s="695">
        <v>0.52</v>
      </c>
      <c r="H100" s="700">
        <v>1</v>
      </c>
      <c r="I100" s="626"/>
      <c r="J100" s="751"/>
      <c r="L100" s="705" t="s">
        <v>19</v>
      </c>
      <c r="M100" s="705" t="s">
        <v>1290</v>
      </c>
      <c r="N100" s="705" t="s">
        <v>1293</v>
      </c>
      <c r="O100" s="705"/>
      <c r="P100" s="705"/>
      <c r="Q100" s="705"/>
      <c r="R100" s="705"/>
      <c r="T100" s="751"/>
      <c r="V100" s="609">
        <f t="shared" si="13"/>
        <v>0</v>
      </c>
      <c r="W100" s="700"/>
    </row>
    <row r="101" spans="1:23" outlineLevel="3">
      <c r="A101" s="376"/>
      <c r="B101" s="376" t="s">
        <v>91</v>
      </c>
      <c r="C101" s="376" t="s">
        <v>92</v>
      </c>
      <c r="D101" s="376" t="s">
        <v>17</v>
      </c>
      <c r="E101" s="387" t="s">
        <v>19</v>
      </c>
      <c r="F101" s="623" t="s">
        <v>1294</v>
      </c>
      <c r="G101" s="695">
        <v>0.52</v>
      </c>
      <c r="H101" s="700">
        <v>1</v>
      </c>
      <c r="I101" s="626"/>
      <c r="J101" s="751"/>
      <c r="L101" s="705" t="s">
        <v>19</v>
      </c>
      <c r="M101" s="705" t="s">
        <v>1295</v>
      </c>
      <c r="N101" s="705" t="s">
        <v>1285</v>
      </c>
      <c r="O101" s="705"/>
      <c r="P101" s="705"/>
      <c r="Q101" s="705"/>
      <c r="R101" s="705"/>
      <c r="T101" s="751"/>
      <c r="V101" s="609">
        <f t="shared" si="13"/>
        <v>0</v>
      </c>
      <c r="W101" s="700"/>
    </row>
    <row r="102" spans="1:23" outlineLevel="3">
      <c r="A102" s="376"/>
      <c r="B102" s="376" t="s">
        <v>91</v>
      </c>
      <c r="C102" s="376" t="s">
        <v>92</v>
      </c>
      <c r="D102" s="376" t="s">
        <v>17</v>
      </c>
      <c r="E102" s="387" t="s">
        <v>19</v>
      </c>
      <c r="F102" s="623" t="s">
        <v>1296</v>
      </c>
      <c r="G102" s="695">
        <v>0.52</v>
      </c>
      <c r="H102" s="700">
        <v>1</v>
      </c>
      <c r="I102" s="626"/>
      <c r="J102" s="751"/>
      <c r="L102" s="705" t="s">
        <v>19</v>
      </c>
      <c r="M102" s="705" t="s">
        <v>1285</v>
      </c>
      <c r="N102" s="705" t="s">
        <v>1295</v>
      </c>
      <c r="O102" s="705"/>
      <c r="P102" s="705"/>
      <c r="Q102" s="705"/>
      <c r="R102" s="705"/>
      <c r="T102" s="751"/>
      <c r="V102" s="609">
        <f t="shared" si="13"/>
        <v>0</v>
      </c>
      <c r="W102" s="700"/>
    </row>
    <row r="103" spans="1:23" outlineLevel="3">
      <c r="A103" s="376"/>
      <c r="B103" s="376" t="s">
        <v>91</v>
      </c>
      <c r="C103" s="376" t="s">
        <v>92</v>
      </c>
      <c r="D103" s="376" t="s">
        <v>17</v>
      </c>
      <c r="E103" s="387" t="s">
        <v>19</v>
      </c>
      <c r="F103" s="623" t="s">
        <v>1297</v>
      </c>
      <c r="G103" s="695">
        <v>0.17</v>
      </c>
      <c r="H103" s="700">
        <v>1</v>
      </c>
      <c r="I103" s="626"/>
      <c r="J103" s="751"/>
      <c r="L103" s="705" t="s">
        <v>19</v>
      </c>
      <c r="M103" s="705" t="s">
        <v>1284</v>
      </c>
      <c r="N103" s="705" t="s">
        <v>1285</v>
      </c>
      <c r="O103" s="705"/>
      <c r="P103" s="705"/>
      <c r="Q103" s="705"/>
      <c r="R103" s="705"/>
      <c r="T103" s="751"/>
      <c r="V103" s="609">
        <f t="shared" si="13"/>
        <v>0</v>
      </c>
      <c r="W103" s="700"/>
    </row>
    <row r="104" spans="1:23" outlineLevel="3">
      <c r="A104" s="376"/>
      <c r="B104" s="376" t="s">
        <v>91</v>
      </c>
      <c r="C104" s="376" t="s">
        <v>92</v>
      </c>
      <c r="D104" s="376" t="s">
        <v>17</v>
      </c>
      <c r="E104" s="387" t="s">
        <v>19</v>
      </c>
      <c r="F104" s="623" t="s">
        <v>1298</v>
      </c>
      <c r="G104" s="695">
        <v>0.48</v>
      </c>
      <c r="H104" s="700">
        <v>1</v>
      </c>
      <c r="I104" s="626"/>
      <c r="J104" s="751"/>
      <c r="L104" s="705" t="s">
        <v>19</v>
      </c>
      <c r="M104" s="705" t="s">
        <v>1285</v>
      </c>
      <c r="N104" s="705" t="s">
        <v>1290</v>
      </c>
      <c r="O104" s="705"/>
      <c r="P104" s="705"/>
      <c r="Q104" s="705"/>
      <c r="R104" s="705"/>
      <c r="T104" s="751"/>
      <c r="V104" s="609">
        <f t="shared" si="13"/>
        <v>0</v>
      </c>
      <c r="W104" s="700"/>
    </row>
    <row r="105" spans="1:23" outlineLevel="3">
      <c r="A105" s="376"/>
      <c r="B105" s="376" t="s">
        <v>91</v>
      </c>
      <c r="C105" s="376" t="s">
        <v>92</v>
      </c>
      <c r="D105" s="376" t="s">
        <v>17</v>
      </c>
      <c r="E105" s="387" t="s">
        <v>19</v>
      </c>
      <c r="F105" s="623" t="s">
        <v>1299</v>
      </c>
      <c r="G105" s="695">
        <v>0.24</v>
      </c>
      <c r="H105" s="700">
        <v>1</v>
      </c>
      <c r="I105" s="626"/>
      <c r="J105" s="751"/>
      <c r="L105" s="705" t="s">
        <v>19</v>
      </c>
      <c r="M105" s="705" t="s">
        <v>1285</v>
      </c>
      <c r="N105" s="705" t="s">
        <v>1290</v>
      </c>
      <c r="O105" s="705"/>
      <c r="P105" s="705"/>
      <c r="Q105" s="705"/>
      <c r="R105" s="705"/>
      <c r="T105" s="751"/>
      <c r="V105" s="609">
        <f t="shared" si="13"/>
        <v>0</v>
      </c>
      <c r="W105" s="700"/>
    </row>
    <row r="106" spans="1:23" ht="26.4" outlineLevel="3">
      <c r="A106" s="376"/>
      <c r="B106" s="376" t="s">
        <v>91</v>
      </c>
      <c r="C106" s="376" t="s">
        <v>92</v>
      </c>
      <c r="D106" s="376" t="s">
        <v>17</v>
      </c>
      <c r="E106" s="387" t="s">
        <v>19</v>
      </c>
      <c r="F106" s="623" t="s">
        <v>1300</v>
      </c>
      <c r="G106" s="695">
        <v>0.96</v>
      </c>
      <c r="H106" s="700">
        <v>1</v>
      </c>
      <c r="I106" s="626"/>
      <c r="J106" s="751"/>
      <c r="L106" s="705" t="s">
        <v>19</v>
      </c>
      <c r="M106" s="705" t="s">
        <v>1285</v>
      </c>
      <c r="N106" s="705" t="s">
        <v>1290</v>
      </c>
      <c r="O106" s="705"/>
      <c r="P106" s="705"/>
      <c r="Q106" s="705"/>
      <c r="R106" s="705"/>
      <c r="T106" s="751"/>
      <c r="V106" s="609">
        <f t="shared" si="13"/>
        <v>0</v>
      </c>
      <c r="W106" s="700"/>
    </row>
    <row r="107" spans="1:23" outlineLevel="3">
      <c r="A107" s="376"/>
      <c r="B107" s="376" t="s">
        <v>91</v>
      </c>
      <c r="C107" s="376" t="s">
        <v>92</v>
      </c>
      <c r="D107" s="376" t="s">
        <v>17</v>
      </c>
      <c r="E107" s="387" t="s">
        <v>19</v>
      </c>
      <c r="F107" s="623" t="s">
        <v>1301</v>
      </c>
      <c r="G107" s="695">
        <v>0.02</v>
      </c>
      <c r="H107" s="700">
        <v>1</v>
      </c>
      <c r="I107" s="626"/>
      <c r="J107" s="751"/>
      <c r="L107" s="705" t="s">
        <v>19</v>
      </c>
      <c r="M107" s="705" t="s">
        <v>1285</v>
      </c>
      <c r="N107" s="705" t="s">
        <v>1290</v>
      </c>
      <c r="O107" s="705"/>
      <c r="P107" s="705"/>
      <c r="Q107" s="705"/>
      <c r="R107" s="705"/>
      <c r="T107" s="751"/>
      <c r="V107" s="609">
        <f t="shared" si="13"/>
        <v>0</v>
      </c>
      <c r="W107" s="700"/>
    </row>
    <row r="108" spans="1:23" outlineLevel="3">
      <c r="A108" s="376"/>
      <c r="B108" s="376" t="s">
        <v>91</v>
      </c>
      <c r="C108" s="376" t="s">
        <v>92</v>
      </c>
      <c r="D108" s="376" t="s">
        <v>17</v>
      </c>
      <c r="E108" s="387" t="s">
        <v>19</v>
      </c>
      <c r="F108" s="623" t="s">
        <v>1302</v>
      </c>
      <c r="G108" s="695">
        <v>0.03</v>
      </c>
      <c r="H108" s="700">
        <v>1</v>
      </c>
      <c r="I108" s="626"/>
      <c r="J108" s="751"/>
      <c r="L108" s="705" t="s">
        <v>19</v>
      </c>
      <c r="M108" s="705" t="s">
        <v>1284</v>
      </c>
      <c r="N108" s="705" t="s">
        <v>1285</v>
      </c>
      <c r="O108" s="705"/>
      <c r="P108" s="705"/>
      <c r="Q108" s="705"/>
      <c r="R108" s="705"/>
      <c r="T108" s="751"/>
      <c r="V108" s="609">
        <f t="shared" si="13"/>
        <v>0</v>
      </c>
      <c r="W108" s="700"/>
    </row>
    <row r="109" spans="1:23" outlineLevel="3">
      <c r="A109" s="376"/>
      <c r="B109" s="376" t="s">
        <v>91</v>
      </c>
      <c r="C109" s="376" t="s">
        <v>92</v>
      </c>
      <c r="D109" s="376" t="s">
        <v>17</v>
      </c>
      <c r="E109" s="387" t="s">
        <v>19</v>
      </c>
      <c r="F109" s="623" t="s">
        <v>1275</v>
      </c>
      <c r="G109" s="695">
        <v>0.03</v>
      </c>
      <c r="H109" s="700">
        <v>1</v>
      </c>
      <c r="I109" s="626"/>
      <c r="J109" s="751"/>
      <c r="L109" s="705" t="s">
        <v>19</v>
      </c>
      <c r="M109" s="705" t="s">
        <v>1284</v>
      </c>
      <c r="N109" s="705" t="s">
        <v>1285</v>
      </c>
      <c r="O109" s="705"/>
      <c r="P109" s="705"/>
      <c r="Q109" s="705"/>
      <c r="R109" s="705"/>
      <c r="T109" s="751"/>
      <c r="V109" s="609">
        <f t="shared" si="13"/>
        <v>0</v>
      </c>
      <c r="W109" s="700"/>
    </row>
    <row r="110" spans="1:23" outlineLevel="3">
      <c r="A110" s="376"/>
      <c r="B110" s="376" t="s">
        <v>91</v>
      </c>
      <c r="C110" s="376" t="s">
        <v>92</v>
      </c>
      <c r="D110" s="376" t="s">
        <v>17</v>
      </c>
      <c r="E110" s="387" t="s">
        <v>19</v>
      </c>
      <c r="F110" s="623" t="s">
        <v>1303</v>
      </c>
      <c r="G110" s="695">
        <v>1.4999999999999999E-2</v>
      </c>
      <c r="H110" s="700">
        <v>1</v>
      </c>
      <c r="I110" s="626"/>
      <c r="J110" s="751"/>
      <c r="L110" s="705" t="s">
        <v>19</v>
      </c>
      <c r="M110" s="705" t="s">
        <v>1284</v>
      </c>
      <c r="N110" s="705" t="s">
        <v>1285</v>
      </c>
      <c r="O110" s="705"/>
      <c r="P110" s="705"/>
      <c r="Q110" s="705"/>
      <c r="R110" s="705"/>
      <c r="T110" s="751"/>
      <c r="V110" s="609">
        <f t="shared" si="13"/>
        <v>0</v>
      </c>
      <c r="W110" s="700"/>
    </row>
    <row r="111" spans="1:23" outlineLevel="3">
      <c r="A111" s="376"/>
      <c r="B111" s="376" t="s">
        <v>91</v>
      </c>
      <c r="C111" s="376" t="s">
        <v>92</v>
      </c>
      <c r="D111" s="376" t="s">
        <v>17</v>
      </c>
      <c r="E111" s="387" t="s">
        <v>19</v>
      </c>
      <c r="F111" s="623" t="s">
        <v>1304</v>
      </c>
      <c r="G111" s="695">
        <v>1.4999999999999999E-2</v>
      </c>
      <c r="H111" s="700">
        <v>1</v>
      </c>
      <c r="I111" s="626"/>
      <c r="J111" s="751"/>
      <c r="L111" s="705" t="s">
        <v>19</v>
      </c>
      <c r="M111" s="705" t="s">
        <v>1284</v>
      </c>
      <c r="N111" s="705" t="s">
        <v>1285</v>
      </c>
      <c r="O111" s="705"/>
      <c r="P111" s="705"/>
      <c r="Q111" s="705"/>
      <c r="R111" s="705"/>
      <c r="T111" s="751"/>
      <c r="V111" s="609">
        <f t="shared" si="13"/>
        <v>0</v>
      </c>
      <c r="W111" s="700"/>
    </row>
    <row r="112" spans="1:23" outlineLevel="3">
      <c r="A112" s="376"/>
      <c r="B112" s="376" t="s">
        <v>91</v>
      </c>
      <c r="C112" s="376" t="s">
        <v>92</v>
      </c>
      <c r="D112" s="376" t="s">
        <v>17</v>
      </c>
      <c r="E112" s="387" t="s">
        <v>19</v>
      </c>
      <c r="F112" s="623" t="s">
        <v>1271</v>
      </c>
      <c r="G112" s="695">
        <v>0.1</v>
      </c>
      <c r="H112" s="700">
        <v>1</v>
      </c>
      <c r="I112" s="626"/>
      <c r="J112" s="751"/>
      <c r="L112" s="705" t="s">
        <v>19</v>
      </c>
      <c r="M112" s="705" t="s">
        <v>1284</v>
      </c>
      <c r="N112" s="705" t="s">
        <v>1285</v>
      </c>
      <c r="O112" s="705"/>
      <c r="P112" s="705"/>
      <c r="Q112" s="705"/>
      <c r="R112" s="705"/>
      <c r="T112" s="751"/>
      <c r="V112" s="609">
        <f t="shared" si="13"/>
        <v>0</v>
      </c>
      <c r="W112" s="700"/>
    </row>
    <row r="113" spans="1:23" outlineLevel="3">
      <c r="A113" s="376"/>
      <c r="B113" s="376" t="s">
        <v>91</v>
      </c>
      <c r="C113" s="376" t="s">
        <v>92</v>
      </c>
      <c r="D113" s="376" t="s">
        <v>17</v>
      </c>
      <c r="E113" s="387" t="s">
        <v>19</v>
      </c>
      <c r="F113" s="623" t="s">
        <v>1305</v>
      </c>
      <c r="G113" s="695">
        <v>0.1</v>
      </c>
      <c r="H113" s="692">
        <v>1</v>
      </c>
      <c r="I113" s="626"/>
      <c r="J113" s="751"/>
      <c r="L113" s="705" t="s">
        <v>19</v>
      </c>
      <c r="M113" s="705" t="s">
        <v>1306</v>
      </c>
      <c r="N113" s="705"/>
      <c r="O113" s="705"/>
      <c r="P113" s="705"/>
      <c r="Q113" s="705"/>
      <c r="R113" s="705"/>
      <c r="T113" s="751"/>
      <c r="V113" s="609">
        <f t="shared" si="13"/>
        <v>0</v>
      </c>
      <c r="W113" s="692"/>
    </row>
    <row r="114" spans="1:23" outlineLevel="2">
      <c r="A114" s="376"/>
      <c r="B114" s="684" t="s">
        <v>91</v>
      </c>
      <c r="C114" s="684" t="s">
        <v>92</v>
      </c>
      <c r="D114" s="684" t="s">
        <v>25</v>
      </c>
      <c r="E114" s="684"/>
      <c r="F114" s="712" t="s">
        <v>77</v>
      </c>
      <c r="G114" s="713">
        <f>SUBTOTAL(9,G115:G121)</f>
        <v>1.7000000000000002</v>
      </c>
      <c r="H114" s="714">
        <f>SUBTOTAL(9,H115:H121)</f>
        <v>7</v>
      </c>
      <c r="I114" s="626"/>
      <c r="J114" s="751"/>
      <c r="L114" s="685"/>
      <c r="M114" s="685"/>
      <c r="N114" s="685"/>
      <c r="O114" s="685"/>
      <c r="P114" s="685"/>
      <c r="Q114" s="685"/>
      <c r="R114" s="685"/>
      <c r="T114" s="751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91</v>
      </c>
      <c r="C115" s="376" t="s">
        <v>92</v>
      </c>
      <c r="D115" s="376" t="s">
        <v>25</v>
      </c>
      <c r="E115" s="376" t="s">
        <v>26</v>
      </c>
      <c r="F115" s="623" t="s">
        <v>1298</v>
      </c>
      <c r="G115" s="720">
        <v>0.2</v>
      </c>
      <c r="H115" s="700">
        <v>1</v>
      </c>
      <c r="I115" s="626"/>
      <c r="J115" s="751"/>
      <c r="L115" s="608" t="s">
        <v>26</v>
      </c>
      <c r="M115" s="608" t="s">
        <v>1272</v>
      </c>
      <c r="N115" s="608" t="s">
        <v>1307</v>
      </c>
      <c r="O115" s="608" t="s">
        <v>1273</v>
      </c>
      <c r="P115" s="608" t="s">
        <v>1274</v>
      </c>
      <c r="Q115" s="608"/>
      <c r="R115" s="608"/>
      <c r="T115" s="751"/>
      <c r="V115" s="609">
        <f t="shared" ref="V115:V121" si="14">IF(W115=1,G115,0)</f>
        <v>0</v>
      </c>
      <c r="W115" s="700"/>
    </row>
    <row r="116" spans="1:23" outlineLevel="3">
      <c r="A116" s="376"/>
      <c r="B116" s="376" t="s">
        <v>91</v>
      </c>
      <c r="C116" s="376" t="s">
        <v>92</v>
      </c>
      <c r="D116" s="376" t="s">
        <v>25</v>
      </c>
      <c r="E116" s="376" t="s">
        <v>26</v>
      </c>
      <c r="F116" s="623" t="s">
        <v>1299</v>
      </c>
      <c r="G116" s="720">
        <v>0.4</v>
      </c>
      <c r="H116" s="692">
        <v>1</v>
      </c>
      <c r="I116" s="626"/>
      <c r="J116" s="751"/>
      <c r="L116" s="608" t="s">
        <v>26</v>
      </c>
      <c r="M116" s="608" t="s">
        <v>1272</v>
      </c>
      <c r="N116" s="608" t="s">
        <v>1307</v>
      </c>
      <c r="O116" s="608" t="s">
        <v>1273</v>
      </c>
      <c r="P116" s="608" t="s">
        <v>1274</v>
      </c>
      <c r="Q116" s="608"/>
      <c r="R116" s="608"/>
      <c r="T116" s="751"/>
      <c r="V116" s="609">
        <f t="shared" si="14"/>
        <v>0</v>
      </c>
      <c r="W116" s="692"/>
    </row>
    <row r="117" spans="1:23" outlineLevel="3">
      <c r="A117" s="376"/>
      <c r="B117" s="376" t="s">
        <v>91</v>
      </c>
      <c r="C117" s="376" t="s">
        <v>92</v>
      </c>
      <c r="D117" s="376" t="s">
        <v>25</v>
      </c>
      <c r="E117" s="376" t="s">
        <v>26</v>
      </c>
      <c r="F117" s="623" t="s">
        <v>1308</v>
      </c>
      <c r="G117" s="720">
        <v>0.32</v>
      </c>
      <c r="H117" s="692">
        <v>1</v>
      </c>
      <c r="I117" s="626"/>
      <c r="J117" s="751"/>
      <c r="L117" s="608" t="s">
        <v>26</v>
      </c>
      <c r="M117" s="608" t="s">
        <v>1272</v>
      </c>
      <c r="N117" s="608" t="s">
        <v>1309</v>
      </c>
      <c r="O117" s="608" t="s">
        <v>72</v>
      </c>
      <c r="P117" s="608" t="s">
        <v>1274</v>
      </c>
      <c r="Q117" s="608"/>
      <c r="R117" s="608"/>
      <c r="T117" s="751"/>
      <c r="V117" s="609">
        <f t="shared" si="14"/>
        <v>0</v>
      </c>
      <c r="W117" s="692"/>
    </row>
    <row r="118" spans="1:23" outlineLevel="3">
      <c r="A118" s="376"/>
      <c r="B118" s="376" t="s">
        <v>91</v>
      </c>
      <c r="C118" s="376" t="s">
        <v>92</v>
      </c>
      <c r="D118" s="376" t="s">
        <v>25</v>
      </c>
      <c r="E118" s="376" t="s">
        <v>26</v>
      </c>
      <c r="F118" s="623" t="s">
        <v>1310</v>
      </c>
      <c r="G118" s="720">
        <v>0.32</v>
      </c>
      <c r="H118" s="692">
        <v>1</v>
      </c>
      <c r="I118" s="626"/>
      <c r="J118" s="751"/>
      <c r="L118" s="608" t="s">
        <v>26</v>
      </c>
      <c r="M118" s="608" t="s">
        <v>1272</v>
      </c>
      <c r="N118" s="608" t="s">
        <v>1309</v>
      </c>
      <c r="O118" s="608" t="s">
        <v>72</v>
      </c>
      <c r="P118" s="608" t="s">
        <v>1274</v>
      </c>
      <c r="Q118" s="608"/>
      <c r="R118" s="608"/>
      <c r="T118" s="751"/>
      <c r="V118" s="609">
        <f t="shared" si="14"/>
        <v>0</v>
      </c>
      <c r="W118" s="692"/>
    </row>
    <row r="119" spans="1:23" outlineLevel="3">
      <c r="A119" s="376"/>
      <c r="B119" s="376" t="s">
        <v>91</v>
      </c>
      <c r="C119" s="376" t="s">
        <v>92</v>
      </c>
      <c r="D119" s="376" t="s">
        <v>25</v>
      </c>
      <c r="E119" s="376" t="s">
        <v>26</v>
      </c>
      <c r="F119" s="623" t="s">
        <v>1311</v>
      </c>
      <c r="G119" s="720">
        <v>0.43</v>
      </c>
      <c r="H119" s="692">
        <v>1</v>
      </c>
      <c r="I119" s="626"/>
      <c r="J119" s="751"/>
      <c r="L119" s="608" t="s">
        <v>26</v>
      </c>
      <c r="M119" s="608" t="s">
        <v>1272</v>
      </c>
      <c r="N119" s="608" t="s">
        <v>1309</v>
      </c>
      <c r="O119" s="608" t="s">
        <v>1273</v>
      </c>
      <c r="P119" s="608" t="s">
        <v>1312</v>
      </c>
      <c r="Q119" s="608"/>
      <c r="R119" s="608"/>
      <c r="T119" s="751"/>
      <c r="V119" s="609">
        <f t="shared" si="14"/>
        <v>0</v>
      </c>
      <c r="W119" s="692"/>
    </row>
    <row r="120" spans="1:23" outlineLevel="3">
      <c r="A120" s="376"/>
      <c r="B120" s="376" t="s">
        <v>91</v>
      </c>
      <c r="C120" s="376" t="s">
        <v>92</v>
      </c>
      <c r="D120" s="376" t="s">
        <v>25</v>
      </c>
      <c r="E120" s="376" t="s">
        <v>26</v>
      </c>
      <c r="F120" s="623" t="s">
        <v>1271</v>
      </c>
      <c r="G120" s="720">
        <v>0.02</v>
      </c>
      <c r="H120" s="700">
        <v>1</v>
      </c>
      <c r="I120" s="626"/>
      <c r="J120" s="751"/>
      <c r="L120" s="608" t="s">
        <v>26</v>
      </c>
      <c r="M120" s="608" t="s">
        <v>1272</v>
      </c>
      <c r="N120" s="608" t="s">
        <v>1273</v>
      </c>
      <c r="O120" s="608" t="s">
        <v>72</v>
      </c>
      <c r="P120" s="608" t="s">
        <v>1312</v>
      </c>
      <c r="Q120" s="608"/>
      <c r="R120" s="608"/>
      <c r="T120" s="751"/>
      <c r="V120" s="609">
        <f t="shared" si="14"/>
        <v>0</v>
      </c>
      <c r="W120" s="700"/>
    </row>
    <row r="121" spans="1:23" outlineLevel="3">
      <c r="A121" s="376"/>
      <c r="B121" s="376" t="s">
        <v>91</v>
      </c>
      <c r="C121" s="376" t="s">
        <v>92</v>
      </c>
      <c r="D121" s="376" t="s">
        <v>25</v>
      </c>
      <c r="E121" s="376" t="s">
        <v>26</v>
      </c>
      <c r="F121" s="623" t="s">
        <v>1275</v>
      </c>
      <c r="G121" s="720">
        <v>0.01</v>
      </c>
      <c r="H121" s="700">
        <v>1</v>
      </c>
      <c r="I121" s="626"/>
      <c r="J121" s="751"/>
      <c r="L121" s="608" t="s">
        <v>26</v>
      </c>
      <c r="M121" s="608" t="s">
        <v>1272</v>
      </c>
      <c r="N121" s="608" t="s">
        <v>1273</v>
      </c>
      <c r="O121" s="608" t="s">
        <v>72</v>
      </c>
      <c r="P121" s="608" t="s">
        <v>1312</v>
      </c>
      <c r="Q121" s="608"/>
      <c r="R121" s="608"/>
      <c r="T121" s="751"/>
      <c r="V121" s="609">
        <f t="shared" si="14"/>
        <v>0</v>
      </c>
      <c r="W121" s="700"/>
    </row>
    <row r="122" spans="1:23" outlineLevel="2">
      <c r="A122" s="376"/>
      <c r="B122" s="684" t="s">
        <v>91</v>
      </c>
      <c r="C122" s="684" t="s">
        <v>92</v>
      </c>
      <c r="D122" s="684" t="s">
        <v>27</v>
      </c>
      <c r="E122" s="684"/>
      <c r="F122" s="685" t="s">
        <v>112</v>
      </c>
      <c r="G122" s="713">
        <f>SUBTOTAL(9,G123:G132)</f>
        <v>0.14400000000000002</v>
      </c>
      <c r="H122" s="714">
        <f>SUBTOTAL(9,H123:H132)</f>
        <v>4</v>
      </c>
      <c r="I122" s="626"/>
      <c r="J122" s="751"/>
      <c r="L122" s="685"/>
      <c r="M122" s="685"/>
      <c r="N122" s="685"/>
      <c r="O122" s="685"/>
      <c r="P122" s="685"/>
      <c r="Q122" s="685"/>
      <c r="R122" s="685"/>
      <c r="T122" s="751"/>
      <c r="V122" s="713">
        <f>SUBTOTAL(9,V123:V132)</f>
        <v>0</v>
      </c>
      <c r="W122" s="714">
        <f>SUBTOTAL(9,W123:W132)</f>
        <v>0</v>
      </c>
    </row>
    <row r="123" spans="1:23" ht="39.6" outlineLevel="3">
      <c r="A123" s="376"/>
      <c r="B123" s="376" t="s">
        <v>91</v>
      </c>
      <c r="C123" s="376" t="s">
        <v>92</v>
      </c>
      <c r="D123" s="376" t="s">
        <v>27</v>
      </c>
      <c r="E123" s="376" t="s">
        <v>28</v>
      </c>
      <c r="F123" s="765" t="s">
        <v>1298</v>
      </c>
      <c r="G123" s="723"/>
      <c r="H123" s="692"/>
      <c r="I123" s="626"/>
      <c r="J123" s="751"/>
      <c r="L123" s="608" t="s">
        <v>28</v>
      </c>
      <c r="M123" s="608" t="s">
        <v>1208</v>
      </c>
      <c r="N123" s="608" t="s">
        <v>1313</v>
      </c>
      <c r="O123" s="608" t="s">
        <v>1314</v>
      </c>
      <c r="P123" s="608"/>
      <c r="Q123" s="608"/>
      <c r="R123" s="608"/>
      <c r="T123" s="751"/>
      <c r="V123" s="609">
        <f t="shared" ref="V123:V132" si="15">IF(W123=1,G123,0)</f>
        <v>0</v>
      </c>
      <c r="W123" s="692"/>
    </row>
    <row r="124" spans="1:23" ht="39.6" outlineLevel="3">
      <c r="A124" s="376"/>
      <c r="B124" s="376" t="s">
        <v>91</v>
      </c>
      <c r="C124" s="376" t="s">
        <v>92</v>
      </c>
      <c r="D124" s="376" t="s">
        <v>27</v>
      </c>
      <c r="E124" s="376" t="s">
        <v>28</v>
      </c>
      <c r="F124" s="765" t="s">
        <v>1299</v>
      </c>
      <c r="G124" s="723"/>
      <c r="H124" s="692"/>
      <c r="I124" s="626"/>
      <c r="J124" s="751"/>
      <c r="L124" s="608" t="s">
        <v>28</v>
      </c>
      <c r="M124" s="608" t="s">
        <v>1208</v>
      </c>
      <c r="N124" s="608" t="s">
        <v>1313</v>
      </c>
      <c r="O124" s="608" t="s">
        <v>1314</v>
      </c>
      <c r="P124" s="608"/>
      <c r="Q124" s="608"/>
      <c r="R124" s="608"/>
      <c r="T124" s="751"/>
      <c r="V124" s="609">
        <f t="shared" si="15"/>
        <v>0</v>
      </c>
      <c r="W124" s="692"/>
    </row>
    <row r="125" spans="1:23" ht="39.6" outlineLevel="3">
      <c r="A125" s="376"/>
      <c r="B125" s="376" t="s">
        <v>91</v>
      </c>
      <c r="C125" s="376" t="s">
        <v>92</v>
      </c>
      <c r="D125" s="376" t="s">
        <v>27</v>
      </c>
      <c r="E125" s="376" t="s">
        <v>28</v>
      </c>
      <c r="F125" s="767" t="s">
        <v>1315</v>
      </c>
      <c r="G125" s="720">
        <v>0.02</v>
      </c>
      <c r="H125" s="700">
        <v>1</v>
      </c>
      <c r="I125" s="626"/>
      <c r="J125" s="751"/>
      <c r="L125" s="608" t="s">
        <v>28</v>
      </c>
      <c r="M125" s="608" t="s">
        <v>1208</v>
      </c>
      <c r="N125" s="608" t="s">
        <v>1313</v>
      </c>
      <c r="O125" s="608" t="s">
        <v>1314</v>
      </c>
      <c r="P125" s="608"/>
      <c r="Q125" s="608"/>
      <c r="R125" s="608"/>
      <c r="T125" s="751"/>
      <c r="V125" s="609">
        <f t="shared" si="15"/>
        <v>0</v>
      </c>
      <c r="W125" s="700"/>
    </row>
    <row r="126" spans="1:23" ht="39.6" outlineLevel="3">
      <c r="A126" s="376"/>
      <c r="B126" s="376" t="s">
        <v>91</v>
      </c>
      <c r="C126" s="376" t="s">
        <v>92</v>
      </c>
      <c r="D126" s="376" t="s">
        <v>27</v>
      </c>
      <c r="E126" s="376" t="s">
        <v>28</v>
      </c>
      <c r="F126" s="766" t="s">
        <v>1316</v>
      </c>
      <c r="G126" s="720">
        <v>0.06</v>
      </c>
      <c r="H126" s="700">
        <v>1</v>
      </c>
      <c r="I126" s="626"/>
      <c r="J126" s="751"/>
      <c r="L126" s="608" t="s">
        <v>28</v>
      </c>
      <c r="M126" s="608" t="s">
        <v>1208</v>
      </c>
      <c r="N126" s="608" t="s">
        <v>1313</v>
      </c>
      <c r="O126" s="608" t="s">
        <v>1314</v>
      </c>
      <c r="P126" s="608"/>
      <c r="Q126" s="608"/>
      <c r="R126" s="608"/>
      <c r="T126" s="751"/>
      <c r="V126" s="609">
        <f t="shared" si="15"/>
        <v>0</v>
      </c>
      <c r="W126" s="700"/>
    </row>
    <row r="127" spans="1:23" ht="39.6" outlineLevel="3">
      <c r="A127" s="376"/>
      <c r="B127" s="376" t="s">
        <v>91</v>
      </c>
      <c r="C127" s="376" t="s">
        <v>92</v>
      </c>
      <c r="D127" s="376" t="s">
        <v>27</v>
      </c>
      <c r="E127" s="376" t="s">
        <v>28</v>
      </c>
      <c r="F127" s="766" t="s">
        <v>1317</v>
      </c>
      <c r="G127" s="720">
        <v>0.06</v>
      </c>
      <c r="H127" s="700">
        <v>1</v>
      </c>
      <c r="I127" s="626"/>
      <c r="J127" s="751"/>
      <c r="L127" s="608" t="s">
        <v>28</v>
      </c>
      <c r="M127" s="608" t="s">
        <v>1208</v>
      </c>
      <c r="N127" s="608" t="s">
        <v>1313</v>
      </c>
      <c r="O127" s="608" t="s">
        <v>1314</v>
      </c>
      <c r="P127" s="608"/>
      <c r="Q127" s="608"/>
      <c r="R127" s="608"/>
      <c r="T127" s="751"/>
      <c r="V127" s="609">
        <f t="shared" si="15"/>
        <v>0</v>
      </c>
      <c r="W127" s="700"/>
    </row>
    <row r="128" spans="1:23" ht="39.6" outlineLevel="3">
      <c r="A128" s="376"/>
      <c r="B128" s="376" t="s">
        <v>91</v>
      </c>
      <c r="C128" s="376" t="s">
        <v>92</v>
      </c>
      <c r="D128" s="376" t="s">
        <v>27</v>
      </c>
      <c r="E128" s="376" t="s">
        <v>28</v>
      </c>
      <c r="F128" s="767" t="s">
        <v>1301</v>
      </c>
      <c r="G128" s="720">
        <v>4.0000000000000001E-3</v>
      </c>
      <c r="H128" s="692">
        <v>1</v>
      </c>
      <c r="I128" s="626"/>
      <c r="J128" s="751"/>
      <c r="L128" s="608" t="s">
        <v>28</v>
      </c>
      <c r="M128" s="608" t="s">
        <v>1208</v>
      </c>
      <c r="N128" s="608" t="s">
        <v>1313</v>
      </c>
      <c r="O128" s="608" t="s">
        <v>1314</v>
      </c>
      <c r="P128" s="608"/>
      <c r="Q128" s="608"/>
      <c r="R128" s="608"/>
      <c r="T128" s="751"/>
      <c r="V128" s="609">
        <f t="shared" si="15"/>
        <v>0</v>
      </c>
      <c r="W128" s="692"/>
    </row>
    <row r="129" spans="1:23" ht="39.6" outlineLevel="3">
      <c r="A129" s="376"/>
      <c r="B129" s="376" t="s">
        <v>91</v>
      </c>
      <c r="C129" s="376" t="s">
        <v>92</v>
      </c>
      <c r="D129" s="376" t="s">
        <v>27</v>
      </c>
      <c r="E129" s="376" t="s">
        <v>28</v>
      </c>
      <c r="F129" s="765" t="s">
        <v>1297</v>
      </c>
      <c r="G129" s="720"/>
      <c r="H129" s="700"/>
      <c r="I129" s="626"/>
      <c r="J129" s="751"/>
      <c r="L129" s="608" t="s">
        <v>28</v>
      </c>
      <c r="M129" s="608" t="s">
        <v>1208</v>
      </c>
      <c r="N129" s="608" t="s">
        <v>1313</v>
      </c>
      <c r="O129" s="608" t="s">
        <v>1314</v>
      </c>
      <c r="P129" s="608"/>
      <c r="Q129" s="608"/>
      <c r="R129" s="608"/>
      <c r="T129" s="751"/>
      <c r="V129" s="609">
        <f t="shared" si="15"/>
        <v>0</v>
      </c>
      <c r="W129" s="700"/>
    </row>
    <row r="130" spans="1:23" ht="39.6" outlineLevel="3">
      <c r="A130" s="376"/>
      <c r="B130" s="376" t="s">
        <v>91</v>
      </c>
      <c r="C130" s="376" t="s">
        <v>92</v>
      </c>
      <c r="D130" s="376" t="s">
        <v>27</v>
      </c>
      <c r="E130" s="376" t="s">
        <v>28</v>
      </c>
      <c r="F130" s="765" t="s">
        <v>1275</v>
      </c>
      <c r="G130" s="720"/>
      <c r="H130" s="700"/>
      <c r="I130" s="626"/>
      <c r="J130" s="751"/>
      <c r="L130" s="608" t="s">
        <v>28</v>
      </c>
      <c r="M130" s="608" t="s">
        <v>1208</v>
      </c>
      <c r="N130" s="608" t="s">
        <v>1313</v>
      </c>
      <c r="O130" s="608" t="s">
        <v>1314</v>
      </c>
      <c r="P130" s="608"/>
      <c r="Q130" s="608"/>
      <c r="R130" s="608"/>
      <c r="T130" s="751"/>
      <c r="V130" s="609">
        <f t="shared" si="15"/>
        <v>0</v>
      </c>
      <c r="W130" s="700"/>
    </row>
    <row r="131" spans="1:23" ht="39.6" outlineLevel="3">
      <c r="A131" s="376"/>
      <c r="B131" s="376" t="s">
        <v>91</v>
      </c>
      <c r="C131" s="376" t="s">
        <v>92</v>
      </c>
      <c r="D131" s="376" t="s">
        <v>27</v>
      </c>
      <c r="E131" s="376" t="s">
        <v>28</v>
      </c>
      <c r="F131" s="765" t="s">
        <v>1318</v>
      </c>
      <c r="G131" s="723"/>
      <c r="H131" s="692"/>
      <c r="I131" s="626"/>
      <c r="J131" s="751"/>
      <c r="L131" s="608" t="s">
        <v>28</v>
      </c>
      <c r="M131" s="608" t="s">
        <v>1208</v>
      </c>
      <c r="N131" s="608" t="s">
        <v>1313</v>
      </c>
      <c r="O131" s="608" t="s">
        <v>1314</v>
      </c>
      <c r="P131" s="608"/>
      <c r="Q131" s="608"/>
      <c r="R131" s="608"/>
      <c r="T131" s="751"/>
      <c r="V131" s="609">
        <f t="shared" si="15"/>
        <v>0</v>
      </c>
      <c r="W131" s="692"/>
    </row>
    <row r="132" spans="1:23" ht="39.6" outlineLevel="3">
      <c r="A132" s="376"/>
      <c r="B132" s="376" t="s">
        <v>91</v>
      </c>
      <c r="C132" s="376" t="s">
        <v>92</v>
      </c>
      <c r="D132" s="376" t="s">
        <v>27</v>
      </c>
      <c r="E132" s="376" t="s">
        <v>28</v>
      </c>
      <c r="F132" s="765" t="s">
        <v>1305</v>
      </c>
      <c r="G132" s="723"/>
      <c r="H132" s="692"/>
      <c r="I132" s="626"/>
      <c r="J132" s="751"/>
      <c r="L132" s="608" t="s">
        <v>28</v>
      </c>
      <c r="M132" s="608" t="s">
        <v>1208</v>
      </c>
      <c r="N132" s="608" t="s">
        <v>1313</v>
      </c>
      <c r="O132" s="608" t="s">
        <v>1314</v>
      </c>
      <c r="P132" s="608"/>
      <c r="Q132" s="608"/>
      <c r="R132" s="608"/>
      <c r="T132" s="751"/>
      <c r="V132" s="609">
        <f t="shared" si="15"/>
        <v>0</v>
      </c>
      <c r="W132" s="692"/>
    </row>
    <row r="133" spans="1:23" outlineLevel="2">
      <c r="A133" s="376"/>
      <c r="B133" s="684" t="s">
        <v>91</v>
      </c>
      <c r="C133" s="684" t="s">
        <v>92</v>
      </c>
      <c r="D133" s="684" t="s">
        <v>58</v>
      </c>
      <c r="E133" s="684"/>
      <c r="F133" s="685" t="s">
        <v>112</v>
      </c>
      <c r="G133" s="713">
        <f>SUBTOTAL(9,G134:G135)</f>
        <v>0</v>
      </c>
      <c r="H133" s="714">
        <f>SUBTOTAL(9,H134:H135)</f>
        <v>0</v>
      </c>
      <c r="I133" s="626"/>
      <c r="J133" s="751"/>
      <c r="L133" s="685"/>
      <c r="M133" s="685"/>
      <c r="N133" s="685"/>
      <c r="O133" s="685"/>
      <c r="P133" s="685"/>
      <c r="Q133" s="685"/>
      <c r="R133" s="685"/>
      <c r="T133" s="751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91</v>
      </c>
      <c r="C134" s="376" t="s">
        <v>92</v>
      </c>
      <c r="D134" s="376" t="s">
        <v>58</v>
      </c>
      <c r="E134" s="376" t="s">
        <v>28</v>
      </c>
      <c r="F134" s="759" t="s">
        <v>1319</v>
      </c>
      <c r="G134" s="720"/>
      <c r="H134" s="700"/>
      <c r="I134" s="626"/>
      <c r="J134" s="751"/>
      <c r="L134" s="608" t="s">
        <v>28</v>
      </c>
      <c r="M134" s="608" t="s">
        <v>1236</v>
      </c>
      <c r="N134" s="608" t="s">
        <v>1282</v>
      </c>
      <c r="O134" s="608"/>
      <c r="P134" s="608"/>
      <c r="Q134" s="608"/>
      <c r="R134" s="608"/>
      <c r="T134" s="751"/>
      <c r="V134" s="609">
        <f t="shared" ref="V134:V135" si="16">IF(W134=1,G134,0)</f>
        <v>0</v>
      </c>
      <c r="W134" s="700"/>
    </row>
    <row r="135" spans="1:23" outlineLevel="3">
      <c r="A135" s="376"/>
      <c r="B135" s="376" t="s">
        <v>91</v>
      </c>
      <c r="C135" s="376" t="s">
        <v>92</v>
      </c>
      <c r="D135" s="376" t="s">
        <v>58</v>
      </c>
      <c r="E135" s="376" t="s">
        <v>28</v>
      </c>
      <c r="F135" s="759" t="s">
        <v>1305</v>
      </c>
      <c r="G135" s="723"/>
      <c r="H135" s="692"/>
      <c r="I135" s="626"/>
      <c r="J135" s="751"/>
      <c r="L135" s="608" t="s">
        <v>28</v>
      </c>
      <c r="M135" s="608" t="s">
        <v>1236</v>
      </c>
      <c r="N135" s="608" t="s">
        <v>1282</v>
      </c>
      <c r="O135" s="608"/>
      <c r="P135" s="608"/>
      <c r="Q135" s="608"/>
      <c r="R135" s="608"/>
      <c r="T135" s="751"/>
      <c r="V135" s="609">
        <f t="shared" si="16"/>
        <v>0</v>
      </c>
      <c r="W135" s="692"/>
    </row>
    <row r="136" spans="1:23" s="612" customFormat="1" ht="26.4" outlineLevel="1">
      <c r="A136" s="380"/>
      <c r="B136" s="665" t="s">
        <v>120</v>
      </c>
      <c r="C136" s="665" t="s">
        <v>121</v>
      </c>
      <c r="D136" s="665"/>
      <c r="E136" s="665"/>
      <c r="F136" s="681" t="s">
        <v>262</v>
      </c>
      <c r="G136" s="701">
        <f>SUBTOTAL(9,G137:G140)</f>
        <v>8.4072167695988034E-2</v>
      </c>
      <c r="H136" s="702">
        <f>SUBTOTAL(9,H137:H140)</f>
        <v>3</v>
      </c>
      <c r="I136" s="627"/>
      <c r="J136" s="753"/>
      <c r="L136" s="681"/>
      <c r="M136" s="681" t="s">
        <v>1320</v>
      </c>
      <c r="N136" s="681" t="s">
        <v>1321</v>
      </c>
      <c r="O136" s="681" t="s">
        <v>1322</v>
      </c>
      <c r="P136" s="681" t="s">
        <v>1323</v>
      </c>
      <c r="Q136" s="681"/>
      <c r="R136" s="681"/>
      <c r="T136" s="753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120</v>
      </c>
      <c r="C137" s="684" t="s">
        <v>121</v>
      </c>
      <c r="D137" s="684" t="s">
        <v>25</v>
      </c>
      <c r="E137" s="684"/>
      <c r="F137" s="685" t="s">
        <v>77</v>
      </c>
      <c r="G137" s="713">
        <f>SUBTOTAL(9,G138:G140)</f>
        <v>8.4072167695988034E-2</v>
      </c>
      <c r="H137" s="714">
        <f>SUBTOTAL(9,H138:H140)</f>
        <v>3</v>
      </c>
      <c r="I137" s="626"/>
      <c r="J137" s="751"/>
      <c r="L137" s="685"/>
      <c r="M137" s="685"/>
      <c r="N137" s="685"/>
      <c r="O137" s="685"/>
      <c r="P137" s="685"/>
      <c r="Q137" s="685"/>
      <c r="R137" s="685"/>
      <c r="T137" s="751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120</v>
      </c>
      <c r="C138" s="376" t="s">
        <v>121</v>
      </c>
      <c r="D138" s="376" t="s">
        <v>25</v>
      </c>
      <c r="E138" s="376" t="s">
        <v>26</v>
      </c>
      <c r="F138" s="608" t="s">
        <v>1324</v>
      </c>
      <c r="G138" s="695">
        <v>6.0248605439999423E-2</v>
      </c>
      <c r="H138" s="700">
        <v>1</v>
      </c>
      <c r="I138" s="626"/>
      <c r="J138" s="751"/>
      <c r="L138" s="608" t="s">
        <v>26</v>
      </c>
      <c r="M138" s="608" t="s">
        <v>1201</v>
      </c>
      <c r="N138" s="608" t="s">
        <v>1325</v>
      </c>
      <c r="O138" s="608"/>
      <c r="P138" s="608" t="s">
        <v>1326</v>
      </c>
      <c r="Q138" s="608"/>
      <c r="R138" s="608"/>
      <c r="T138" s="751"/>
      <c r="V138" s="609">
        <f t="shared" ref="V138:V140" si="17">IF(W138=1,G138,0)</f>
        <v>6.0248605439999423E-2</v>
      </c>
      <c r="W138" s="700">
        <v>1</v>
      </c>
    </row>
    <row r="139" spans="1:23" ht="26.4" outlineLevel="3">
      <c r="A139" s="376"/>
      <c r="B139" s="376" t="s">
        <v>120</v>
      </c>
      <c r="C139" s="376" t="s">
        <v>121</v>
      </c>
      <c r="D139" s="376" t="s">
        <v>25</v>
      </c>
      <c r="E139" s="376" t="s">
        <v>26</v>
      </c>
      <c r="F139" s="608" t="s">
        <v>1327</v>
      </c>
      <c r="G139" s="695">
        <v>1.1911781127994301E-2</v>
      </c>
      <c r="H139" s="700">
        <v>1</v>
      </c>
      <c r="I139" s="626"/>
      <c r="J139" s="751"/>
      <c r="L139" s="608" t="s">
        <v>26</v>
      </c>
      <c r="M139" s="608" t="s">
        <v>1201</v>
      </c>
      <c r="N139" s="608" t="s">
        <v>1325</v>
      </c>
      <c r="O139" s="608"/>
      <c r="P139" s="608" t="s">
        <v>1326</v>
      </c>
      <c r="Q139" s="608"/>
      <c r="R139" s="608"/>
      <c r="T139" s="751"/>
      <c r="V139" s="609">
        <f t="shared" si="17"/>
        <v>0</v>
      </c>
      <c r="W139" s="700"/>
    </row>
    <row r="140" spans="1:23" outlineLevel="3">
      <c r="A140" s="376"/>
      <c r="B140" s="376" t="s">
        <v>120</v>
      </c>
      <c r="C140" s="376" t="s">
        <v>121</v>
      </c>
      <c r="D140" s="376" t="s">
        <v>25</v>
      </c>
      <c r="E140" s="376" t="s">
        <v>26</v>
      </c>
      <c r="F140" s="608" t="s">
        <v>1328</v>
      </c>
      <c r="G140" s="695">
        <v>1.1911781127994301E-2</v>
      </c>
      <c r="H140" s="700">
        <v>1</v>
      </c>
      <c r="I140" s="626"/>
      <c r="J140" s="751"/>
      <c r="L140" s="608" t="s">
        <v>26</v>
      </c>
      <c r="M140" s="608" t="s">
        <v>1201</v>
      </c>
      <c r="N140" s="608" t="s">
        <v>1325</v>
      </c>
      <c r="O140" s="608"/>
      <c r="P140" s="608" t="s">
        <v>1326</v>
      </c>
      <c r="Q140" s="608"/>
      <c r="R140" s="608"/>
      <c r="T140" s="751"/>
      <c r="V140" s="609">
        <f t="shared" si="17"/>
        <v>0</v>
      </c>
      <c r="W140" s="700"/>
    </row>
    <row r="141" spans="1:23" s="612" customFormat="1" outlineLevel="1">
      <c r="A141" s="380"/>
      <c r="B141" s="665" t="s">
        <v>125</v>
      </c>
      <c r="C141" s="665" t="s">
        <v>126</v>
      </c>
      <c r="D141" s="665"/>
      <c r="E141" s="665"/>
      <c r="F141" s="681" t="s">
        <v>262</v>
      </c>
      <c r="G141" s="701">
        <f>SUBTOTAL(9,G142:G148)</f>
        <v>0.41918995130000003</v>
      </c>
      <c r="H141" s="702">
        <f>SUBTOTAL(9,H142:H148)</f>
        <v>5</v>
      </c>
      <c r="I141" s="627"/>
      <c r="J141" s="753"/>
      <c r="L141" s="681"/>
      <c r="M141" s="681"/>
      <c r="N141" s="681"/>
      <c r="O141" s="681"/>
      <c r="P141" s="681"/>
      <c r="Q141" s="681"/>
      <c r="R141" s="681"/>
      <c r="T141" s="753"/>
      <c r="V141" s="701">
        <f>SUBTOTAL(9,V142:V148)</f>
        <v>0.37410360980000001</v>
      </c>
      <c r="W141" s="702">
        <f>SUBTOTAL(9,W142:W148)</f>
        <v>4</v>
      </c>
    </row>
    <row r="142" spans="1:23" outlineLevel="2">
      <c r="A142" s="376"/>
      <c r="B142" s="684" t="s">
        <v>125</v>
      </c>
      <c r="C142" s="684" t="s">
        <v>126</v>
      </c>
      <c r="D142" s="684" t="s">
        <v>17</v>
      </c>
      <c r="E142" s="684"/>
      <c r="F142" s="685" t="s">
        <v>77</v>
      </c>
      <c r="G142" s="713">
        <f>SUBTOTAL(9,G143:G144)</f>
        <v>0.25</v>
      </c>
      <c r="H142" s="714">
        <f>SUBTOTAL(9,H143:H144)</f>
        <v>2</v>
      </c>
      <c r="I142" s="626"/>
      <c r="J142" s="751"/>
      <c r="L142" s="685"/>
      <c r="M142" s="685"/>
      <c r="N142" s="685"/>
      <c r="O142" s="685"/>
      <c r="P142" s="685"/>
      <c r="Q142" s="685"/>
      <c r="R142" s="685"/>
      <c r="T142" s="751"/>
      <c r="V142" s="713">
        <f>SUBTOTAL(9,V143:V144)</f>
        <v>0.25</v>
      </c>
      <c r="W142" s="714">
        <f>SUBTOTAL(9,W143:W144)</f>
        <v>2</v>
      </c>
    </row>
    <row r="143" spans="1:23" ht="26.4" outlineLevel="3">
      <c r="A143" s="376"/>
      <c r="B143" s="376" t="s">
        <v>125</v>
      </c>
      <c r="C143" s="376" t="s">
        <v>126</v>
      </c>
      <c r="D143" s="376" t="s">
        <v>17</v>
      </c>
      <c r="E143" s="376" t="s">
        <v>127</v>
      </c>
      <c r="F143" s="608" t="s">
        <v>1324</v>
      </c>
      <c r="G143" s="695">
        <v>7.0000000000000007E-2</v>
      </c>
      <c r="H143" s="700">
        <v>1</v>
      </c>
      <c r="I143" s="626"/>
      <c r="J143" s="751"/>
      <c r="L143" s="608" t="s">
        <v>127</v>
      </c>
      <c r="M143" s="608" t="s">
        <v>1320</v>
      </c>
      <c r="N143" s="608" t="s">
        <v>1329</v>
      </c>
      <c r="O143" s="608"/>
      <c r="P143" s="608"/>
      <c r="Q143" s="608"/>
      <c r="R143" s="608"/>
      <c r="T143" s="751"/>
      <c r="V143" s="609">
        <f t="shared" ref="V143:V144" si="18">IF(W143=1,G143,0)</f>
        <v>7.0000000000000007E-2</v>
      </c>
      <c r="W143" s="700">
        <v>1</v>
      </c>
    </row>
    <row r="144" spans="1:23" ht="26.4" outlineLevel="3">
      <c r="A144" s="376"/>
      <c r="B144" s="376" t="s">
        <v>125</v>
      </c>
      <c r="C144" s="376" t="s">
        <v>126</v>
      </c>
      <c r="D144" s="376" t="s">
        <v>17</v>
      </c>
      <c r="E144" s="376" t="s">
        <v>127</v>
      </c>
      <c r="F144" s="608" t="s">
        <v>1330</v>
      </c>
      <c r="G144" s="695">
        <v>0.18</v>
      </c>
      <c r="H144" s="700">
        <v>1</v>
      </c>
      <c r="I144" s="626"/>
      <c r="J144" s="751"/>
      <c r="L144" s="608" t="s">
        <v>127</v>
      </c>
      <c r="M144" s="608" t="s">
        <v>1331</v>
      </c>
      <c r="N144" s="608" t="s">
        <v>1332</v>
      </c>
      <c r="O144" s="608"/>
      <c r="P144" s="608"/>
      <c r="Q144" s="608"/>
      <c r="R144" s="608"/>
      <c r="T144" s="751"/>
      <c r="V144" s="609">
        <f t="shared" si="18"/>
        <v>0.18</v>
      </c>
      <c r="W144" s="700">
        <v>1</v>
      </c>
    </row>
    <row r="145" spans="1:23" outlineLevel="2">
      <c r="A145" s="376"/>
      <c r="B145" s="684" t="s">
        <v>125</v>
      </c>
      <c r="C145" s="684" t="s">
        <v>126</v>
      </c>
      <c r="D145" s="684" t="s">
        <v>25</v>
      </c>
      <c r="E145" s="684"/>
      <c r="F145" s="685" t="s">
        <v>77</v>
      </c>
      <c r="G145" s="713">
        <f>SUBTOTAL(9,G146:G148)</f>
        <v>0.16918995130000003</v>
      </c>
      <c r="H145" s="714">
        <f>SUBTOTAL(9,H146:H148)</f>
        <v>3</v>
      </c>
      <c r="I145" s="626"/>
      <c r="J145" s="751"/>
      <c r="L145" s="685"/>
      <c r="M145" s="685"/>
      <c r="N145" s="685"/>
      <c r="O145" s="685"/>
      <c r="P145" s="685"/>
      <c r="Q145" s="685"/>
      <c r="R145" s="685"/>
      <c r="T145" s="751"/>
      <c r="V145" s="713">
        <f>SUBTOTAL(9,V146:V148)</f>
        <v>0.12410360980000001</v>
      </c>
      <c r="W145" s="714">
        <f>SUBTOTAL(9,W146:W148)</f>
        <v>2</v>
      </c>
    </row>
    <row r="146" spans="1:23" outlineLevel="3" collapsed="1">
      <c r="A146" s="376"/>
      <c r="B146" s="376" t="s">
        <v>125</v>
      </c>
      <c r="C146" s="376" t="s">
        <v>126</v>
      </c>
      <c r="D146" s="376" t="s">
        <v>25</v>
      </c>
      <c r="E146" s="376" t="s">
        <v>26</v>
      </c>
      <c r="F146" s="608" t="s">
        <v>1330</v>
      </c>
      <c r="G146" s="609">
        <v>7.0000000000000007E-2</v>
      </c>
      <c r="H146" s="692">
        <v>1</v>
      </c>
      <c r="I146" s="626"/>
      <c r="J146" s="751"/>
      <c r="L146" s="608" t="s">
        <v>26</v>
      </c>
      <c r="M146" s="608" t="s">
        <v>1201</v>
      </c>
      <c r="N146" s="608" t="s">
        <v>1325</v>
      </c>
      <c r="O146" s="608">
        <v>0</v>
      </c>
      <c r="P146" s="608" t="s">
        <v>1333</v>
      </c>
      <c r="Q146" s="608"/>
      <c r="R146" s="608"/>
      <c r="T146" s="751"/>
      <c r="V146" s="609">
        <f t="shared" ref="V146:V148" si="19">IF(W146=1,G146,0)</f>
        <v>7.0000000000000007E-2</v>
      </c>
      <c r="W146" s="692">
        <v>1</v>
      </c>
    </row>
    <row r="147" spans="1:23" outlineLevel="3">
      <c r="A147" s="376"/>
      <c r="B147" s="376" t="s">
        <v>125</v>
      </c>
      <c r="C147" s="376" t="s">
        <v>126</v>
      </c>
      <c r="D147" s="376" t="s">
        <v>25</v>
      </c>
      <c r="E147" s="376" t="s">
        <v>26</v>
      </c>
      <c r="F147" s="608" t="s">
        <v>1324</v>
      </c>
      <c r="G147" s="695">
        <v>5.4103609800000001E-2</v>
      </c>
      <c r="H147" s="700">
        <v>1</v>
      </c>
      <c r="I147" s="626"/>
      <c r="J147" s="751"/>
      <c r="L147" s="608" t="s">
        <v>26</v>
      </c>
      <c r="M147" s="608" t="s">
        <v>1201</v>
      </c>
      <c r="N147" s="608" t="s">
        <v>1325</v>
      </c>
      <c r="O147" s="608">
        <v>0</v>
      </c>
      <c r="P147" s="608" t="s">
        <v>1333</v>
      </c>
      <c r="Q147" s="608"/>
      <c r="R147" s="608"/>
      <c r="T147" s="751"/>
      <c r="V147" s="609">
        <f t="shared" si="19"/>
        <v>5.4103609800000001E-2</v>
      </c>
      <c r="W147" s="700">
        <v>1</v>
      </c>
    </row>
    <row r="148" spans="1:23" outlineLevel="3">
      <c r="A148" s="376"/>
      <c r="B148" s="376" t="s">
        <v>125</v>
      </c>
      <c r="C148" s="376" t="s">
        <v>126</v>
      </c>
      <c r="D148" s="376" t="s">
        <v>25</v>
      </c>
      <c r="E148" s="376" t="s">
        <v>26</v>
      </c>
      <c r="F148" s="608" t="s">
        <v>1334</v>
      </c>
      <c r="G148" s="695">
        <v>4.5086341500000002E-2</v>
      </c>
      <c r="H148" s="700">
        <v>1</v>
      </c>
      <c r="I148" s="626"/>
      <c r="J148" s="751"/>
      <c r="L148" s="608" t="s">
        <v>26</v>
      </c>
      <c r="M148" s="608" t="s">
        <v>1201</v>
      </c>
      <c r="N148" s="608" t="s">
        <v>1325</v>
      </c>
      <c r="O148" s="608">
        <v>0</v>
      </c>
      <c r="P148" s="608" t="s">
        <v>1333</v>
      </c>
      <c r="Q148" s="608"/>
      <c r="R148" s="608"/>
      <c r="T148" s="751"/>
      <c r="V148" s="609">
        <f t="shared" si="19"/>
        <v>0</v>
      </c>
      <c r="W148" s="700"/>
    </row>
    <row r="149" spans="1:23" s="612" customFormat="1" outlineLevel="1">
      <c r="A149" s="380"/>
      <c r="B149" s="665" t="s">
        <v>130</v>
      </c>
      <c r="C149" s="665" t="s">
        <v>131</v>
      </c>
      <c r="D149" s="665"/>
      <c r="E149" s="665"/>
      <c r="F149" s="681" t="s">
        <v>262</v>
      </c>
      <c r="G149" s="701">
        <f>SUBTOTAL(9,G150:G172)</f>
        <v>3.0199999999999987</v>
      </c>
      <c r="H149" s="702">
        <f>SUBTOTAL(9,H150:H172)</f>
        <v>21</v>
      </c>
      <c r="I149" s="627"/>
      <c r="J149" s="753"/>
      <c r="L149" s="681"/>
      <c r="M149" s="681"/>
      <c r="N149" s="681"/>
      <c r="O149" s="681"/>
      <c r="P149" s="681"/>
      <c r="Q149" s="681"/>
      <c r="R149" s="681"/>
      <c r="T149" s="753"/>
      <c r="V149" s="701">
        <f>SUBTOTAL(9,V150:V172)</f>
        <v>0.28000000000000003</v>
      </c>
      <c r="W149" s="702">
        <f>SUBTOTAL(9,W150:W172)</f>
        <v>4</v>
      </c>
    </row>
    <row r="150" spans="1:23" ht="26.4" outlineLevel="2">
      <c r="A150" s="376"/>
      <c r="B150" s="684" t="s">
        <v>130</v>
      </c>
      <c r="C150" s="684" t="s">
        <v>131</v>
      </c>
      <c r="D150" s="684" t="s">
        <v>17</v>
      </c>
      <c r="E150" s="684"/>
      <c r="F150" s="685" t="s">
        <v>1335</v>
      </c>
      <c r="G150" s="713">
        <f>SUBTOTAL(9,G151:G160)</f>
        <v>1.9500000000000002</v>
      </c>
      <c r="H150" s="714">
        <f>SUBTOTAL(9,H151:H160)</f>
        <v>10</v>
      </c>
      <c r="I150" s="626"/>
      <c r="J150" s="751"/>
      <c r="L150" s="685"/>
      <c r="M150" s="685"/>
      <c r="N150" s="685"/>
      <c r="O150" s="685"/>
      <c r="P150" s="685"/>
      <c r="Q150" s="685"/>
      <c r="R150" s="685"/>
      <c r="T150" s="751"/>
      <c r="V150" s="713">
        <f>SUBTOTAL(9,V151:V160)</f>
        <v>0</v>
      </c>
      <c r="W150" s="714">
        <f>SUBTOTAL(9,W151:W160)</f>
        <v>0</v>
      </c>
    </row>
    <row r="151" spans="1:23" ht="26.4" outlineLevel="3">
      <c r="A151" s="376"/>
      <c r="B151" s="376" t="s">
        <v>130</v>
      </c>
      <c r="C151" s="376" t="s">
        <v>131</v>
      </c>
      <c r="D151" s="376" t="s">
        <v>17</v>
      </c>
      <c r="E151" s="376" t="s">
        <v>127</v>
      </c>
      <c r="F151" s="608" t="s">
        <v>1336</v>
      </c>
      <c r="G151" s="695">
        <v>0.13</v>
      </c>
      <c r="H151" s="700">
        <v>1</v>
      </c>
      <c r="I151" s="626"/>
      <c r="J151" s="751"/>
      <c r="L151" s="608" t="s">
        <v>127</v>
      </c>
      <c r="M151" s="608" t="s">
        <v>1320</v>
      </c>
      <c r="N151" s="608" t="s">
        <v>1337</v>
      </c>
      <c r="O151" s="608" t="s">
        <v>1338</v>
      </c>
      <c r="P151" s="608" t="s">
        <v>1339</v>
      </c>
      <c r="Q151" s="608"/>
      <c r="R151" s="608"/>
      <c r="T151" s="751"/>
      <c r="V151" s="609">
        <f t="shared" ref="V151:V160" si="20">IF(W151=1,G151,0)</f>
        <v>0</v>
      </c>
      <c r="W151" s="700"/>
    </row>
    <row r="152" spans="1:23" ht="26.4" outlineLevel="3">
      <c r="A152" s="376"/>
      <c r="B152" s="376" t="s">
        <v>130</v>
      </c>
      <c r="C152" s="376" t="s">
        <v>131</v>
      </c>
      <c r="D152" s="376" t="s">
        <v>17</v>
      </c>
      <c r="E152" s="376" t="s">
        <v>127</v>
      </c>
      <c r="F152" s="608" t="s">
        <v>1340</v>
      </c>
      <c r="G152" s="695">
        <v>0.13</v>
      </c>
      <c r="H152" s="700">
        <v>1</v>
      </c>
      <c r="I152" s="626"/>
      <c r="J152" s="751"/>
      <c r="L152" s="608" t="s">
        <v>127</v>
      </c>
      <c r="M152" s="608" t="s">
        <v>1320</v>
      </c>
      <c r="N152" s="608" t="s">
        <v>1337</v>
      </c>
      <c r="O152" s="608" t="s">
        <v>1338</v>
      </c>
      <c r="P152" s="608" t="s">
        <v>1339</v>
      </c>
      <c r="Q152" s="608"/>
      <c r="R152" s="608"/>
      <c r="T152" s="751"/>
      <c r="V152" s="609">
        <f t="shared" si="20"/>
        <v>0</v>
      </c>
      <c r="W152" s="700"/>
    </row>
    <row r="153" spans="1:23" ht="26.4" outlineLevel="3">
      <c r="A153" s="376"/>
      <c r="B153" s="376" t="s">
        <v>130</v>
      </c>
      <c r="C153" s="376" t="s">
        <v>131</v>
      </c>
      <c r="D153" s="376" t="s">
        <v>17</v>
      </c>
      <c r="E153" s="376" t="s">
        <v>127</v>
      </c>
      <c r="F153" s="608" t="s">
        <v>1341</v>
      </c>
      <c r="G153" s="695">
        <v>0.22</v>
      </c>
      <c r="H153" s="700">
        <v>1</v>
      </c>
      <c r="I153" s="626"/>
      <c r="J153" s="751"/>
      <c r="L153" s="608" t="s">
        <v>127</v>
      </c>
      <c r="M153" s="608" t="s">
        <v>1320</v>
      </c>
      <c r="N153" s="608" t="s">
        <v>1337</v>
      </c>
      <c r="O153" s="608" t="s">
        <v>1338</v>
      </c>
      <c r="P153" s="608" t="s">
        <v>1339</v>
      </c>
      <c r="Q153" s="608"/>
      <c r="R153" s="608"/>
      <c r="T153" s="751"/>
      <c r="V153" s="609">
        <f t="shared" si="20"/>
        <v>0</v>
      </c>
      <c r="W153" s="700"/>
    </row>
    <row r="154" spans="1:23" ht="26.4" outlineLevel="3">
      <c r="A154" s="376"/>
      <c r="B154" s="376" t="s">
        <v>130</v>
      </c>
      <c r="C154" s="376" t="s">
        <v>131</v>
      </c>
      <c r="D154" s="376" t="s">
        <v>17</v>
      </c>
      <c r="E154" s="376" t="s">
        <v>127</v>
      </c>
      <c r="F154" s="608" t="s">
        <v>1342</v>
      </c>
      <c r="G154" s="695">
        <v>0.22</v>
      </c>
      <c r="H154" s="700">
        <v>1</v>
      </c>
      <c r="I154" s="626"/>
      <c r="J154" s="751"/>
      <c r="L154" s="608" t="s">
        <v>127</v>
      </c>
      <c r="M154" s="608" t="s">
        <v>1320</v>
      </c>
      <c r="N154" s="608" t="s">
        <v>1337</v>
      </c>
      <c r="O154" s="608" t="s">
        <v>1338</v>
      </c>
      <c r="P154" s="608" t="s">
        <v>1339</v>
      </c>
      <c r="Q154" s="608"/>
      <c r="R154" s="608"/>
      <c r="T154" s="751"/>
      <c r="V154" s="609">
        <f t="shared" si="20"/>
        <v>0</v>
      </c>
      <c r="W154" s="700"/>
    </row>
    <row r="155" spans="1:23" ht="26.4" outlineLevel="3">
      <c r="A155" s="376"/>
      <c r="B155" s="376" t="s">
        <v>130</v>
      </c>
      <c r="C155" s="376" t="s">
        <v>131</v>
      </c>
      <c r="D155" s="376" t="s">
        <v>17</v>
      </c>
      <c r="E155" s="376" t="s">
        <v>127</v>
      </c>
      <c r="F155" s="608" t="s">
        <v>1343</v>
      </c>
      <c r="G155" s="695">
        <v>0.22</v>
      </c>
      <c r="H155" s="700">
        <v>1</v>
      </c>
      <c r="I155" s="626"/>
      <c r="J155" s="751"/>
      <c r="L155" s="608" t="s">
        <v>127</v>
      </c>
      <c r="M155" s="608" t="s">
        <v>1320</v>
      </c>
      <c r="N155" s="608" t="s">
        <v>1337</v>
      </c>
      <c r="O155" s="608" t="s">
        <v>1338</v>
      </c>
      <c r="P155" s="608" t="s">
        <v>1339</v>
      </c>
      <c r="Q155" s="608"/>
      <c r="R155" s="608"/>
      <c r="T155" s="751"/>
      <c r="V155" s="609">
        <f t="shared" si="20"/>
        <v>0</v>
      </c>
      <c r="W155" s="700"/>
    </row>
    <row r="156" spans="1:23" ht="26.4" outlineLevel="3">
      <c r="A156" s="376"/>
      <c r="B156" s="376" t="s">
        <v>130</v>
      </c>
      <c r="C156" s="376" t="s">
        <v>131</v>
      </c>
      <c r="D156" s="376" t="s">
        <v>17</v>
      </c>
      <c r="E156" s="376" t="s">
        <v>127</v>
      </c>
      <c r="F156" s="608" t="s">
        <v>1344</v>
      </c>
      <c r="G156" s="695">
        <v>0.03</v>
      </c>
      <c r="H156" s="700">
        <v>1</v>
      </c>
      <c r="I156" s="626"/>
      <c r="J156" s="751"/>
      <c r="L156" s="608" t="s">
        <v>127</v>
      </c>
      <c r="M156" s="608" t="s">
        <v>1320</v>
      </c>
      <c r="N156" s="608" t="s">
        <v>1337</v>
      </c>
      <c r="O156" s="608" t="s">
        <v>1338</v>
      </c>
      <c r="P156" s="608" t="s">
        <v>1339</v>
      </c>
      <c r="Q156" s="608"/>
      <c r="R156" s="608"/>
      <c r="T156" s="751"/>
      <c r="V156" s="609">
        <f t="shared" si="20"/>
        <v>0</v>
      </c>
      <c r="W156" s="700"/>
    </row>
    <row r="157" spans="1:23" ht="26.4" outlineLevel="3">
      <c r="A157" s="376"/>
      <c r="B157" s="376" t="s">
        <v>130</v>
      </c>
      <c r="C157" s="376" t="s">
        <v>131</v>
      </c>
      <c r="D157" s="376" t="s">
        <v>17</v>
      </c>
      <c r="E157" s="376" t="s">
        <v>127</v>
      </c>
      <c r="F157" s="608" t="s">
        <v>1345</v>
      </c>
      <c r="G157" s="695">
        <v>0.1</v>
      </c>
      <c r="H157" s="700">
        <v>1</v>
      </c>
      <c r="I157" s="626"/>
      <c r="J157" s="751"/>
      <c r="L157" s="608" t="s">
        <v>127</v>
      </c>
      <c r="M157" s="608" t="s">
        <v>1320</v>
      </c>
      <c r="N157" s="608" t="s">
        <v>1337</v>
      </c>
      <c r="O157" s="608" t="s">
        <v>1338</v>
      </c>
      <c r="P157" s="608" t="s">
        <v>1339</v>
      </c>
      <c r="Q157" s="608"/>
      <c r="R157" s="608"/>
      <c r="T157" s="751"/>
      <c r="V157" s="609">
        <f t="shared" si="20"/>
        <v>0</v>
      </c>
      <c r="W157" s="700"/>
    </row>
    <row r="158" spans="1:23" ht="26.4" outlineLevel="3">
      <c r="A158" s="376"/>
      <c r="B158" s="376" t="s">
        <v>130</v>
      </c>
      <c r="C158" s="376" t="s">
        <v>131</v>
      </c>
      <c r="D158" s="376" t="s">
        <v>17</v>
      </c>
      <c r="E158" s="376" t="s">
        <v>127</v>
      </c>
      <c r="F158" s="608" t="s">
        <v>1346</v>
      </c>
      <c r="G158" s="695">
        <v>0.1</v>
      </c>
      <c r="H158" s="700">
        <v>1</v>
      </c>
      <c r="I158" s="626"/>
      <c r="J158" s="751"/>
      <c r="L158" s="608" t="s">
        <v>127</v>
      </c>
      <c r="M158" s="608" t="s">
        <v>1320</v>
      </c>
      <c r="N158" s="608" t="s">
        <v>1337</v>
      </c>
      <c r="O158" s="608" t="s">
        <v>1338</v>
      </c>
      <c r="P158" s="608" t="s">
        <v>1339</v>
      </c>
      <c r="Q158" s="608"/>
      <c r="R158" s="608"/>
      <c r="T158" s="751"/>
      <c r="V158" s="609">
        <f t="shared" si="20"/>
        <v>0</v>
      </c>
      <c r="W158" s="700"/>
    </row>
    <row r="159" spans="1:23" ht="26.4" outlineLevel="3">
      <c r="A159" s="376"/>
      <c r="B159" s="376" t="s">
        <v>130</v>
      </c>
      <c r="C159" s="376" t="s">
        <v>131</v>
      </c>
      <c r="D159" s="376" t="s">
        <v>17</v>
      </c>
      <c r="E159" s="376" t="s">
        <v>127</v>
      </c>
      <c r="F159" s="608" t="s">
        <v>1347</v>
      </c>
      <c r="G159" s="695">
        <v>0.4</v>
      </c>
      <c r="H159" s="700">
        <v>1</v>
      </c>
      <c r="I159" s="626"/>
      <c r="J159" s="751"/>
      <c r="L159" s="608" t="s">
        <v>127</v>
      </c>
      <c r="M159" s="608" t="s">
        <v>1320</v>
      </c>
      <c r="N159" s="608" t="s">
        <v>1337</v>
      </c>
      <c r="O159" s="608" t="s">
        <v>1338</v>
      </c>
      <c r="P159" s="608" t="s">
        <v>1339</v>
      </c>
      <c r="Q159" s="608"/>
      <c r="R159" s="608"/>
      <c r="T159" s="751"/>
      <c r="V159" s="609">
        <f t="shared" si="20"/>
        <v>0</v>
      </c>
      <c r="W159" s="700"/>
    </row>
    <row r="160" spans="1:23" ht="26.4" outlineLevel="3">
      <c r="A160" s="376"/>
      <c r="B160" s="376" t="s">
        <v>130</v>
      </c>
      <c r="C160" s="376" t="s">
        <v>131</v>
      </c>
      <c r="D160" s="376" t="s">
        <v>17</v>
      </c>
      <c r="E160" s="376" t="s">
        <v>127</v>
      </c>
      <c r="F160" s="608" t="s">
        <v>1348</v>
      </c>
      <c r="G160" s="695">
        <v>0.4</v>
      </c>
      <c r="H160" s="700">
        <v>1</v>
      </c>
      <c r="I160" s="626"/>
      <c r="J160" s="751"/>
      <c r="L160" s="608" t="s">
        <v>127</v>
      </c>
      <c r="M160" s="608" t="s">
        <v>1320</v>
      </c>
      <c r="N160" s="608" t="s">
        <v>1337</v>
      </c>
      <c r="O160" s="608" t="s">
        <v>1338</v>
      </c>
      <c r="P160" s="608" t="s">
        <v>1339</v>
      </c>
      <c r="Q160" s="608"/>
      <c r="R160" s="608"/>
      <c r="T160" s="751"/>
      <c r="V160" s="609">
        <f t="shared" si="20"/>
        <v>0</v>
      </c>
      <c r="W160" s="700"/>
    </row>
    <row r="161" spans="1:23" ht="26.4" outlineLevel="2">
      <c r="A161" s="376"/>
      <c r="B161" s="684" t="s">
        <v>130</v>
      </c>
      <c r="C161" s="684" t="s">
        <v>131</v>
      </c>
      <c r="D161" s="684" t="s">
        <v>25</v>
      </c>
      <c r="E161" s="684"/>
      <c r="F161" s="685" t="s">
        <v>1349</v>
      </c>
      <c r="G161" s="713">
        <f>SUBTOTAL(9,G162:G172)</f>
        <v>1.0699999999999998</v>
      </c>
      <c r="H161" s="714">
        <f>SUBTOTAL(9,H162:H172)</f>
        <v>11</v>
      </c>
      <c r="I161" s="626"/>
      <c r="J161" s="751"/>
      <c r="L161" s="685"/>
      <c r="M161" s="685"/>
      <c r="N161" s="685"/>
      <c r="O161" s="685"/>
      <c r="P161" s="685"/>
      <c r="Q161" s="685"/>
      <c r="R161" s="685"/>
      <c r="T161" s="751"/>
      <c r="V161" s="713">
        <f>SUBTOTAL(9,V162:V172)</f>
        <v>0.28000000000000003</v>
      </c>
      <c r="W161" s="714">
        <f>SUBTOTAL(9,W162:W172)</f>
        <v>4</v>
      </c>
    </row>
    <row r="162" spans="1:23" outlineLevel="3">
      <c r="A162" s="376"/>
      <c r="B162" s="376" t="s">
        <v>130</v>
      </c>
      <c r="C162" s="376" t="s">
        <v>131</v>
      </c>
      <c r="D162" s="376" t="s">
        <v>25</v>
      </c>
      <c r="E162" s="376" t="s">
        <v>26</v>
      </c>
      <c r="F162" s="608" t="s">
        <v>1350</v>
      </c>
      <c r="G162" s="695">
        <v>7.0000000000000007E-2</v>
      </c>
      <c r="H162" s="700">
        <v>1</v>
      </c>
      <c r="I162" s="626"/>
      <c r="J162" s="751"/>
      <c r="L162" s="608" t="s">
        <v>26</v>
      </c>
      <c r="M162" s="608" t="s">
        <v>1201</v>
      </c>
      <c r="N162" s="608" t="s">
        <v>1351</v>
      </c>
      <c r="O162" s="608"/>
      <c r="P162" s="608" t="s">
        <v>1333</v>
      </c>
      <c r="Q162" s="608"/>
      <c r="R162" s="608" t="s">
        <v>1352</v>
      </c>
      <c r="T162" s="751"/>
      <c r="V162" s="609">
        <f t="shared" ref="V162:V172" si="21">IF(W162=1,G162,0)</f>
        <v>7.0000000000000007E-2</v>
      </c>
      <c r="W162" s="700">
        <v>1</v>
      </c>
    </row>
    <row r="163" spans="1:23" outlineLevel="3">
      <c r="A163" s="376"/>
      <c r="B163" s="376" t="s">
        <v>130</v>
      </c>
      <c r="C163" s="376" t="s">
        <v>131</v>
      </c>
      <c r="D163" s="376" t="s">
        <v>25</v>
      </c>
      <c r="E163" s="376" t="s">
        <v>26</v>
      </c>
      <c r="F163" s="608" t="s">
        <v>1353</v>
      </c>
      <c r="G163" s="695">
        <v>7.0000000000000007E-2</v>
      </c>
      <c r="H163" s="700">
        <v>1</v>
      </c>
      <c r="I163" s="626"/>
      <c r="J163" s="751"/>
      <c r="L163" s="608" t="s">
        <v>26</v>
      </c>
      <c r="M163" s="608" t="s">
        <v>1201</v>
      </c>
      <c r="N163" s="608" t="s">
        <v>1351</v>
      </c>
      <c r="O163" s="608"/>
      <c r="P163" s="608" t="s">
        <v>1333</v>
      </c>
      <c r="Q163" s="608"/>
      <c r="R163" s="608" t="s">
        <v>1352</v>
      </c>
      <c r="T163" s="751"/>
      <c r="V163" s="609">
        <f t="shared" si="21"/>
        <v>7.0000000000000007E-2</v>
      </c>
      <c r="W163" s="700">
        <v>1</v>
      </c>
    </row>
    <row r="164" spans="1:23" outlineLevel="3">
      <c r="A164" s="376"/>
      <c r="B164" s="376" t="s">
        <v>130</v>
      </c>
      <c r="C164" s="376" t="s">
        <v>131</v>
      </c>
      <c r="D164" s="376" t="s">
        <v>25</v>
      </c>
      <c r="E164" s="376" t="s">
        <v>26</v>
      </c>
      <c r="F164" s="608" t="s">
        <v>1354</v>
      </c>
      <c r="G164" s="695">
        <v>7.0000000000000007E-2</v>
      </c>
      <c r="H164" s="700">
        <v>1</v>
      </c>
      <c r="I164" s="626"/>
      <c r="J164" s="751"/>
      <c r="L164" s="608" t="s">
        <v>26</v>
      </c>
      <c r="M164" s="608" t="s">
        <v>1201</v>
      </c>
      <c r="N164" s="608" t="s">
        <v>1351</v>
      </c>
      <c r="O164" s="608"/>
      <c r="P164" s="608" t="s">
        <v>1333</v>
      </c>
      <c r="Q164" s="608"/>
      <c r="R164" s="608">
        <v>0</v>
      </c>
      <c r="T164" s="751"/>
      <c r="V164" s="609">
        <f t="shared" si="21"/>
        <v>7.0000000000000007E-2</v>
      </c>
      <c r="W164" s="700">
        <v>1</v>
      </c>
    </row>
    <row r="165" spans="1:23" outlineLevel="3">
      <c r="A165" s="376"/>
      <c r="B165" s="376" t="s">
        <v>130</v>
      </c>
      <c r="C165" s="376" t="s">
        <v>131</v>
      </c>
      <c r="D165" s="376" t="s">
        <v>25</v>
      </c>
      <c r="E165" s="376" t="s">
        <v>26</v>
      </c>
      <c r="F165" s="608" t="s">
        <v>1355</v>
      </c>
      <c r="G165" s="695">
        <v>7.0000000000000007E-2</v>
      </c>
      <c r="H165" s="700">
        <v>1</v>
      </c>
      <c r="I165" s="626"/>
      <c r="J165" s="751"/>
      <c r="L165" s="608" t="s">
        <v>26</v>
      </c>
      <c r="M165" s="608" t="s">
        <v>1201</v>
      </c>
      <c r="N165" s="608" t="s">
        <v>1351</v>
      </c>
      <c r="O165" s="608"/>
      <c r="P165" s="608" t="s">
        <v>1333</v>
      </c>
      <c r="Q165" s="608"/>
      <c r="R165" s="608">
        <v>0</v>
      </c>
      <c r="T165" s="751"/>
      <c r="V165" s="609">
        <f t="shared" si="21"/>
        <v>7.0000000000000007E-2</v>
      </c>
      <c r="W165" s="700">
        <v>1</v>
      </c>
    </row>
    <row r="166" spans="1:23" outlineLevel="3">
      <c r="A166" s="376"/>
      <c r="B166" s="376" t="s">
        <v>130</v>
      </c>
      <c r="C166" s="376" t="s">
        <v>131</v>
      </c>
      <c r="D166" s="376" t="s">
        <v>25</v>
      </c>
      <c r="E166" s="376" t="s">
        <v>26</v>
      </c>
      <c r="F166" s="608" t="s">
        <v>1356</v>
      </c>
      <c r="G166" s="695">
        <v>0.13</v>
      </c>
      <c r="H166" s="700">
        <v>1</v>
      </c>
      <c r="I166" s="626"/>
      <c r="J166" s="751"/>
      <c r="L166" s="608" t="s">
        <v>26</v>
      </c>
      <c r="M166" s="608" t="s">
        <v>1201</v>
      </c>
      <c r="N166" s="608" t="s">
        <v>1357</v>
      </c>
      <c r="O166" s="608"/>
      <c r="P166" s="608" t="s">
        <v>1333</v>
      </c>
      <c r="Q166" s="608"/>
      <c r="R166" s="608">
        <v>0</v>
      </c>
      <c r="T166" s="751"/>
      <c r="V166" s="609">
        <f t="shared" si="21"/>
        <v>0</v>
      </c>
      <c r="W166" s="700"/>
    </row>
    <row r="167" spans="1:23" outlineLevel="3">
      <c r="A167" s="376"/>
      <c r="B167" s="376" t="s">
        <v>130</v>
      </c>
      <c r="C167" s="376" t="s">
        <v>131</v>
      </c>
      <c r="D167" s="376" t="s">
        <v>25</v>
      </c>
      <c r="E167" s="376" t="s">
        <v>26</v>
      </c>
      <c r="F167" s="608" t="s">
        <v>1358</v>
      </c>
      <c r="G167" s="695">
        <v>0.13</v>
      </c>
      <c r="H167" s="700">
        <v>1</v>
      </c>
      <c r="I167" s="626"/>
      <c r="J167" s="751"/>
      <c r="L167" s="608" t="s">
        <v>26</v>
      </c>
      <c r="M167" s="608" t="s">
        <v>1201</v>
      </c>
      <c r="N167" s="608" t="s">
        <v>1357</v>
      </c>
      <c r="O167" s="608"/>
      <c r="P167" s="608" t="s">
        <v>1333</v>
      </c>
      <c r="Q167" s="608"/>
      <c r="R167" s="608">
        <v>0</v>
      </c>
      <c r="T167" s="751"/>
      <c r="V167" s="609">
        <f t="shared" si="21"/>
        <v>0</v>
      </c>
      <c r="W167" s="700"/>
    </row>
    <row r="168" spans="1:23" outlineLevel="3">
      <c r="A168" s="376"/>
      <c r="B168" s="376" t="s">
        <v>130</v>
      </c>
      <c r="C168" s="376" t="s">
        <v>131</v>
      </c>
      <c r="D168" s="376" t="s">
        <v>25</v>
      </c>
      <c r="E168" s="376" t="s">
        <v>26</v>
      </c>
      <c r="F168" s="608" t="s">
        <v>1359</v>
      </c>
      <c r="G168" s="695">
        <v>0.09</v>
      </c>
      <c r="H168" s="700">
        <v>1</v>
      </c>
      <c r="I168" s="626"/>
      <c r="J168" s="751"/>
      <c r="L168" s="608" t="s">
        <v>26</v>
      </c>
      <c r="M168" s="608" t="s">
        <v>1201</v>
      </c>
      <c r="N168" s="608" t="s">
        <v>1351</v>
      </c>
      <c r="O168" s="608"/>
      <c r="P168" s="608" t="s">
        <v>1333</v>
      </c>
      <c r="Q168" s="608"/>
      <c r="R168" s="608">
        <v>0</v>
      </c>
      <c r="T168" s="751"/>
      <c r="V168" s="609">
        <f t="shared" si="21"/>
        <v>0</v>
      </c>
      <c r="W168" s="700"/>
    </row>
    <row r="169" spans="1:23" outlineLevel="3">
      <c r="A169" s="376"/>
      <c r="B169" s="376" t="s">
        <v>130</v>
      </c>
      <c r="C169" s="376" t="s">
        <v>131</v>
      </c>
      <c r="D169" s="376" t="s">
        <v>25</v>
      </c>
      <c r="E169" s="376" t="s">
        <v>26</v>
      </c>
      <c r="F169" s="608" t="s">
        <v>1360</v>
      </c>
      <c r="G169" s="695">
        <v>0.09</v>
      </c>
      <c r="H169" s="700">
        <v>1</v>
      </c>
      <c r="I169" s="626"/>
      <c r="J169" s="751"/>
      <c r="L169" s="608" t="s">
        <v>26</v>
      </c>
      <c r="M169" s="608" t="s">
        <v>1201</v>
      </c>
      <c r="N169" s="608" t="s">
        <v>1351</v>
      </c>
      <c r="O169" s="608"/>
      <c r="P169" s="608" t="s">
        <v>1333</v>
      </c>
      <c r="Q169" s="608"/>
      <c r="R169" s="608">
        <v>0</v>
      </c>
      <c r="T169" s="751"/>
      <c r="V169" s="609">
        <f t="shared" si="21"/>
        <v>0</v>
      </c>
      <c r="W169" s="700"/>
    </row>
    <row r="170" spans="1:23" outlineLevel="3">
      <c r="A170" s="376"/>
      <c r="B170" s="376" t="s">
        <v>130</v>
      </c>
      <c r="C170" s="376" t="s">
        <v>131</v>
      </c>
      <c r="D170" s="376" t="s">
        <v>25</v>
      </c>
      <c r="E170" s="376" t="s">
        <v>26</v>
      </c>
      <c r="F170" s="608" t="s">
        <v>1361</v>
      </c>
      <c r="G170" s="695">
        <v>0.09</v>
      </c>
      <c r="H170" s="700">
        <v>1</v>
      </c>
      <c r="I170" s="626"/>
      <c r="J170" s="751"/>
      <c r="L170" s="608" t="s">
        <v>26</v>
      </c>
      <c r="M170" s="608" t="s">
        <v>1201</v>
      </c>
      <c r="N170" s="608" t="s">
        <v>1351</v>
      </c>
      <c r="O170" s="608"/>
      <c r="P170" s="608" t="s">
        <v>1333</v>
      </c>
      <c r="Q170" s="608"/>
      <c r="R170" s="608">
        <v>0</v>
      </c>
      <c r="T170" s="751"/>
      <c r="V170" s="609">
        <f t="shared" si="21"/>
        <v>0</v>
      </c>
      <c r="W170" s="700"/>
    </row>
    <row r="171" spans="1:23" ht="79.2" outlineLevel="3">
      <c r="A171" s="376"/>
      <c r="B171" s="376" t="s">
        <v>130</v>
      </c>
      <c r="C171" s="376" t="s">
        <v>131</v>
      </c>
      <c r="D171" s="376" t="s">
        <v>25</v>
      </c>
      <c r="E171" s="376" t="s">
        <v>26</v>
      </c>
      <c r="F171" s="608" t="s">
        <v>1362</v>
      </c>
      <c r="G171" s="695">
        <v>0.13</v>
      </c>
      <c r="H171" s="700">
        <v>1</v>
      </c>
      <c r="I171" s="626"/>
      <c r="J171" s="751"/>
      <c r="L171" s="608" t="s">
        <v>26</v>
      </c>
      <c r="M171" s="608" t="s">
        <v>1201</v>
      </c>
      <c r="N171" s="608" t="s">
        <v>1363</v>
      </c>
      <c r="O171" s="608"/>
      <c r="P171" s="608" t="s">
        <v>1333</v>
      </c>
      <c r="Q171" s="608"/>
      <c r="R171" s="608">
        <v>0</v>
      </c>
      <c r="T171" s="751"/>
      <c r="V171" s="609">
        <f t="shared" si="21"/>
        <v>0</v>
      </c>
      <c r="W171" s="700"/>
    </row>
    <row r="172" spans="1:23" ht="79.2" outlineLevel="3">
      <c r="A172" s="376"/>
      <c r="B172" s="376" t="s">
        <v>130</v>
      </c>
      <c r="C172" s="376" t="s">
        <v>131</v>
      </c>
      <c r="D172" s="376" t="s">
        <v>25</v>
      </c>
      <c r="E172" s="376" t="s">
        <v>26</v>
      </c>
      <c r="F172" s="608" t="s">
        <v>1346</v>
      </c>
      <c r="G172" s="695">
        <v>0.13</v>
      </c>
      <c r="H172" s="700">
        <v>1</v>
      </c>
      <c r="I172" s="626"/>
      <c r="J172" s="751"/>
      <c r="L172" s="608" t="s">
        <v>26</v>
      </c>
      <c r="M172" s="608" t="s">
        <v>1201</v>
      </c>
      <c r="N172" s="608" t="s">
        <v>1363</v>
      </c>
      <c r="O172" s="608"/>
      <c r="P172" s="608" t="s">
        <v>1333</v>
      </c>
      <c r="Q172" s="608"/>
      <c r="R172" s="608">
        <v>0</v>
      </c>
      <c r="T172" s="751"/>
      <c r="V172" s="609">
        <f t="shared" si="21"/>
        <v>0</v>
      </c>
      <c r="W172" s="700"/>
    </row>
    <row r="173" spans="1:23" s="612" customFormat="1" outlineLevel="1">
      <c r="A173" s="380"/>
      <c r="B173" s="666" t="s">
        <v>160</v>
      </c>
      <c r="C173" s="666" t="s">
        <v>22</v>
      </c>
      <c r="D173" s="666"/>
      <c r="E173" s="666"/>
      <c r="F173" s="681" t="s">
        <v>262</v>
      </c>
      <c r="G173" s="701">
        <f>SUBTOTAL(9,G174:G185)</f>
        <v>0.63298114171514996</v>
      </c>
      <c r="H173" s="702">
        <f>SUBTOTAL(9,H174:H185)</f>
        <v>9</v>
      </c>
      <c r="I173" s="627"/>
      <c r="J173" s="753"/>
      <c r="L173" s="760"/>
      <c r="M173" s="760"/>
      <c r="N173" s="760"/>
      <c r="O173" s="760"/>
      <c r="P173" s="760"/>
      <c r="Q173" s="760"/>
      <c r="R173" s="760"/>
      <c r="T173" s="753"/>
      <c r="V173" s="701">
        <f>SUBTOTAL(9,V174:V185)</f>
        <v>0</v>
      </c>
      <c r="W173" s="702">
        <f>SUBTOTAL(9,W174:W185)</f>
        <v>0</v>
      </c>
    </row>
    <row r="174" spans="1:23" ht="26.4" outlineLevel="2">
      <c r="A174" s="376"/>
      <c r="B174" s="684" t="s">
        <v>160</v>
      </c>
      <c r="C174" s="684" t="s">
        <v>22</v>
      </c>
      <c r="D174" s="684" t="s">
        <v>17</v>
      </c>
      <c r="E174" s="684"/>
      <c r="F174" s="685" t="s">
        <v>1364</v>
      </c>
      <c r="G174" s="686">
        <f>SUBTOTAL(9,G175:G177)</f>
        <v>0.30105801900000001</v>
      </c>
      <c r="H174" s="691">
        <f>SUBTOTAL(9,H175:H177)</f>
        <v>3</v>
      </c>
      <c r="I174" s="626"/>
      <c r="J174" s="751"/>
      <c r="L174" s="685"/>
      <c r="M174" s="685"/>
      <c r="N174" s="685"/>
      <c r="O174" s="685"/>
      <c r="P174" s="685"/>
      <c r="Q174" s="685"/>
      <c r="R174" s="685"/>
      <c r="T174" s="751"/>
      <c r="V174" s="686">
        <f>SUBTOTAL(9,V175:V177)</f>
        <v>0</v>
      </c>
      <c r="W174" s="691">
        <f>SUBTOTAL(9,W175:W177)</f>
        <v>0</v>
      </c>
    </row>
    <row r="175" spans="1:23" ht="26.4" outlineLevel="3">
      <c r="A175" s="376"/>
      <c r="B175" s="376" t="s">
        <v>160</v>
      </c>
      <c r="C175" s="376" t="s">
        <v>22</v>
      </c>
      <c r="D175" s="376" t="s">
        <v>17</v>
      </c>
      <c r="E175" s="376" t="s">
        <v>127</v>
      </c>
      <c r="F175" s="608" t="s">
        <v>1365</v>
      </c>
      <c r="G175" s="609">
        <v>0.13060359000000002</v>
      </c>
      <c r="H175" s="692">
        <v>1</v>
      </c>
      <c r="I175" s="626"/>
      <c r="J175" s="751"/>
      <c r="L175" s="608" t="s">
        <v>127</v>
      </c>
      <c r="M175" s="608" t="s">
        <v>1320</v>
      </c>
      <c r="N175" s="608" t="s">
        <v>1337</v>
      </c>
      <c r="O175" s="608" t="s">
        <v>1366</v>
      </c>
      <c r="P175" s="608" t="s">
        <v>1338</v>
      </c>
      <c r="Q175" s="608"/>
      <c r="R175" s="608"/>
      <c r="T175" s="751"/>
      <c r="V175" s="609">
        <f t="shared" ref="V175:V177" si="22">IF(W175=1,G175,0)</f>
        <v>0</v>
      </c>
      <c r="W175" s="692"/>
    </row>
    <row r="176" spans="1:23" ht="26.4" outlineLevel="3">
      <c r="A176" s="376"/>
      <c r="B176" s="376" t="s">
        <v>160</v>
      </c>
      <c r="C176" s="376" t="s">
        <v>22</v>
      </c>
      <c r="D176" s="376" t="s">
        <v>17</v>
      </c>
      <c r="E176" s="376" t="s">
        <v>127</v>
      </c>
      <c r="F176" s="608" t="s">
        <v>1367</v>
      </c>
      <c r="G176" s="609">
        <v>7.8362154000000003E-2</v>
      </c>
      <c r="H176" s="692">
        <v>1</v>
      </c>
      <c r="I176" s="626"/>
      <c r="J176" s="751"/>
      <c r="L176" s="608" t="s">
        <v>127</v>
      </c>
      <c r="M176" s="608" t="s">
        <v>1320</v>
      </c>
      <c r="N176" s="608" t="s">
        <v>1337</v>
      </c>
      <c r="O176" s="608" t="s">
        <v>1366</v>
      </c>
      <c r="P176" s="608" t="s">
        <v>1338</v>
      </c>
      <c r="Q176" s="608"/>
      <c r="R176" s="608"/>
      <c r="T176" s="751"/>
      <c r="V176" s="609">
        <f t="shared" si="22"/>
        <v>0</v>
      </c>
      <c r="W176" s="692"/>
    </row>
    <row r="177" spans="1:23" ht="26.4" outlineLevel="3">
      <c r="A177" s="376"/>
      <c r="B177" s="376" t="s">
        <v>160</v>
      </c>
      <c r="C177" s="376" t="s">
        <v>22</v>
      </c>
      <c r="D177" s="376" t="s">
        <v>17</v>
      </c>
      <c r="E177" s="376" t="s">
        <v>127</v>
      </c>
      <c r="F177" s="608" t="s">
        <v>1368</v>
      </c>
      <c r="G177" s="609">
        <v>9.2092275000000001E-2</v>
      </c>
      <c r="H177" s="692">
        <v>1</v>
      </c>
      <c r="I177" s="626"/>
      <c r="J177" s="751"/>
      <c r="L177" s="608" t="s">
        <v>127</v>
      </c>
      <c r="M177" s="608" t="s">
        <v>1320</v>
      </c>
      <c r="N177" s="608" t="s">
        <v>1337</v>
      </c>
      <c r="O177" s="608" t="s">
        <v>1366</v>
      </c>
      <c r="P177" s="608" t="s">
        <v>1338</v>
      </c>
      <c r="Q177" s="608"/>
      <c r="R177" s="608"/>
      <c r="T177" s="751"/>
      <c r="V177" s="609">
        <f t="shared" si="22"/>
        <v>0</v>
      </c>
      <c r="W177" s="692"/>
    </row>
    <row r="178" spans="1:23" ht="26.4" outlineLevel="2">
      <c r="A178" s="376"/>
      <c r="B178" s="684" t="s">
        <v>160</v>
      </c>
      <c r="C178" s="684" t="s">
        <v>22</v>
      </c>
      <c r="D178" s="684" t="s">
        <v>25</v>
      </c>
      <c r="E178" s="684"/>
      <c r="F178" s="685" t="s">
        <v>1364</v>
      </c>
      <c r="G178" s="686">
        <f>SUBTOTAL(9,G179:G182)</f>
        <v>0.28480034280014982</v>
      </c>
      <c r="H178" s="691">
        <f>SUBTOTAL(9,H179:H182)</f>
        <v>4</v>
      </c>
      <c r="I178" s="626"/>
      <c r="J178" s="751"/>
      <c r="L178" s="685"/>
      <c r="M178" s="685"/>
      <c r="N178" s="685"/>
      <c r="O178" s="685"/>
      <c r="P178" s="685"/>
      <c r="Q178" s="685"/>
      <c r="R178" s="685"/>
      <c r="T178" s="751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160</v>
      </c>
      <c r="C179" s="376" t="s">
        <v>22</v>
      </c>
      <c r="D179" s="376" t="s">
        <v>25</v>
      </c>
      <c r="E179" s="376" t="s">
        <v>26</v>
      </c>
      <c r="F179" s="608" t="s">
        <v>1365</v>
      </c>
      <c r="G179" s="609">
        <v>0.11799571852507491</v>
      </c>
      <c r="H179" s="692">
        <v>1</v>
      </c>
      <c r="I179" s="626"/>
      <c r="J179" s="751"/>
      <c r="L179" s="608" t="s">
        <v>26</v>
      </c>
      <c r="M179" s="608" t="s">
        <v>1201</v>
      </c>
      <c r="N179" s="608" t="s">
        <v>1325</v>
      </c>
      <c r="O179" s="608"/>
      <c r="P179" s="608" t="s">
        <v>1369</v>
      </c>
      <c r="Q179" s="608"/>
      <c r="R179" s="608">
        <v>0</v>
      </c>
      <c r="T179" s="751"/>
      <c r="V179" s="609">
        <f t="shared" ref="V179:V182" si="23">IF(W179=1,G179,0)</f>
        <v>0</v>
      </c>
      <c r="W179" s="692"/>
    </row>
    <row r="180" spans="1:23" outlineLevel="3">
      <c r="A180" s="376"/>
      <c r="B180" s="376" t="s">
        <v>160</v>
      </c>
      <c r="C180" s="376" t="s">
        <v>22</v>
      </c>
      <c r="D180" s="376" t="s">
        <v>25</v>
      </c>
      <c r="E180" s="376" t="s">
        <v>26</v>
      </c>
      <c r="F180" s="608" t="s">
        <v>1367</v>
      </c>
      <c r="G180" s="609">
        <v>0.11799571852507491</v>
      </c>
      <c r="H180" s="692">
        <v>1</v>
      </c>
      <c r="I180" s="626"/>
      <c r="J180" s="751"/>
      <c r="L180" s="608" t="s">
        <v>26</v>
      </c>
      <c r="M180" s="608" t="s">
        <v>1201</v>
      </c>
      <c r="N180" s="608" t="s">
        <v>1325</v>
      </c>
      <c r="O180" s="608"/>
      <c r="P180" s="608" t="s">
        <v>1369</v>
      </c>
      <c r="Q180" s="608"/>
      <c r="R180" s="608">
        <v>0</v>
      </c>
      <c r="T180" s="751"/>
      <c r="V180" s="609">
        <f t="shared" si="23"/>
        <v>0</v>
      </c>
      <c r="W180" s="692"/>
    </row>
    <row r="181" spans="1:23" outlineLevel="3">
      <c r="A181" s="376"/>
      <c r="B181" s="376" t="s">
        <v>160</v>
      </c>
      <c r="C181" s="376" t="s">
        <v>22</v>
      </c>
      <c r="D181" s="376" t="s">
        <v>25</v>
      </c>
      <c r="E181" s="376" t="s">
        <v>26</v>
      </c>
      <c r="F181" s="608" t="s">
        <v>1370</v>
      </c>
      <c r="G181" s="609">
        <v>9.7617811500000009E-3</v>
      </c>
      <c r="H181" s="692">
        <v>1</v>
      </c>
      <c r="I181" s="626"/>
      <c r="J181" s="751"/>
      <c r="L181" s="608" t="s">
        <v>26</v>
      </c>
      <c r="M181" s="608"/>
      <c r="N181" s="608" t="s">
        <v>1371</v>
      </c>
      <c r="O181" s="608"/>
      <c r="P181" s="608"/>
      <c r="Q181" s="608"/>
      <c r="R181" s="608">
        <v>0</v>
      </c>
      <c r="T181" s="751"/>
      <c r="V181" s="609">
        <f t="shared" si="23"/>
        <v>0</v>
      </c>
      <c r="W181" s="692"/>
    </row>
    <row r="182" spans="1:23" outlineLevel="3">
      <c r="A182" s="376"/>
      <c r="B182" s="376" t="s">
        <v>160</v>
      </c>
      <c r="C182" s="376" t="s">
        <v>22</v>
      </c>
      <c r="D182" s="376" t="s">
        <v>25</v>
      </c>
      <c r="E182" s="376" t="s">
        <v>26</v>
      </c>
      <c r="F182" s="608" t="s">
        <v>1368</v>
      </c>
      <c r="G182" s="609">
        <v>3.9047124600000004E-2</v>
      </c>
      <c r="H182" s="692">
        <v>1</v>
      </c>
      <c r="I182" s="626"/>
      <c r="J182" s="751"/>
      <c r="L182" s="608" t="s">
        <v>26</v>
      </c>
      <c r="M182" s="608"/>
      <c r="N182" s="608" t="s">
        <v>1371</v>
      </c>
      <c r="O182" s="608"/>
      <c r="P182" s="608"/>
      <c r="Q182" s="608"/>
      <c r="R182" s="608">
        <v>0</v>
      </c>
      <c r="T182" s="751"/>
      <c r="V182" s="609">
        <f t="shared" si="23"/>
        <v>0</v>
      </c>
      <c r="W182" s="692"/>
    </row>
    <row r="183" spans="1:23" ht="26.4" outlineLevel="2">
      <c r="A183" s="376"/>
      <c r="B183" s="684" t="s">
        <v>160</v>
      </c>
      <c r="C183" s="684" t="s">
        <v>22</v>
      </c>
      <c r="D183" s="684" t="s">
        <v>27</v>
      </c>
      <c r="E183" s="684"/>
      <c r="F183" s="685" t="s">
        <v>1372</v>
      </c>
      <c r="G183" s="686">
        <f>SUBTOTAL(9,G184:G185)</f>
        <v>4.7122779914999996E-2</v>
      </c>
      <c r="H183" s="691">
        <f>SUBTOTAL(9,H184:H185)</f>
        <v>2</v>
      </c>
      <c r="I183" s="626"/>
      <c r="J183" s="751"/>
      <c r="L183" s="685"/>
      <c r="M183" s="685"/>
      <c r="N183" s="685"/>
      <c r="O183" s="685"/>
      <c r="P183" s="685"/>
      <c r="Q183" s="685"/>
      <c r="R183" s="685"/>
      <c r="T183" s="751"/>
      <c r="V183" s="686">
        <f>SUBTOTAL(9,V184:V185)</f>
        <v>0</v>
      </c>
      <c r="W183" s="691">
        <f>SUBTOTAL(9,W184:W185)</f>
        <v>0</v>
      </c>
    </row>
    <row r="184" spans="1:23" ht="39.6" outlineLevel="3">
      <c r="A184" s="376"/>
      <c r="B184" s="376" t="s">
        <v>160</v>
      </c>
      <c r="C184" s="376" t="s">
        <v>22</v>
      </c>
      <c r="D184" s="376" t="s">
        <v>27</v>
      </c>
      <c r="E184" s="376" t="s">
        <v>28</v>
      </c>
      <c r="F184" s="608" t="s">
        <v>1365</v>
      </c>
      <c r="G184" s="609">
        <v>3.0822447240000002E-2</v>
      </c>
      <c r="H184" s="692">
        <v>1</v>
      </c>
      <c r="I184" s="626"/>
      <c r="J184" s="751"/>
      <c r="L184" s="608" t="s">
        <v>28</v>
      </c>
      <c r="M184" s="608" t="s">
        <v>1208</v>
      </c>
      <c r="N184" s="608" t="s">
        <v>1373</v>
      </c>
      <c r="O184" s="608" t="s">
        <v>1374</v>
      </c>
      <c r="P184" s="608"/>
      <c r="Q184" s="608"/>
      <c r="R184" s="608"/>
      <c r="T184" s="751"/>
      <c r="V184" s="609">
        <f t="shared" ref="V184:V185" si="24">IF(W184=1,G184,0)</f>
        <v>0</v>
      </c>
      <c r="W184" s="692"/>
    </row>
    <row r="185" spans="1:23" ht="39.6" outlineLevel="3">
      <c r="A185" s="376"/>
      <c r="B185" s="376" t="s">
        <v>160</v>
      </c>
      <c r="C185" s="376" t="s">
        <v>22</v>
      </c>
      <c r="D185" s="376" t="s">
        <v>27</v>
      </c>
      <c r="E185" s="376" t="s">
        <v>28</v>
      </c>
      <c r="F185" s="608" t="s">
        <v>1368</v>
      </c>
      <c r="G185" s="609">
        <v>1.6300332674999998E-2</v>
      </c>
      <c r="H185" s="692">
        <v>1</v>
      </c>
      <c r="I185" s="626"/>
      <c r="J185" s="751"/>
      <c r="L185" s="608" t="s">
        <v>28</v>
      </c>
      <c r="M185" s="608" t="s">
        <v>1208</v>
      </c>
      <c r="N185" s="608" t="s">
        <v>1373</v>
      </c>
      <c r="O185" s="608" t="s">
        <v>1374</v>
      </c>
      <c r="P185" s="608"/>
      <c r="Q185" s="608"/>
      <c r="R185" s="608"/>
      <c r="T185" s="751"/>
      <c r="V185" s="609">
        <f t="shared" si="24"/>
        <v>0</v>
      </c>
      <c r="W185" s="692"/>
    </row>
    <row r="186" spans="1:23" outlineLevel="1">
      <c r="A186" s="376"/>
      <c r="B186" s="665" t="s">
        <v>167</v>
      </c>
      <c r="C186" s="665" t="s">
        <v>121</v>
      </c>
      <c r="D186" s="665"/>
      <c r="E186" s="665"/>
      <c r="F186" s="681" t="s">
        <v>262</v>
      </c>
      <c r="G186" s="701">
        <f>SUBTOTAL(9,G187:G199)</f>
        <v>0.87000000000000011</v>
      </c>
      <c r="H186" s="702">
        <f>SUBTOTAL(9,H187:H199)</f>
        <v>10</v>
      </c>
      <c r="I186" s="626"/>
      <c r="J186" s="751"/>
      <c r="L186" s="681"/>
      <c r="M186" s="681"/>
      <c r="N186" s="681"/>
      <c r="O186" s="681"/>
      <c r="P186" s="681"/>
      <c r="Q186" s="681"/>
      <c r="R186" s="681"/>
      <c r="T186" s="751"/>
      <c r="V186" s="701">
        <f>SUBTOTAL(9,V187:V199)</f>
        <v>0.08</v>
      </c>
      <c r="W186" s="702">
        <f>SUBTOTAL(9,W187:W199)</f>
        <v>1</v>
      </c>
    </row>
    <row r="187" spans="1:23" outlineLevel="2">
      <c r="A187" s="376"/>
      <c r="B187" s="684" t="s">
        <v>167</v>
      </c>
      <c r="C187" s="684" t="s">
        <v>121</v>
      </c>
      <c r="D187" s="684" t="s">
        <v>17</v>
      </c>
      <c r="E187" s="684"/>
      <c r="F187" s="685" t="s">
        <v>77</v>
      </c>
      <c r="G187" s="713">
        <f>SUBTOTAL(9,G188:G191)</f>
        <v>0.45000000000000007</v>
      </c>
      <c r="H187" s="714">
        <f>SUBTOTAL(9,H188:H191)</f>
        <v>4</v>
      </c>
      <c r="I187" s="626"/>
      <c r="J187" s="751"/>
      <c r="L187" s="685"/>
      <c r="M187" s="685"/>
      <c r="N187" s="685"/>
      <c r="O187" s="685"/>
      <c r="P187" s="685"/>
      <c r="Q187" s="685"/>
      <c r="R187" s="685"/>
      <c r="T187" s="751"/>
      <c r="V187" s="713">
        <f>SUBTOTAL(9,V188:V191)</f>
        <v>0</v>
      </c>
      <c r="W187" s="714">
        <f>SUBTOTAL(9,W188:W191)</f>
        <v>0</v>
      </c>
    </row>
    <row r="188" spans="1:23" ht="26.4" outlineLevel="3">
      <c r="A188" s="376"/>
      <c r="B188" s="376" t="s">
        <v>167</v>
      </c>
      <c r="C188" s="376" t="s">
        <v>121</v>
      </c>
      <c r="D188" s="376" t="s">
        <v>17</v>
      </c>
      <c r="E188" s="376" t="s">
        <v>127</v>
      </c>
      <c r="F188" s="608" t="s">
        <v>1375</v>
      </c>
      <c r="G188" s="695">
        <v>0.3</v>
      </c>
      <c r="H188" s="700">
        <v>1</v>
      </c>
      <c r="I188" s="626"/>
      <c r="J188" s="751"/>
      <c r="L188" s="608" t="s">
        <v>127</v>
      </c>
      <c r="M188" s="608" t="s">
        <v>1320</v>
      </c>
      <c r="N188" s="608" t="s">
        <v>1376</v>
      </c>
      <c r="O188" s="608" t="s">
        <v>1377</v>
      </c>
      <c r="P188" s="608" t="s">
        <v>1378</v>
      </c>
      <c r="Q188" s="608"/>
      <c r="R188" s="608"/>
      <c r="T188" s="751"/>
      <c r="V188" s="609">
        <f t="shared" ref="V188:V191" si="25">IF(W188=1,G188,0)</f>
        <v>0</v>
      </c>
      <c r="W188" s="700"/>
    </row>
    <row r="189" spans="1:23" ht="26.4" outlineLevel="3">
      <c r="A189" s="376"/>
      <c r="B189" s="376" t="s">
        <v>167</v>
      </c>
      <c r="C189" s="376" t="s">
        <v>121</v>
      </c>
      <c r="D189" s="376" t="s">
        <v>17</v>
      </c>
      <c r="E189" s="376" t="s">
        <v>127</v>
      </c>
      <c r="F189" s="608" t="s">
        <v>1344</v>
      </c>
      <c r="G189" s="695">
        <v>0.09</v>
      </c>
      <c r="H189" s="700">
        <v>1</v>
      </c>
      <c r="I189" s="626"/>
      <c r="J189" s="751"/>
      <c r="L189" s="608" t="s">
        <v>127</v>
      </c>
      <c r="M189" s="608" t="s">
        <v>1320</v>
      </c>
      <c r="N189" s="608" t="s">
        <v>1376</v>
      </c>
      <c r="O189" s="608" t="s">
        <v>1377</v>
      </c>
      <c r="P189" s="608" t="s">
        <v>1378</v>
      </c>
      <c r="Q189" s="608"/>
      <c r="R189" s="608"/>
      <c r="T189" s="751"/>
      <c r="V189" s="609">
        <f t="shared" si="25"/>
        <v>0</v>
      </c>
      <c r="W189" s="700"/>
    </row>
    <row r="190" spans="1:23" ht="26.4" outlineLevel="3">
      <c r="A190" s="376"/>
      <c r="B190" s="376" t="s">
        <v>167</v>
      </c>
      <c r="C190" s="376" t="s">
        <v>121</v>
      </c>
      <c r="D190" s="376" t="s">
        <v>17</v>
      </c>
      <c r="E190" s="376" t="s">
        <v>127</v>
      </c>
      <c r="F190" s="608" t="s">
        <v>1324</v>
      </c>
      <c r="G190" s="695">
        <v>0.03</v>
      </c>
      <c r="H190" s="700">
        <v>1</v>
      </c>
      <c r="I190" s="626"/>
      <c r="J190" s="751"/>
      <c r="L190" s="608" t="s">
        <v>127</v>
      </c>
      <c r="M190" s="608" t="s">
        <v>1320</v>
      </c>
      <c r="N190" s="608" t="s">
        <v>1376</v>
      </c>
      <c r="O190" s="608" t="s">
        <v>1377</v>
      </c>
      <c r="P190" s="608" t="s">
        <v>1378</v>
      </c>
      <c r="Q190" s="608"/>
      <c r="R190" s="608"/>
      <c r="T190" s="751"/>
      <c r="V190" s="609">
        <f t="shared" si="25"/>
        <v>0</v>
      </c>
      <c r="W190" s="700"/>
    </row>
    <row r="191" spans="1:23" ht="26.4" outlineLevel="3">
      <c r="A191" s="376"/>
      <c r="B191" s="376" t="s">
        <v>167</v>
      </c>
      <c r="C191" s="376" t="s">
        <v>121</v>
      </c>
      <c r="D191" s="376" t="s">
        <v>17</v>
      </c>
      <c r="E191" s="376" t="s">
        <v>127</v>
      </c>
      <c r="F191" s="608" t="s">
        <v>1334</v>
      </c>
      <c r="G191" s="695">
        <v>0.03</v>
      </c>
      <c r="H191" s="700">
        <v>1</v>
      </c>
      <c r="I191" s="626"/>
      <c r="J191" s="751"/>
      <c r="L191" s="608" t="s">
        <v>127</v>
      </c>
      <c r="M191" s="608" t="s">
        <v>1320</v>
      </c>
      <c r="N191" s="608" t="s">
        <v>1376</v>
      </c>
      <c r="O191" s="608" t="s">
        <v>1377</v>
      </c>
      <c r="P191" s="608" t="s">
        <v>1378</v>
      </c>
      <c r="Q191" s="608"/>
      <c r="R191" s="608"/>
      <c r="T191" s="751"/>
      <c r="V191" s="609">
        <f t="shared" si="25"/>
        <v>0</v>
      </c>
      <c r="W191" s="700"/>
    </row>
    <row r="192" spans="1:23" outlineLevel="2">
      <c r="A192" s="376"/>
      <c r="B192" s="684" t="s">
        <v>167</v>
      </c>
      <c r="C192" s="684" t="s">
        <v>121</v>
      </c>
      <c r="D192" s="684" t="s">
        <v>25</v>
      </c>
      <c r="E192" s="684"/>
      <c r="F192" s="685" t="s">
        <v>77</v>
      </c>
      <c r="G192" s="713">
        <f>SUBTOTAL(9,G193:G197)</f>
        <v>0.38000000000000006</v>
      </c>
      <c r="H192" s="714">
        <f>SUBTOTAL(9,H193:H197)</f>
        <v>5</v>
      </c>
      <c r="I192" s="626"/>
      <c r="J192" s="751"/>
      <c r="L192" s="685"/>
      <c r="M192" s="685"/>
      <c r="N192" s="685"/>
      <c r="O192" s="685"/>
      <c r="P192" s="685"/>
      <c r="Q192" s="685"/>
      <c r="R192" s="685"/>
      <c r="T192" s="751"/>
      <c r="V192" s="713">
        <f>SUBTOTAL(9,V193:V197)</f>
        <v>0.08</v>
      </c>
      <c r="W192" s="714">
        <f>SUBTOTAL(9,W193:W197)</f>
        <v>1</v>
      </c>
    </row>
    <row r="193" spans="1:23" ht="26.4" outlineLevel="3">
      <c r="A193" s="376"/>
      <c r="B193" s="376" t="s">
        <v>167</v>
      </c>
      <c r="C193" s="376" t="s">
        <v>121</v>
      </c>
      <c r="D193" s="376" t="s">
        <v>25</v>
      </c>
      <c r="E193" s="376" t="s">
        <v>26</v>
      </c>
      <c r="F193" s="608" t="s">
        <v>1379</v>
      </c>
      <c r="G193" s="695">
        <v>0.08</v>
      </c>
      <c r="H193" s="700">
        <v>1</v>
      </c>
      <c r="I193" s="626"/>
      <c r="J193" s="751"/>
      <c r="L193" s="608" t="s">
        <v>26</v>
      </c>
      <c r="M193" s="608" t="s">
        <v>1201</v>
      </c>
      <c r="N193" s="608" t="s">
        <v>1380</v>
      </c>
      <c r="O193" s="608"/>
      <c r="P193" s="608" t="s">
        <v>1381</v>
      </c>
      <c r="Q193" s="608"/>
      <c r="R193" s="608">
        <v>0</v>
      </c>
      <c r="T193" s="751"/>
      <c r="V193" s="609">
        <f t="shared" ref="V193:V197" si="26">IF(W193=1,G193,0)</f>
        <v>0.08</v>
      </c>
      <c r="W193" s="700">
        <v>1</v>
      </c>
    </row>
    <row r="194" spans="1:23" outlineLevel="3">
      <c r="A194" s="376"/>
      <c r="B194" s="376" t="s">
        <v>167</v>
      </c>
      <c r="C194" s="376" t="s">
        <v>121</v>
      </c>
      <c r="D194" s="376" t="s">
        <v>25</v>
      </c>
      <c r="E194" s="376" t="s">
        <v>26</v>
      </c>
      <c r="F194" s="608" t="s">
        <v>1382</v>
      </c>
      <c r="G194" s="609">
        <v>0.17</v>
      </c>
      <c r="H194" s="700">
        <v>1</v>
      </c>
      <c r="I194" s="626"/>
      <c r="J194" s="751"/>
      <c r="L194" s="608" t="s">
        <v>26</v>
      </c>
      <c r="M194" s="608" t="s">
        <v>1201</v>
      </c>
      <c r="N194" s="608" t="s">
        <v>1380</v>
      </c>
      <c r="O194" s="608"/>
      <c r="P194" s="608" t="s">
        <v>1381</v>
      </c>
      <c r="Q194" s="608"/>
      <c r="R194" s="608">
        <v>0</v>
      </c>
      <c r="T194" s="751"/>
      <c r="V194" s="609">
        <f t="shared" si="26"/>
        <v>0</v>
      </c>
      <c r="W194" s="700"/>
    </row>
    <row r="195" spans="1:23" outlineLevel="3">
      <c r="A195" s="376"/>
      <c r="B195" s="376" t="s">
        <v>167</v>
      </c>
      <c r="C195" s="376" t="s">
        <v>121</v>
      </c>
      <c r="D195" s="376" t="s">
        <v>25</v>
      </c>
      <c r="E195" s="376" t="s">
        <v>26</v>
      </c>
      <c r="F195" s="608" t="s">
        <v>1324</v>
      </c>
      <c r="G195" s="695">
        <v>0.03</v>
      </c>
      <c r="H195" s="700">
        <v>1</v>
      </c>
      <c r="I195" s="626"/>
      <c r="J195" s="751"/>
      <c r="L195" s="608" t="s">
        <v>26</v>
      </c>
      <c r="M195" s="608" t="s">
        <v>1201</v>
      </c>
      <c r="N195" s="608" t="s">
        <v>1380</v>
      </c>
      <c r="O195" s="608"/>
      <c r="P195" s="608" t="s">
        <v>1381</v>
      </c>
      <c r="Q195" s="608"/>
      <c r="R195" s="608">
        <v>0</v>
      </c>
      <c r="T195" s="751"/>
      <c r="V195" s="609">
        <f t="shared" si="26"/>
        <v>0</v>
      </c>
      <c r="W195" s="700"/>
    </row>
    <row r="196" spans="1:23" outlineLevel="3">
      <c r="A196" s="376"/>
      <c r="B196" s="376" t="s">
        <v>167</v>
      </c>
      <c r="C196" s="376" t="s">
        <v>121</v>
      </c>
      <c r="D196" s="376" t="s">
        <v>25</v>
      </c>
      <c r="E196" s="376" t="s">
        <v>26</v>
      </c>
      <c r="F196" s="608" t="s">
        <v>1334</v>
      </c>
      <c r="G196" s="695">
        <v>0.03</v>
      </c>
      <c r="H196" s="700">
        <v>1</v>
      </c>
      <c r="I196" s="626"/>
      <c r="J196" s="751"/>
      <c r="L196" s="608" t="s">
        <v>26</v>
      </c>
      <c r="M196" s="608" t="s">
        <v>1201</v>
      </c>
      <c r="N196" s="608" t="s">
        <v>1380</v>
      </c>
      <c r="O196" s="608"/>
      <c r="P196" s="608" t="s">
        <v>1381</v>
      </c>
      <c r="Q196" s="608"/>
      <c r="R196" s="608">
        <v>0</v>
      </c>
      <c r="T196" s="751"/>
      <c r="V196" s="609">
        <f t="shared" si="26"/>
        <v>0</v>
      </c>
      <c r="W196" s="700"/>
    </row>
    <row r="197" spans="1:23" ht="26.4" outlineLevel="3">
      <c r="A197" s="376"/>
      <c r="B197" s="376" t="s">
        <v>167</v>
      </c>
      <c r="C197" s="376" t="s">
        <v>121</v>
      </c>
      <c r="D197" s="376" t="s">
        <v>25</v>
      </c>
      <c r="E197" s="376" t="s">
        <v>26</v>
      </c>
      <c r="F197" s="608" t="s">
        <v>1383</v>
      </c>
      <c r="G197" s="695">
        <v>7.0000000000000007E-2</v>
      </c>
      <c r="H197" s="700">
        <v>1</v>
      </c>
      <c r="I197" s="626"/>
      <c r="J197" s="751"/>
      <c r="L197" s="608" t="s">
        <v>26</v>
      </c>
      <c r="M197" s="608" t="s">
        <v>1201</v>
      </c>
      <c r="N197" s="608" t="s">
        <v>1380</v>
      </c>
      <c r="O197" s="608"/>
      <c r="P197" s="608" t="s">
        <v>1381</v>
      </c>
      <c r="Q197" s="608"/>
      <c r="R197" s="608">
        <v>0</v>
      </c>
      <c r="T197" s="751"/>
      <c r="V197" s="609">
        <f t="shared" si="26"/>
        <v>0</v>
      </c>
      <c r="W197" s="700"/>
    </row>
    <row r="198" spans="1:23" outlineLevel="2">
      <c r="A198" s="376"/>
      <c r="B198" s="684" t="s">
        <v>167</v>
      </c>
      <c r="C198" s="684" t="s">
        <v>121</v>
      </c>
      <c r="D198" s="684" t="s">
        <v>27</v>
      </c>
      <c r="E198" s="684"/>
      <c r="F198" s="685" t="s">
        <v>77</v>
      </c>
      <c r="G198" s="713">
        <f>SUBTOTAL(9,G199)</f>
        <v>0.04</v>
      </c>
      <c r="H198" s="714">
        <f>SUBTOTAL(9,H199)</f>
        <v>1</v>
      </c>
      <c r="I198" s="626"/>
      <c r="J198" s="751"/>
      <c r="L198" s="685"/>
      <c r="M198" s="685"/>
      <c r="N198" s="685"/>
      <c r="O198" s="685"/>
      <c r="P198" s="685"/>
      <c r="Q198" s="685"/>
      <c r="R198" s="685"/>
      <c r="T198" s="751"/>
      <c r="V198" s="713">
        <f>SUBTOTAL(9,V199)</f>
        <v>0</v>
      </c>
      <c r="W198" s="714">
        <f>SUBTOTAL(9,W199)</f>
        <v>0</v>
      </c>
    </row>
    <row r="199" spans="1:23" ht="39.6" outlineLevel="3">
      <c r="A199" s="376"/>
      <c r="B199" s="376" t="s">
        <v>167</v>
      </c>
      <c r="C199" s="376" t="s">
        <v>121</v>
      </c>
      <c r="D199" s="376" t="s">
        <v>27</v>
      </c>
      <c r="E199" s="376" t="s">
        <v>28</v>
      </c>
      <c r="F199" s="608" t="s">
        <v>1334</v>
      </c>
      <c r="G199" s="695">
        <v>0.04</v>
      </c>
      <c r="H199" s="700">
        <v>1</v>
      </c>
      <c r="I199" s="626"/>
      <c r="J199" s="751"/>
      <c r="L199" s="608" t="s">
        <v>28</v>
      </c>
      <c r="M199" s="608" t="s">
        <v>1208</v>
      </c>
      <c r="N199" s="608" t="s">
        <v>1209</v>
      </c>
      <c r="O199" s="608" t="s">
        <v>1235</v>
      </c>
      <c r="P199" s="608"/>
      <c r="Q199" s="608"/>
      <c r="R199" s="608"/>
      <c r="T199" s="751"/>
      <c r="V199" s="609">
        <f t="shared" ref="V199" si="27">IF(W199=1,G199,0)</f>
        <v>0</v>
      </c>
      <c r="W199" s="700"/>
    </row>
    <row r="200" spans="1:23" outlineLevel="1">
      <c r="A200" s="376"/>
      <c r="B200" s="665" t="s">
        <v>173</v>
      </c>
      <c r="C200" s="665" t="s">
        <v>173</v>
      </c>
      <c r="D200" s="665"/>
      <c r="E200" s="665"/>
      <c r="F200" s="681" t="s">
        <v>262</v>
      </c>
      <c r="G200" s="701">
        <f>SUBTOTAL(9,G201:G212)</f>
        <v>2.6025837640930845</v>
      </c>
      <c r="H200" s="702">
        <f>SUBTOTAL(9,H201:H212)</f>
        <v>9</v>
      </c>
      <c r="I200" s="626"/>
      <c r="J200" s="751"/>
      <c r="L200" s="681"/>
      <c r="M200" s="681"/>
      <c r="N200" s="681"/>
      <c r="O200" s="681"/>
      <c r="P200" s="681"/>
      <c r="Q200" s="681"/>
      <c r="R200" s="681"/>
      <c r="T200" s="751"/>
      <c r="V200" s="701">
        <f>SUBTOTAL(9,V201:V212)</f>
        <v>0</v>
      </c>
      <c r="W200" s="702">
        <f>SUBTOTAL(9,W201:W212)</f>
        <v>0</v>
      </c>
    </row>
    <row r="201" spans="1:23" ht="26.4" outlineLevel="2">
      <c r="A201" s="376"/>
      <c r="B201" s="684" t="s">
        <v>173</v>
      </c>
      <c r="C201" s="684" t="s">
        <v>173</v>
      </c>
      <c r="D201" s="684" t="s">
        <v>17</v>
      </c>
      <c r="E201" s="684"/>
      <c r="F201" s="685" t="s">
        <v>1384</v>
      </c>
      <c r="G201" s="713">
        <f>SUBTOTAL(9,G202:G205)</f>
        <v>1.547754763030085</v>
      </c>
      <c r="H201" s="714">
        <f>SUBTOTAL(9,H202:H205)</f>
        <v>4</v>
      </c>
      <c r="I201" s="626"/>
      <c r="J201" s="751"/>
      <c r="L201" s="685"/>
      <c r="M201" s="685"/>
      <c r="N201" s="685"/>
      <c r="O201" s="685"/>
      <c r="P201" s="685"/>
      <c r="Q201" s="685"/>
      <c r="R201" s="685"/>
      <c r="T201" s="751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173</v>
      </c>
      <c r="C202" s="376" t="s">
        <v>173</v>
      </c>
      <c r="D202" s="376" t="s">
        <v>17</v>
      </c>
      <c r="E202" s="376" t="s">
        <v>177</v>
      </c>
      <c r="F202" s="608" t="s">
        <v>195</v>
      </c>
      <c r="G202" s="695">
        <v>0.61910190521203401</v>
      </c>
      <c r="H202" s="700">
        <v>1</v>
      </c>
      <c r="I202" s="626"/>
      <c r="J202" s="751"/>
      <c r="L202" s="608" t="s">
        <v>177</v>
      </c>
      <c r="M202" s="608" t="s">
        <v>1385</v>
      </c>
      <c r="N202" s="608" t="s">
        <v>1386</v>
      </c>
      <c r="O202" s="608" t="s">
        <v>1387</v>
      </c>
      <c r="P202" s="608"/>
      <c r="Q202" s="608"/>
      <c r="R202" s="608"/>
      <c r="T202" s="751"/>
      <c r="V202" s="609">
        <f t="shared" ref="V202:V205" si="28">IF(W202=1,G202,0)</f>
        <v>0</v>
      </c>
      <c r="W202" s="700"/>
    </row>
    <row r="203" spans="1:23" outlineLevel="3">
      <c r="A203" s="376"/>
      <c r="B203" s="376" t="s">
        <v>173</v>
      </c>
      <c r="C203" s="376" t="s">
        <v>173</v>
      </c>
      <c r="D203" s="376" t="s">
        <v>17</v>
      </c>
      <c r="E203" s="376" t="s">
        <v>177</v>
      </c>
      <c r="F203" s="608" t="s">
        <v>188</v>
      </c>
      <c r="G203" s="695">
        <v>0.61910190521203401</v>
      </c>
      <c r="H203" s="700">
        <v>1</v>
      </c>
      <c r="I203" s="626"/>
      <c r="J203" s="751"/>
      <c r="L203" s="608" t="s">
        <v>177</v>
      </c>
      <c r="M203" s="608" t="s">
        <v>1385</v>
      </c>
      <c r="N203" s="608" t="s">
        <v>1386</v>
      </c>
      <c r="O203" s="608" t="s">
        <v>1387</v>
      </c>
      <c r="P203" s="608"/>
      <c r="Q203" s="608"/>
      <c r="R203" s="608"/>
      <c r="T203" s="751"/>
      <c r="V203" s="609">
        <f t="shared" si="28"/>
        <v>0</v>
      </c>
      <c r="W203" s="700"/>
    </row>
    <row r="204" spans="1:23" outlineLevel="3">
      <c r="A204" s="376"/>
      <c r="B204" s="376" t="s">
        <v>173</v>
      </c>
      <c r="C204" s="376" t="s">
        <v>173</v>
      </c>
      <c r="D204" s="376" t="s">
        <v>17</v>
      </c>
      <c r="E204" s="376" t="s">
        <v>177</v>
      </c>
      <c r="F204" s="608" t="s">
        <v>189</v>
      </c>
      <c r="G204" s="695">
        <v>0.1547754763030085</v>
      </c>
      <c r="H204" s="700">
        <v>1</v>
      </c>
      <c r="I204" s="626"/>
      <c r="J204" s="751"/>
      <c r="L204" s="608" t="s">
        <v>177</v>
      </c>
      <c r="M204" s="608" t="s">
        <v>1385</v>
      </c>
      <c r="N204" s="608" t="s">
        <v>1386</v>
      </c>
      <c r="O204" s="608" t="s">
        <v>1387</v>
      </c>
      <c r="P204" s="608"/>
      <c r="Q204" s="608"/>
      <c r="R204" s="608"/>
      <c r="T204" s="751"/>
      <c r="V204" s="609">
        <f t="shared" si="28"/>
        <v>0</v>
      </c>
      <c r="W204" s="700"/>
    </row>
    <row r="205" spans="1:23" outlineLevel="3">
      <c r="A205" s="376"/>
      <c r="B205" s="376" t="s">
        <v>173</v>
      </c>
      <c r="C205" s="376" t="s">
        <v>173</v>
      </c>
      <c r="D205" s="376" t="s">
        <v>17</v>
      </c>
      <c r="E205" s="376" t="s">
        <v>177</v>
      </c>
      <c r="F205" s="608" t="s">
        <v>107</v>
      </c>
      <c r="G205" s="609">
        <v>0.1547754763030085</v>
      </c>
      <c r="H205" s="692">
        <v>1</v>
      </c>
      <c r="J205" s="751"/>
      <c r="L205" s="608" t="s">
        <v>177</v>
      </c>
      <c r="M205" s="608" t="s">
        <v>1385</v>
      </c>
      <c r="N205" s="608" t="s">
        <v>1386</v>
      </c>
      <c r="O205" s="608" t="s">
        <v>1387</v>
      </c>
      <c r="P205" s="608"/>
      <c r="Q205" s="608"/>
      <c r="R205" s="608"/>
      <c r="T205" s="751"/>
      <c r="V205" s="609">
        <f t="shared" si="28"/>
        <v>0</v>
      </c>
      <c r="W205" s="692"/>
    </row>
    <row r="206" spans="1:23" ht="26.4" outlineLevel="2">
      <c r="A206" s="376"/>
      <c r="B206" s="684" t="s">
        <v>173</v>
      </c>
      <c r="C206" s="684" t="s">
        <v>173</v>
      </c>
      <c r="D206" s="684" t="s">
        <v>25</v>
      </c>
      <c r="E206" s="684"/>
      <c r="F206" s="685" t="s">
        <v>1388</v>
      </c>
      <c r="G206" s="713">
        <f>SUBTOTAL(9,G207:G210)</f>
        <v>1.005255014743917</v>
      </c>
      <c r="H206" s="714">
        <f>SUBTOTAL(9,H207:H210)</f>
        <v>4</v>
      </c>
      <c r="I206" s="626"/>
      <c r="J206" s="751"/>
      <c r="L206" s="685"/>
      <c r="M206" s="685"/>
      <c r="N206" s="685"/>
      <c r="O206" s="685"/>
      <c r="P206" s="685"/>
      <c r="Q206" s="685"/>
      <c r="R206" s="685"/>
      <c r="T206" s="751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173</v>
      </c>
      <c r="C207" s="376" t="s">
        <v>173</v>
      </c>
      <c r="D207" s="376" t="s">
        <v>25</v>
      </c>
      <c r="E207" s="376" t="s">
        <v>26</v>
      </c>
      <c r="F207" s="608" t="s">
        <v>181</v>
      </c>
      <c r="G207" s="695">
        <v>0.40295193575893268</v>
      </c>
      <c r="H207" s="700">
        <v>1</v>
      </c>
      <c r="I207" s="626"/>
      <c r="J207" s="751"/>
      <c r="L207" s="608" t="s">
        <v>26</v>
      </c>
      <c r="M207" s="608" t="s">
        <v>1201</v>
      </c>
      <c r="N207" s="608" t="s">
        <v>1202</v>
      </c>
      <c r="O207" s="608"/>
      <c r="P207" s="608" t="s">
        <v>1389</v>
      </c>
      <c r="Q207" s="608"/>
      <c r="R207" s="608">
        <v>0</v>
      </c>
      <c r="T207" s="751"/>
      <c r="V207" s="609">
        <f t="shared" ref="V207:V210" si="29">IF(W207=1,G207,0)</f>
        <v>0</v>
      </c>
      <c r="W207" s="700"/>
    </row>
    <row r="208" spans="1:23" outlineLevel="3">
      <c r="A208" s="376"/>
      <c r="B208" s="376" t="s">
        <v>173</v>
      </c>
      <c r="C208" s="376" t="s">
        <v>173</v>
      </c>
      <c r="D208" s="376" t="s">
        <v>25</v>
      </c>
      <c r="E208" s="376" t="s">
        <v>26</v>
      </c>
      <c r="F208" s="608" t="s">
        <v>219</v>
      </c>
      <c r="G208" s="695">
        <v>0.33579327979911056</v>
      </c>
      <c r="H208" s="700">
        <v>1</v>
      </c>
      <c r="I208" s="626"/>
      <c r="J208" s="751"/>
      <c r="L208" s="608" t="s">
        <v>26</v>
      </c>
      <c r="M208" s="608" t="s">
        <v>1201</v>
      </c>
      <c r="N208" s="608" t="s">
        <v>1202</v>
      </c>
      <c r="O208" s="608"/>
      <c r="P208" s="608" t="s">
        <v>1389</v>
      </c>
      <c r="Q208" s="608"/>
      <c r="R208" s="608">
        <v>0</v>
      </c>
      <c r="T208" s="751"/>
      <c r="V208" s="609">
        <f t="shared" si="29"/>
        <v>0</v>
      </c>
      <c r="W208" s="700"/>
    </row>
    <row r="209" spans="1:23" outlineLevel="3">
      <c r="A209" s="376"/>
      <c r="B209" s="376" t="s">
        <v>173</v>
      </c>
      <c r="C209" s="376" t="s">
        <v>173</v>
      </c>
      <c r="D209" s="376" t="s">
        <v>25</v>
      </c>
      <c r="E209" s="376" t="s">
        <v>26</v>
      </c>
      <c r="F209" s="608" t="s">
        <v>195</v>
      </c>
      <c r="G209" s="695">
        <v>0.21693581286679067</v>
      </c>
      <c r="H209" s="700">
        <v>1</v>
      </c>
      <c r="I209" s="626"/>
      <c r="J209" s="751"/>
      <c r="L209" s="608" t="s">
        <v>26</v>
      </c>
      <c r="M209" s="608" t="s">
        <v>1201</v>
      </c>
      <c r="N209" s="608" t="s">
        <v>1390</v>
      </c>
      <c r="O209" s="608"/>
      <c r="P209" s="608" t="s">
        <v>1389</v>
      </c>
      <c r="Q209" s="608"/>
      <c r="R209" s="608">
        <v>0</v>
      </c>
      <c r="T209" s="751"/>
      <c r="V209" s="609">
        <f t="shared" si="29"/>
        <v>0</v>
      </c>
      <c r="W209" s="700"/>
    </row>
    <row r="210" spans="1:23" outlineLevel="3">
      <c r="A210" s="376"/>
      <c r="B210" s="376" t="s">
        <v>173</v>
      </c>
      <c r="C210" s="376" t="s">
        <v>173</v>
      </c>
      <c r="D210" s="376" t="s">
        <v>25</v>
      </c>
      <c r="E210" s="376" t="s">
        <v>26</v>
      </c>
      <c r="F210" s="608" t="s">
        <v>196</v>
      </c>
      <c r="G210" s="609">
        <v>4.9573986319083066E-2</v>
      </c>
      <c r="H210" s="692">
        <v>1</v>
      </c>
      <c r="I210" s="626"/>
      <c r="J210" s="751"/>
      <c r="L210" s="608" t="s">
        <v>26</v>
      </c>
      <c r="M210" s="608" t="s">
        <v>1201</v>
      </c>
      <c r="N210" s="608" t="s">
        <v>1390</v>
      </c>
      <c r="O210" s="608"/>
      <c r="P210" s="608" t="s">
        <v>1389</v>
      </c>
      <c r="Q210" s="608"/>
      <c r="R210" s="608">
        <v>0</v>
      </c>
      <c r="T210" s="751"/>
      <c r="V210" s="609">
        <f t="shared" si="29"/>
        <v>0</v>
      </c>
      <c r="W210" s="692"/>
    </row>
    <row r="211" spans="1:23" outlineLevel="2">
      <c r="A211" s="376"/>
      <c r="B211" s="684" t="s">
        <v>173</v>
      </c>
      <c r="C211" s="684" t="s">
        <v>173</v>
      </c>
      <c r="D211" s="684" t="s">
        <v>27</v>
      </c>
      <c r="E211" s="684"/>
      <c r="F211" s="685" t="s">
        <v>1391</v>
      </c>
      <c r="G211" s="713">
        <f>SUBTOTAL(9,G212)</f>
        <v>4.9573986319083101E-2</v>
      </c>
      <c r="H211" s="714">
        <f>SUBTOTAL(9,H212)</f>
        <v>1</v>
      </c>
      <c r="I211" s="626"/>
      <c r="J211" s="751"/>
      <c r="L211" s="685"/>
      <c r="M211" s="685"/>
      <c r="N211" s="685"/>
      <c r="O211" s="685"/>
      <c r="P211" s="685"/>
      <c r="Q211" s="685"/>
      <c r="R211" s="685"/>
      <c r="T211" s="751"/>
      <c r="V211" s="713">
        <f>SUBTOTAL(9,V212)</f>
        <v>0</v>
      </c>
      <c r="W211" s="714">
        <f>SUBTOTAL(9,W212)</f>
        <v>0</v>
      </c>
    </row>
    <row r="212" spans="1:23" ht="39.6" outlineLevel="3">
      <c r="A212" s="376"/>
      <c r="B212" s="376" t="s">
        <v>173</v>
      </c>
      <c r="C212" s="376" t="s">
        <v>173</v>
      </c>
      <c r="D212" s="376" t="s">
        <v>27</v>
      </c>
      <c r="E212" s="376" t="s">
        <v>28</v>
      </c>
      <c r="F212" s="608" t="s">
        <v>1392</v>
      </c>
      <c r="G212" s="695">
        <v>4.9573986319083101E-2</v>
      </c>
      <c r="H212" s="700">
        <v>1</v>
      </c>
      <c r="I212" s="626"/>
      <c r="J212" s="751"/>
      <c r="L212" s="608" t="s">
        <v>28</v>
      </c>
      <c r="M212" s="608" t="s">
        <v>1208</v>
      </c>
      <c r="N212" s="608" t="s">
        <v>1393</v>
      </c>
      <c r="O212" s="608" t="s">
        <v>1394</v>
      </c>
      <c r="P212" s="608"/>
      <c r="Q212" s="608"/>
      <c r="R212" s="608"/>
      <c r="T212" s="751"/>
      <c r="V212" s="609">
        <f t="shared" ref="V212" si="30">IF(W212=1,G212,0)</f>
        <v>0</v>
      </c>
      <c r="W212" s="700"/>
    </row>
    <row r="213" spans="1:23" outlineLevel="1">
      <c r="A213" s="376"/>
      <c r="B213" s="665" t="s">
        <v>179</v>
      </c>
      <c r="C213" s="665" t="s">
        <v>70</v>
      </c>
      <c r="D213" s="665"/>
      <c r="E213" s="665"/>
      <c r="F213" s="681" t="s">
        <v>262</v>
      </c>
      <c r="G213" s="701">
        <f>SUBTOTAL(9,G214:G215)</f>
        <v>0.03</v>
      </c>
      <c r="H213" s="702">
        <f>SUBTOTAL(9,H214:H215)</f>
        <v>1</v>
      </c>
      <c r="I213" s="626"/>
      <c r="J213" s="751"/>
      <c r="L213" s="681"/>
      <c r="M213" s="681"/>
      <c r="N213" s="681"/>
      <c r="O213" s="681"/>
      <c r="P213" s="681"/>
      <c r="Q213" s="681"/>
      <c r="R213" s="681"/>
      <c r="T213" s="751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179</v>
      </c>
      <c r="C214" s="684" t="s">
        <v>70</v>
      </c>
      <c r="D214" s="684" t="s">
        <v>25</v>
      </c>
      <c r="E214" s="684"/>
      <c r="F214" s="685" t="s">
        <v>77</v>
      </c>
      <c r="G214" s="713">
        <f>SUBTOTAL(9,G215)</f>
        <v>0.03</v>
      </c>
      <c r="H214" s="714">
        <f>SUBTOTAL(9,H215)</f>
        <v>1</v>
      </c>
      <c r="I214" s="626"/>
      <c r="J214" s="751"/>
      <c r="L214" s="685"/>
      <c r="M214" s="685"/>
      <c r="N214" s="685"/>
      <c r="O214" s="685"/>
      <c r="P214" s="685"/>
      <c r="Q214" s="685"/>
      <c r="R214" s="685"/>
      <c r="T214" s="751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179</v>
      </c>
      <c r="C215" s="376" t="s">
        <v>70</v>
      </c>
      <c r="D215" s="376" t="s">
        <v>25</v>
      </c>
      <c r="E215" s="376" t="s">
        <v>26</v>
      </c>
      <c r="F215" s="608" t="s">
        <v>181</v>
      </c>
      <c r="G215" s="695">
        <v>0.03</v>
      </c>
      <c r="H215" s="700">
        <v>1</v>
      </c>
      <c r="I215" s="626"/>
      <c r="J215" s="751"/>
      <c r="L215" s="608" t="s">
        <v>26</v>
      </c>
      <c r="M215" s="608" t="s">
        <v>1246</v>
      </c>
      <c r="N215" s="608" t="s">
        <v>72</v>
      </c>
      <c r="O215" s="608"/>
      <c r="P215" s="608" t="s">
        <v>1381</v>
      </c>
      <c r="Q215" s="608"/>
      <c r="R215" s="608">
        <v>0</v>
      </c>
      <c r="T215" s="751"/>
      <c r="V215" s="609">
        <f t="shared" ref="V215" si="31">IF(W215=1,G215,0)</f>
        <v>0.03</v>
      </c>
      <c r="W215" s="700">
        <v>1</v>
      </c>
    </row>
    <row r="216" spans="1:23" outlineLevel="1">
      <c r="A216" s="376"/>
      <c r="B216" s="666" t="s">
        <v>182</v>
      </c>
      <c r="C216" s="666" t="s">
        <v>182</v>
      </c>
      <c r="D216" s="666"/>
      <c r="E216" s="666"/>
      <c r="F216" s="681" t="s">
        <v>262</v>
      </c>
      <c r="G216" s="701">
        <f>SUBTOTAL(9,G217:G252)</f>
        <v>7.528195722463928</v>
      </c>
      <c r="H216" s="702">
        <f>SUBTOTAL(9,H217:H252)</f>
        <v>33</v>
      </c>
      <c r="I216" s="626"/>
      <c r="J216" s="751"/>
      <c r="L216" s="760"/>
      <c r="M216" s="760"/>
      <c r="N216" s="760"/>
      <c r="O216" s="760"/>
      <c r="P216" s="760"/>
      <c r="Q216" s="760"/>
      <c r="R216" s="760"/>
      <c r="T216" s="751"/>
      <c r="V216" s="701">
        <f>SUBTOTAL(9,V217:V252)</f>
        <v>0</v>
      </c>
      <c r="W216" s="702">
        <f>SUBTOTAL(9,W217:W252)</f>
        <v>0</v>
      </c>
    </row>
    <row r="217" spans="1:23" outlineLevel="2">
      <c r="A217" s="376"/>
      <c r="B217" s="684" t="s">
        <v>182</v>
      </c>
      <c r="C217" s="684" t="s">
        <v>182</v>
      </c>
      <c r="D217" s="684" t="s">
        <v>17</v>
      </c>
      <c r="E217" s="687"/>
      <c r="F217" s="685" t="s">
        <v>183</v>
      </c>
      <c r="G217" s="713">
        <f>SUBTOTAL(9,G218:G228)</f>
        <v>5.7305795176560004</v>
      </c>
      <c r="H217" s="714">
        <f>SUBTOTAL(9,H218:H228)</f>
        <v>11</v>
      </c>
      <c r="I217" s="626"/>
      <c r="J217" s="751"/>
      <c r="L217" s="717"/>
      <c r="M217" s="717"/>
      <c r="N217" s="717"/>
      <c r="O217" s="717"/>
      <c r="P217" s="717"/>
      <c r="Q217" s="717"/>
      <c r="R217" s="717"/>
      <c r="T217" s="751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182</v>
      </c>
      <c r="C218" s="376" t="s">
        <v>182</v>
      </c>
      <c r="D218" s="376" t="s">
        <v>17</v>
      </c>
      <c r="E218" s="387" t="s">
        <v>177</v>
      </c>
      <c r="F218" s="608" t="s">
        <v>184</v>
      </c>
      <c r="G218" s="609">
        <v>7.3716905132000007E-2</v>
      </c>
      <c r="H218" s="692">
        <v>1</v>
      </c>
      <c r="I218" s="626"/>
      <c r="J218" s="751"/>
      <c r="L218" s="705" t="s">
        <v>177</v>
      </c>
      <c r="M218" s="705" t="s">
        <v>1395</v>
      </c>
      <c r="N218" s="705" t="s">
        <v>1396</v>
      </c>
      <c r="O218" s="705" t="s">
        <v>1397</v>
      </c>
      <c r="P218" s="705"/>
      <c r="Q218" s="705"/>
      <c r="R218" s="705"/>
      <c r="T218" s="751"/>
      <c r="V218" s="609">
        <f t="shared" ref="V218:V228" si="32">IF(W218=1,G218,0)</f>
        <v>0</v>
      </c>
      <c r="W218" s="692"/>
    </row>
    <row r="219" spans="1:23" s="727" customFormat="1" outlineLevel="3">
      <c r="A219" s="376" t="s">
        <v>185</v>
      </c>
      <c r="B219" s="376" t="s">
        <v>182</v>
      </c>
      <c r="C219" s="376" t="s">
        <v>182</v>
      </c>
      <c r="D219" s="376" t="s">
        <v>17</v>
      </c>
      <c r="E219" s="387" t="s">
        <v>177</v>
      </c>
      <c r="F219" s="608" t="s">
        <v>186</v>
      </c>
      <c r="G219" s="609">
        <v>7.3716905132000007E-2</v>
      </c>
      <c r="H219" s="692">
        <v>1</v>
      </c>
      <c r="I219" s="626"/>
      <c r="J219" s="751"/>
      <c r="K219" s="416"/>
      <c r="L219" s="705" t="s">
        <v>177</v>
      </c>
      <c r="M219" s="705" t="s">
        <v>1395</v>
      </c>
      <c r="N219" s="705" t="s">
        <v>1396</v>
      </c>
      <c r="O219" s="705" t="s">
        <v>1397</v>
      </c>
      <c r="P219" s="705"/>
      <c r="Q219" s="705"/>
      <c r="R219" s="705"/>
      <c r="S219" s="416"/>
      <c r="T219" s="751"/>
      <c r="U219" s="416"/>
      <c r="V219" s="609">
        <f t="shared" si="32"/>
        <v>0</v>
      </c>
      <c r="W219" s="692"/>
    </row>
    <row r="220" spans="1:23" outlineLevel="3">
      <c r="A220" s="376"/>
      <c r="B220" s="376" t="s">
        <v>182</v>
      </c>
      <c r="C220" s="376" t="s">
        <v>182</v>
      </c>
      <c r="D220" s="376" t="s">
        <v>17</v>
      </c>
      <c r="E220" s="387" t="s">
        <v>177</v>
      </c>
      <c r="F220" s="608" t="s">
        <v>187</v>
      </c>
      <c r="G220" s="609">
        <v>7.3716905132000007E-2</v>
      </c>
      <c r="H220" s="700">
        <v>1</v>
      </c>
      <c r="I220" s="626"/>
      <c r="J220" s="751"/>
      <c r="L220" s="705" t="s">
        <v>177</v>
      </c>
      <c r="M220" s="705" t="s">
        <v>1395</v>
      </c>
      <c r="N220" s="705" t="s">
        <v>1396</v>
      </c>
      <c r="O220" s="705" t="s">
        <v>1397</v>
      </c>
      <c r="P220" s="705"/>
      <c r="Q220" s="705"/>
      <c r="R220" s="705"/>
      <c r="T220" s="751"/>
      <c r="V220" s="609">
        <f t="shared" si="32"/>
        <v>0</v>
      </c>
      <c r="W220" s="700"/>
    </row>
    <row r="221" spans="1:23" outlineLevel="3">
      <c r="A221" s="376"/>
      <c r="B221" s="376" t="s">
        <v>182</v>
      </c>
      <c r="C221" s="376" t="s">
        <v>182</v>
      </c>
      <c r="D221" s="376" t="s">
        <v>17</v>
      </c>
      <c r="E221" s="387" t="s">
        <v>177</v>
      </c>
      <c r="F221" s="608" t="s">
        <v>190</v>
      </c>
      <c r="G221" s="609">
        <v>6.4031962499999998E-2</v>
      </c>
      <c r="H221" s="700">
        <v>1</v>
      </c>
      <c r="I221" s="626"/>
      <c r="J221" s="751"/>
      <c r="L221" s="705" t="s">
        <v>177</v>
      </c>
      <c r="M221" s="705" t="s">
        <v>1395</v>
      </c>
      <c r="N221" s="705" t="s">
        <v>1396</v>
      </c>
      <c r="O221" s="705" t="s">
        <v>1397</v>
      </c>
      <c r="P221" s="705"/>
      <c r="Q221" s="705"/>
      <c r="R221" s="705"/>
      <c r="T221" s="751"/>
      <c r="V221" s="609">
        <f t="shared" si="32"/>
        <v>0</v>
      </c>
      <c r="W221" s="700"/>
    </row>
    <row r="222" spans="1:23" outlineLevel="3">
      <c r="A222" s="376"/>
      <c r="B222" s="376" t="s">
        <v>182</v>
      </c>
      <c r="C222" s="376" t="s">
        <v>182</v>
      </c>
      <c r="D222" s="376" t="s">
        <v>17</v>
      </c>
      <c r="E222" s="387" t="s">
        <v>177</v>
      </c>
      <c r="F222" s="608" t="s">
        <v>191</v>
      </c>
      <c r="G222" s="609">
        <v>0.54994955184000005</v>
      </c>
      <c r="H222" s="700">
        <v>1</v>
      </c>
      <c r="I222" s="626"/>
      <c r="J222" s="751"/>
      <c r="L222" s="705" t="s">
        <v>177</v>
      </c>
      <c r="M222" s="705" t="s">
        <v>1395</v>
      </c>
      <c r="N222" s="705" t="s">
        <v>1396</v>
      </c>
      <c r="O222" s="705" t="s">
        <v>1397</v>
      </c>
      <c r="P222" s="705"/>
      <c r="Q222" s="705"/>
      <c r="R222" s="705"/>
      <c r="T222" s="751"/>
      <c r="V222" s="609">
        <f t="shared" si="32"/>
        <v>0</v>
      </c>
      <c r="W222" s="700"/>
    </row>
    <row r="223" spans="1:23" outlineLevel="3">
      <c r="A223" s="376"/>
      <c r="B223" s="376" t="s">
        <v>182</v>
      </c>
      <c r="C223" s="376" t="s">
        <v>182</v>
      </c>
      <c r="D223" s="376" t="s">
        <v>17</v>
      </c>
      <c r="E223" s="387" t="s">
        <v>177</v>
      </c>
      <c r="F223" s="608" t="s">
        <v>192</v>
      </c>
      <c r="G223" s="609">
        <v>0.27497477592000003</v>
      </c>
      <c r="H223" s="700">
        <v>1</v>
      </c>
      <c r="I223" s="626"/>
      <c r="J223" s="751"/>
      <c r="L223" s="705" t="s">
        <v>177</v>
      </c>
      <c r="M223" s="705" t="s">
        <v>1395</v>
      </c>
      <c r="N223" s="705" t="s">
        <v>1396</v>
      </c>
      <c r="O223" s="705" t="s">
        <v>1397</v>
      </c>
      <c r="P223" s="705"/>
      <c r="Q223" s="705"/>
      <c r="R223" s="705"/>
      <c r="T223" s="751"/>
      <c r="V223" s="609">
        <f t="shared" si="32"/>
        <v>0</v>
      </c>
      <c r="W223" s="700"/>
    </row>
    <row r="224" spans="1:23" outlineLevel="3">
      <c r="A224" s="376"/>
      <c r="B224" s="376" t="s">
        <v>182</v>
      </c>
      <c r="C224" s="376" t="s">
        <v>182</v>
      </c>
      <c r="D224" s="376" t="s">
        <v>17</v>
      </c>
      <c r="E224" s="387" t="s">
        <v>177</v>
      </c>
      <c r="F224" s="608" t="s">
        <v>193</v>
      </c>
      <c r="G224" s="609">
        <v>2.2352362560000003</v>
      </c>
      <c r="H224" s="700">
        <v>1</v>
      </c>
      <c r="I224" s="626"/>
      <c r="J224" s="751"/>
      <c r="L224" s="705" t="s">
        <v>177</v>
      </c>
      <c r="M224" s="705" t="s">
        <v>1395</v>
      </c>
      <c r="N224" s="705" t="s">
        <v>1396</v>
      </c>
      <c r="O224" s="705" t="s">
        <v>1397</v>
      </c>
      <c r="P224" s="705"/>
      <c r="Q224" s="705"/>
      <c r="R224" s="705"/>
      <c r="T224" s="751"/>
      <c r="V224" s="609">
        <f t="shared" si="32"/>
        <v>0</v>
      </c>
      <c r="W224" s="700"/>
    </row>
    <row r="225" spans="1:23" outlineLevel="3">
      <c r="A225" s="376"/>
      <c r="B225" s="376" t="s">
        <v>182</v>
      </c>
      <c r="C225" s="376" t="s">
        <v>182</v>
      </c>
      <c r="D225" s="376" t="s">
        <v>17</v>
      </c>
      <c r="E225" s="387" t="s">
        <v>177</v>
      </c>
      <c r="F225" s="608" t="s">
        <v>194</v>
      </c>
      <c r="G225" s="609">
        <v>2.2352362560000003</v>
      </c>
      <c r="H225" s="700">
        <v>1</v>
      </c>
      <c r="I225" s="626"/>
      <c r="J225" s="751"/>
      <c r="L225" s="705" t="s">
        <v>177</v>
      </c>
      <c r="M225" s="705" t="s">
        <v>1395</v>
      </c>
      <c r="N225" s="705" t="s">
        <v>1396</v>
      </c>
      <c r="O225" s="705" t="s">
        <v>1397</v>
      </c>
      <c r="P225" s="705"/>
      <c r="Q225" s="705"/>
      <c r="R225" s="705"/>
      <c r="T225" s="751"/>
      <c r="V225" s="609">
        <f t="shared" si="32"/>
        <v>0</v>
      </c>
      <c r="W225" s="700"/>
    </row>
    <row r="226" spans="1:23" outlineLevel="3">
      <c r="A226" s="376"/>
      <c r="B226" s="376" t="s">
        <v>182</v>
      </c>
      <c r="C226" s="376" t="s">
        <v>182</v>
      </c>
      <c r="D226" s="376" t="s">
        <v>17</v>
      </c>
      <c r="E226" s="387" t="s">
        <v>177</v>
      </c>
      <c r="F226" s="608" t="s">
        <v>1398</v>
      </c>
      <c r="G226" s="609"/>
      <c r="H226" s="700">
        <v>1</v>
      </c>
      <c r="I226" s="626"/>
      <c r="J226" s="751"/>
      <c r="L226" s="705" t="s">
        <v>177</v>
      </c>
      <c r="M226" s="705" t="s">
        <v>1395</v>
      </c>
      <c r="N226" s="705" t="s">
        <v>1396</v>
      </c>
      <c r="O226" s="705" t="s">
        <v>1397</v>
      </c>
      <c r="P226" s="705"/>
      <c r="Q226" s="705"/>
      <c r="R226" s="705"/>
      <c r="T226" s="751"/>
      <c r="V226" s="609">
        <f t="shared" si="32"/>
        <v>0</v>
      </c>
      <c r="W226" s="700"/>
    </row>
    <row r="227" spans="1:23" outlineLevel="3">
      <c r="A227" s="376"/>
      <c r="B227" s="376" t="s">
        <v>182</v>
      </c>
      <c r="C227" s="376" t="s">
        <v>182</v>
      </c>
      <c r="D227" s="376" t="s">
        <v>17</v>
      </c>
      <c r="E227" s="387" t="s">
        <v>177</v>
      </c>
      <c r="F227" s="608" t="s">
        <v>195</v>
      </c>
      <c r="G227" s="609">
        <v>0.1125</v>
      </c>
      <c r="H227" s="700">
        <v>1</v>
      </c>
      <c r="I227" s="626"/>
      <c r="J227" s="751"/>
      <c r="L227" s="705" t="s">
        <v>177</v>
      </c>
      <c r="M227" s="705" t="s">
        <v>1395</v>
      </c>
      <c r="N227" s="705" t="s">
        <v>1396</v>
      </c>
      <c r="O227" s="705" t="s">
        <v>1397</v>
      </c>
      <c r="P227" s="705"/>
      <c r="Q227" s="705"/>
      <c r="R227" s="705"/>
      <c r="T227" s="751"/>
      <c r="V227" s="609">
        <f t="shared" si="32"/>
        <v>0</v>
      </c>
      <c r="W227" s="700"/>
    </row>
    <row r="228" spans="1:23" outlineLevel="3">
      <c r="A228" s="376"/>
      <c r="B228" s="376" t="s">
        <v>182</v>
      </c>
      <c r="C228" s="376" t="s">
        <v>182</v>
      </c>
      <c r="D228" s="376" t="s">
        <v>17</v>
      </c>
      <c r="E228" s="387" t="s">
        <v>177</v>
      </c>
      <c r="F228" s="608" t="s">
        <v>196</v>
      </c>
      <c r="G228" s="609">
        <v>3.7499999999999999E-2</v>
      </c>
      <c r="H228" s="700">
        <v>1</v>
      </c>
      <c r="I228" s="626"/>
      <c r="J228" s="751"/>
      <c r="L228" s="705" t="s">
        <v>177</v>
      </c>
      <c r="M228" s="705" t="s">
        <v>1395</v>
      </c>
      <c r="N228" s="705" t="s">
        <v>1396</v>
      </c>
      <c r="O228" s="705" t="s">
        <v>1397</v>
      </c>
      <c r="P228" s="705"/>
      <c r="Q228" s="705"/>
      <c r="R228" s="705"/>
      <c r="T228" s="751"/>
      <c r="V228" s="609">
        <f t="shared" si="32"/>
        <v>0</v>
      </c>
      <c r="W228" s="700"/>
    </row>
    <row r="229" spans="1:23" outlineLevel="2">
      <c r="A229" s="376"/>
      <c r="B229" s="684" t="s">
        <v>182</v>
      </c>
      <c r="C229" s="684" t="s">
        <v>182</v>
      </c>
      <c r="D229" s="684" t="s">
        <v>25</v>
      </c>
      <c r="E229" s="684"/>
      <c r="F229" s="685" t="s">
        <v>183</v>
      </c>
      <c r="G229" s="713">
        <f>SUBTOTAL(9,G230:G250)</f>
        <v>1.7607628699200004</v>
      </c>
      <c r="H229" s="714">
        <f>SUBTOTAL(9,H230:H250)</f>
        <v>21</v>
      </c>
      <c r="I229" s="626"/>
      <c r="J229" s="751"/>
      <c r="L229" s="685"/>
      <c r="M229" s="685"/>
      <c r="N229" s="685"/>
      <c r="O229" s="685"/>
      <c r="P229" s="685"/>
      <c r="Q229" s="685"/>
      <c r="R229" s="685"/>
      <c r="T229" s="751"/>
      <c r="V229" s="713">
        <f>SUBTOTAL(9,V230:V250)</f>
        <v>0</v>
      </c>
      <c r="W229" s="714">
        <f>SUBTOTAL(9,W230:W250)</f>
        <v>0</v>
      </c>
    </row>
    <row r="230" spans="1:23" outlineLevel="3">
      <c r="A230" s="376"/>
      <c r="B230" s="376" t="s">
        <v>182</v>
      </c>
      <c r="C230" s="376" t="s">
        <v>182</v>
      </c>
      <c r="D230" s="376" t="s">
        <v>25</v>
      </c>
      <c r="E230" s="376" t="s">
        <v>26</v>
      </c>
      <c r="F230" s="608" t="s">
        <v>191</v>
      </c>
      <c r="G230" s="609">
        <v>0.5295810499200001</v>
      </c>
      <c r="H230" s="700">
        <v>1</v>
      </c>
      <c r="I230" s="626"/>
      <c r="J230" s="751"/>
      <c r="L230" s="608" t="s">
        <v>26</v>
      </c>
      <c r="M230" s="608" t="s">
        <v>1201</v>
      </c>
      <c r="N230" s="608" t="s">
        <v>1202</v>
      </c>
      <c r="O230" s="608" t="s">
        <v>1399</v>
      </c>
      <c r="P230" s="608" t="s">
        <v>1207</v>
      </c>
      <c r="Q230" s="608"/>
      <c r="R230" s="608">
        <v>0</v>
      </c>
      <c r="T230" s="751"/>
      <c r="V230" s="609">
        <f t="shared" ref="V230:V250" si="33">IF(W230=1,G230,0)</f>
        <v>0</v>
      </c>
      <c r="W230" s="700"/>
    </row>
    <row r="231" spans="1:23" outlineLevel="3">
      <c r="A231" s="376"/>
      <c r="B231" s="376" t="s">
        <v>182</v>
      </c>
      <c r="C231" s="376" t="s">
        <v>182</v>
      </c>
      <c r="D231" s="376" t="s">
        <v>25</v>
      </c>
      <c r="E231" s="376" t="s">
        <v>26</v>
      </c>
      <c r="F231" s="608" t="s">
        <v>198</v>
      </c>
      <c r="G231" s="609">
        <v>2.5612785000000002E-2</v>
      </c>
      <c r="H231" s="700">
        <v>1</v>
      </c>
      <c r="I231" s="626"/>
      <c r="J231" s="751"/>
      <c r="L231" s="608" t="s">
        <v>26</v>
      </c>
      <c r="M231" s="608" t="s">
        <v>1201</v>
      </c>
      <c r="N231" s="608" t="s">
        <v>1202</v>
      </c>
      <c r="O231" s="608" t="s">
        <v>1399</v>
      </c>
      <c r="P231" s="608" t="s">
        <v>1207</v>
      </c>
      <c r="Q231" s="608"/>
      <c r="R231" s="608">
        <v>0</v>
      </c>
      <c r="T231" s="751"/>
      <c r="V231" s="609">
        <f t="shared" si="33"/>
        <v>0</v>
      </c>
      <c r="W231" s="700"/>
    </row>
    <row r="232" spans="1:23" outlineLevel="3">
      <c r="A232" s="376"/>
      <c r="B232" s="376" t="s">
        <v>182</v>
      </c>
      <c r="C232" s="376" t="s">
        <v>182</v>
      </c>
      <c r="D232" s="376" t="s">
        <v>25</v>
      </c>
      <c r="E232" s="376" t="s">
        <v>26</v>
      </c>
      <c r="F232" s="608" t="s">
        <v>199</v>
      </c>
      <c r="G232" s="609">
        <v>2.5612785000000002E-2</v>
      </c>
      <c r="H232" s="700">
        <v>1</v>
      </c>
      <c r="I232" s="626"/>
      <c r="J232" s="751"/>
      <c r="L232" s="608" t="s">
        <v>26</v>
      </c>
      <c r="M232" s="608" t="s">
        <v>1201</v>
      </c>
      <c r="N232" s="608" t="s">
        <v>1202</v>
      </c>
      <c r="O232" s="608" t="s">
        <v>1399</v>
      </c>
      <c r="P232" s="608" t="s">
        <v>1207</v>
      </c>
      <c r="Q232" s="608"/>
      <c r="R232" s="608">
        <v>0</v>
      </c>
      <c r="T232" s="751"/>
      <c r="V232" s="609">
        <f t="shared" si="33"/>
        <v>0</v>
      </c>
      <c r="W232" s="700"/>
    </row>
    <row r="233" spans="1:23" outlineLevel="3">
      <c r="A233" s="376"/>
      <c r="B233" s="376" t="s">
        <v>182</v>
      </c>
      <c r="C233" s="376" t="s">
        <v>182</v>
      </c>
      <c r="D233" s="376" t="s">
        <v>25</v>
      </c>
      <c r="E233" s="376" t="s">
        <v>26</v>
      </c>
      <c r="F233" s="608" t="s">
        <v>200</v>
      </c>
      <c r="G233" s="609">
        <v>0.10833933000000003</v>
      </c>
      <c r="H233" s="700">
        <v>1</v>
      </c>
      <c r="I233" s="626"/>
      <c r="J233" s="751"/>
      <c r="L233" s="608" t="s">
        <v>26</v>
      </c>
      <c r="M233" s="608" t="s">
        <v>1201</v>
      </c>
      <c r="N233" s="608" t="s">
        <v>1202</v>
      </c>
      <c r="O233" s="608" t="s">
        <v>1399</v>
      </c>
      <c r="P233" s="608" t="s">
        <v>1207</v>
      </c>
      <c r="Q233" s="608"/>
      <c r="R233" s="608">
        <v>0</v>
      </c>
      <c r="T233" s="751"/>
      <c r="V233" s="609">
        <f t="shared" si="33"/>
        <v>0</v>
      </c>
      <c r="W233" s="700"/>
    </row>
    <row r="234" spans="1:23" outlineLevel="3">
      <c r="A234" s="376"/>
      <c r="B234" s="376" t="s">
        <v>182</v>
      </c>
      <c r="C234" s="376" t="s">
        <v>182</v>
      </c>
      <c r="D234" s="376" t="s">
        <v>25</v>
      </c>
      <c r="E234" s="376" t="s">
        <v>26</v>
      </c>
      <c r="F234" s="608" t="s">
        <v>201</v>
      </c>
      <c r="G234" s="609">
        <v>5.4169665000000013E-2</v>
      </c>
      <c r="H234" s="700">
        <v>1</v>
      </c>
      <c r="I234" s="626"/>
      <c r="J234" s="751"/>
      <c r="L234" s="608" t="s">
        <v>26</v>
      </c>
      <c r="M234" s="608" t="s">
        <v>1201</v>
      </c>
      <c r="N234" s="608" t="s">
        <v>1202</v>
      </c>
      <c r="O234" s="608" t="s">
        <v>1399</v>
      </c>
      <c r="P234" s="608" t="s">
        <v>1207</v>
      </c>
      <c r="Q234" s="608"/>
      <c r="R234" s="608">
        <v>0</v>
      </c>
      <c r="T234" s="751"/>
      <c r="V234" s="609">
        <f t="shared" si="33"/>
        <v>0</v>
      </c>
      <c r="W234" s="700"/>
    </row>
    <row r="235" spans="1:23" outlineLevel="3">
      <c r="A235" s="376"/>
      <c r="B235" s="376" t="s">
        <v>182</v>
      </c>
      <c r="C235" s="376" t="s">
        <v>182</v>
      </c>
      <c r="D235" s="376" t="s">
        <v>25</v>
      </c>
      <c r="E235" s="376" t="s">
        <v>26</v>
      </c>
      <c r="F235" s="608" t="s">
        <v>202</v>
      </c>
      <c r="G235" s="609">
        <v>5.4169665000000013E-2</v>
      </c>
      <c r="H235" s="700">
        <v>1</v>
      </c>
      <c r="I235" s="626"/>
      <c r="J235" s="751"/>
      <c r="L235" s="608" t="s">
        <v>26</v>
      </c>
      <c r="M235" s="608" t="s">
        <v>1201</v>
      </c>
      <c r="N235" s="608" t="s">
        <v>1202</v>
      </c>
      <c r="O235" s="608" t="s">
        <v>1399</v>
      </c>
      <c r="P235" s="608" t="s">
        <v>1207</v>
      </c>
      <c r="Q235" s="608"/>
      <c r="R235" s="608">
        <v>0</v>
      </c>
      <c r="T235" s="751"/>
      <c r="V235" s="609">
        <f t="shared" si="33"/>
        <v>0</v>
      </c>
      <c r="W235" s="700"/>
    </row>
    <row r="236" spans="1:23" outlineLevel="3">
      <c r="A236" s="376"/>
      <c r="B236" s="376" t="s">
        <v>182</v>
      </c>
      <c r="C236" s="376" t="s">
        <v>182</v>
      </c>
      <c r="D236" s="376" t="s">
        <v>25</v>
      </c>
      <c r="E236" s="376" t="s">
        <v>26</v>
      </c>
      <c r="F236" s="608" t="s">
        <v>203</v>
      </c>
      <c r="G236" s="609">
        <v>0.10833933000000003</v>
      </c>
      <c r="H236" s="700">
        <v>1</v>
      </c>
      <c r="I236" s="626"/>
      <c r="J236" s="751"/>
      <c r="L236" s="608" t="s">
        <v>26</v>
      </c>
      <c r="M236" s="608" t="s">
        <v>1201</v>
      </c>
      <c r="N236" s="608" t="s">
        <v>1202</v>
      </c>
      <c r="O236" s="608" t="s">
        <v>1399</v>
      </c>
      <c r="P236" s="608" t="s">
        <v>1207</v>
      </c>
      <c r="Q236" s="608"/>
      <c r="R236" s="608">
        <v>0</v>
      </c>
      <c r="T236" s="751"/>
      <c r="V236" s="609">
        <f t="shared" si="33"/>
        <v>0</v>
      </c>
      <c r="W236" s="700"/>
    </row>
    <row r="237" spans="1:23" outlineLevel="3">
      <c r="A237" s="376"/>
      <c r="B237" s="376" t="s">
        <v>182</v>
      </c>
      <c r="C237" s="376" t="s">
        <v>182</v>
      </c>
      <c r="D237" s="376" t="s">
        <v>25</v>
      </c>
      <c r="E237" s="376" t="s">
        <v>26</v>
      </c>
      <c r="F237" s="608" t="s">
        <v>205</v>
      </c>
      <c r="G237" s="609">
        <v>5.4169665000000013E-2</v>
      </c>
      <c r="H237" s="700">
        <v>1</v>
      </c>
      <c r="I237" s="626"/>
      <c r="J237" s="751"/>
      <c r="L237" s="608" t="s">
        <v>26</v>
      </c>
      <c r="M237" s="608" t="s">
        <v>1201</v>
      </c>
      <c r="N237" s="608" t="s">
        <v>1202</v>
      </c>
      <c r="O237" s="608" t="s">
        <v>1399</v>
      </c>
      <c r="P237" s="608" t="s">
        <v>1207</v>
      </c>
      <c r="Q237" s="608"/>
      <c r="R237" s="608">
        <v>0</v>
      </c>
      <c r="T237" s="751"/>
      <c r="V237" s="609">
        <f t="shared" si="33"/>
        <v>0</v>
      </c>
      <c r="W237" s="700"/>
    </row>
    <row r="238" spans="1:23" outlineLevel="3">
      <c r="A238" s="376"/>
      <c r="B238" s="376" t="s">
        <v>182</v>
      </c>
      <c r="C238" s="376" t="s">
        <v>182</v>
      </c>
      <c r="D238" s="376" t="s">
        <v>25</v>
      </c>
      <c r="E238" s="376" t="s">
        <v>26</v>
      </c>
      <c r="F238" s="608" t="s">
        <v>206</v>
      </c>
      <c r="G238" s="609">
        <v>5.4169665000000013E-2</v>
      </c>
      <c r="H238" s="700">
        <v>1</v>
      </c>
      <c r="I238" s="626"/>
      <c r="J238" s="751"/>
      <c r="L238" s="608" t="s">
        <v>26</v>
      </c>
      <c r="M238" s="608" t="s">
        <v>1201</v>
      </c>
      <c r="N238" s="608" t="s">
        <v>1202</v>
      </c>
      <c r="O238" s="608" t="s">
        <v>1399</v>
      </c>
      <c r="P238" s="608" t="s">
        <v>1207</v>
      </c>
      <c r="Q238" s="608"/>
      <c r="R238" s="608">
        <v>0</v>
      </c>
      <c r="T238" s="751"/>
      <c r="V238" s="609">
        <f t="shared" si="33"/>
        <v>0</v>
      </c>
      <c r="W238" s="700"/>
    </row>
    <row r="239" spans="1:23" outlineLevel="3">
      <c r="A239" s="376"/>
      <c r="B239" s="376" t="s">
        <v>182</v>
      </c>
      <c r="C239" s="376" t="s">
        <v>182</v>
      </c>
      <c r="D239" s="376" t="s">
        <v>25</v>
      </c>
      <c r="E239" s="376" t="s">
        <v>26</v>
      </c>
      <c r="F239" s="608" t="s">
        <v>207</v>
      </c>
      <c r="G239" s="609">
        <v>0.10833933000000003</v>
      </c>
      <c r="H239" s="700">
        <v>1</v>
      </c>
      <c r="I239" s="626"/>
      <c r="J239" s="751"/>
      <c r="L239" s="608" t="s">
        <v>26</v>
      </c>
      <c r="M239" s="608" t="s">
        <v>1201</v>
      </c>
      <c r="N239" s="608" t="s">
        <v>1202</v>
      </c>
      <c r="O239" s="608" t="s">
        <v>1399</v>
      </c>
      <c r="P239" s="608" t="s">
        <v>1207</v>
      </c>
      <c r="Q239" s="608"/>
      <c r="R239" s="608">
        <v>0</v>
      </c>
      <c r="T239" s="751"/>
      <c r="V239" s="609">
        <f t="shared" si="33"/>
        <v>0</v>
      </c>
      <c r="W239" s="700"/>
    </row>
    <row r="240" spans="1:23" outlineLevel="3">
      <c r="A240" s="376"/>
      <c r="B240" s="376" t="s">
        <v>182</v>
      </c>
      <c r="C240" s="376" t="s">
        <v>182</v>
      </c>
      <c r="D240" s="376" t="s">
        <v>25</v>
      </c>
      <c r="E240" s="376" t="s">
        <v>26</v>
      </c>
      <c r="F240" s="608" t="s">
        <v>208</v>
      </c>
      <c r="G240" s="609">
        <v>5.4169665000000013E-2</v>
      </c>
      <c r="H240" s="700">
        <v>1</v>
      </c>
      <c r="I240" s="626"/>
      <c r="J240" s="751"/>
      <c r="L240" s="608" t="s">
        <v>26</v>
      </c>
      <c r="M240" s="608" t="s">
        <v>1201</v>
      </c>
      <c r="N240" s="608" t="s">
        <v>1202</v>
      </c>
      <c r="O240" s="608" t="s">
        <v>1399</v>
      </c>
      <c r="P240" s="608" t="s">
        <v>1389</v>
      </c>
      <c r="Q240" s="608"/>
      <c r="R240" s="608">
        <v>0</v>
      </c>
      <c r="T240" s="751"/>
      <c r="V240" s="609">
        <f t="shared" si="33"/>
        <v>0</v>
      </c>
      <c r="W240" s="700"/>
    </row>
    <row r="241" spans="1:23" outlineLevel="3">
      <c r="A241" s="376"/>
      <c r="B241" s="376" t="s">
        <v>182</v>
      </c>
      <c r="C241" s="376" t="s">
        <v>182</v>
      </c>
      <c r="D241" s="376" t="s">
        <v>25</v>
      </c>
      <c r="E241" s="376" t="s">
        <v>26</v>
      </c>
      <c r="F241" s="608" t="s">
        <v>209</v>
      </c>
      <c r="G241" s="609">
        <v>5.4169665000000013E-2</v>
      </c>
      <c r="H241" s="700">
        <v>1</v>
      </c>
      <c r="I241" s="626"/>
      <c r="J241" s="751"/>
      <c r="L241" s="608" t="s">
        <v>26</v>
      </c>
      <c r="M241" s="608" t="s">
        <v>1201</v>
      </c>
      <c r="N241" s="608" t="s">
        <v>1202</v>
      </c>
      <c r="O241" s="608" t="s">
        <v>1399</v>
      </c>
      <c r="P241" s="608" t="s">
        <v>1389</v>
      </c>
      <c r="Q241" s="608"/>
      <c r="R241" s="608">
        <v>0</v>
      </c>
      <c r="T241" s="751"/>
      <c r="V241" s="609">
        <f t="shared" si="33"/>
        <v>0</v>
      </c>
      <c r="W241" s="700"/>
    </row>
    <row r="242" spans="1:23" outlineLevel="3">
      <c r="A242" s="376"/>
      <c r="B242" s="376" t="s">
        <v>182</v>
      </c>
      <c r="C242" s="376" t="s">
        <v>182</v>
      </c>
      <c r="D242" s="376" t="s">
        <v>25</v>
      </c>
      <c r="E242" s="376" t="s">
        <v>26</v>
      </c>
      <c r="F242" s="608" t="s">
        <v>210</v>
      </c>
      <c r="G242" s="609">
        <v>0.10833933000000003</v>
      </c>
      <c r="H242" s="700">
        <v>1</v>
      </c>
      <c r="I242" s="626"/>
      <c r="J242" s="751"/>
      <c r="L242" s="608" t="s">
        <v>26</v>
      </c>
      <c r="M242" s="608" t="s">
        <v>1201</v>
      </c>
      <c r="N242" s="608" t="s">
        <v>1202</v>
      </c>
      <c r="O242" s="608" t="s">
        <v>1399</v>
      </c>
      <c r="P242" s="608" t="s">
        <v>1389</v>
      </c>
      <c r="Q242" s="608"/>
      <c r="R242" s="608">
        <v>0</v>
      </c>
      <c r="T242" s="751"/>
      <c r="V242" s="609">
        <f t="shared" si="33"/>
        <v>0</v>
      </c>
      <c r="W242" s="700"/>
    </row>
    <row r="243" spans="1:23" outlineLevel="3">
      <c r="A243" s="376"/>
      <c r="B243" s="376" t="s">
        <v>182</v>
      </c>
      <c r="C243" s="376" t="s">
        <v>182</v>
      </c>
      <c r="D243" s="376" t="s">
        <v>25</v>
      </c>
      <c r="E243" s="376" t="s">
        <v>26</v>
      </c>
      <c r="F243" s="608" t="s">
        <v>211</v>
      </c>
      <c r="G243" s="609">
        <v>0.10833933000000003</v>
      </c>
      <c r="H243" s="700">
        <v>1</v>
      </c>
      <c r="I243" s="626"/>
      <c r="J243" s="751"/>
      <c r="L243" s="608" t="s">
        <v>26</v>
      </c>
      <c r="M243" s="608" t="s">
        <v>1201</v>
      </c>
      <c r="N243" s="608" t="s">
        <v>1202</v>
      </c>
      <c r="O243" s="608" t="s">
        <v>1399</v>
      </c>
      <c r="P243" s="608" t="s">
        <v>1389</v>
      </c>
      <c r="Q243" s="608"/>
      <c r="R243" s="608">
        <v>0</v>
      </c>
      <c r="T243" s="751"/>
      <c r="V243" s="609">
        <f t="shared" si="33"/>
        <v>0</v>
      </c>
      <c r="W243" s="700"/>
    </row>
    <row r="244" spans="1:23" outlineLevel="3">
      <c r="A244" s="376"/>
      <c r="B244" s="376" t="s">
        <v>182</v>
      </c>
      <c r="C244" s="376" t="s">
        <v>182</v>
      </c>
      <c r="D244" s="376" t="s">
        <v>25</v>
      </c>
      <c r="E244" s="376" t="s">
        <v>26</v>
      </c>
      <c r="F244" s="608" t="s">
        <v>212</v>
      </c>
      <c r="G244" s="609">
        <v>5.4169665000000013E-2</v>
      </c>
      <c r="H244" s="700">
        <v>1</v>
      </c>
      <c r="I244" s="626"/>
      <c r="J244" s="751"/>
      <c r="L244" s="608" t="s">
        <v>26</v>
      </c>
      <c r="M244" s="608" t="s">
        <v>1201</v>
      </c>
      <c r="N244" s="608" t="s">
        <v>1202</v>
      </c>
      <c r="O244" s="608" t="s">
        <v>1399</v>
      </c>
      <c r="P244" s="608" t="s">
        <v>1389</v>
      </c>
      <c r="Q244" s="608"/>
      <c r="R244" s="608">
        <v>0</v>
      </c>
      <c r="T244" s="751"/>
      <c r="V244" s="609">
        <f t="shared" si="33"/>
        <v>0</v>
      </c>
      <c r="W244" s="700"/>
    </row>
    <row r="245" spans="1:23" outlineLevel="3">
      <c r="A245" s="376"/>
      <c r="B245" s="376" t="s">
        <v>182</v>
      </c>
      <c r="C245" s="376" t="s">
        <v>182</v>
      </c>
      <c r="D245" s="376" t="s">
        <v>25</v>
      </c>
      <c r="E245" s="376" t="s">
        <v>26</v>
      </c>
      <c r="F245" s="608" t="s">
        <v>213</v>
      </c>
      <c r="G245" s="609">
        <v>5.4169665000000013E-2</v>
      </c>
      <c r="H245" s="700">
        <v>1</v>
      </c>
      <c r="I245" s="626"/>
      <c r="J245" s="751"/>
      <c r="L245" s="608" t="s">
        <v>26</v>
      </c>
      <c r="M245" s="608" t="s">
        <v>1201</v>
      </c>
      <c r="N245" s="608" t="s">
        <v>1202</v>
      </c>
      <c r="O245" s="608" t="s">
        <v>1399</v>
      </c>
      <c r="P245" s="608" t="s">
        <v>1389</v>
      </c>
      <c r="Q245" s="608"/>
      <c r="R245" s="608">
        <v>0</v>
      </c>
      <c r="T245" s="751"/>
      <c r="V245" s="609">
        <f t="shared" si="33"/>
        <v>0</v>
      </c>
      <c r="W245" s="700"/>
    </row>
    <row r="246" spans="1:23" outlineLevel="3">
      <c r="A246" s="376"/>
      <c r="B246" s="376" t="s">
        <v>182</v>
      </c>
      <c r="C246" s="376" t="s">
        <v>182</v>
      </c>
      <c r="D246" s="376" t="s">
        <v>25</v>
      </c>
      <c r="E246" s="376" t="s">
        <v>26</v>
      </c>
      <c r="F246" s="608" t="s">
        <v>214</v>
      </c>
      <c r="G246" s="609">
        <v>5.1225570000000005E-2</v>
      </c>
      <c r="H246" s="700">
        <v>1</v>
      </c>
      <c r="I246" s="626"/>
      <c r="J246" s="751"/>
      <c r="L246" s="608" t="s">
        <v>26</v>
      </c>
      <c r="M246" s="608" t="s">
        <v>1201</v>
      </c>
      <c r="N246" s="608" t="s">
        <v>1202</v>
      </c>
      <c r="O246" s="608" t="s">
        <v>1399</v>
      </c>
      <c r="P246" s="608" t="s">
        <v>1389</v>
      </c>
      <c r="Q246" s="608"/>
      <c r="R246" s="608">
        <v>0</v>
      </c>
      <c r="T246" s="751"/>
      <c r="V246" s="609">
        <f t="shared" si="33"/>
        <v>0</v>
      </c>
      <c r="W246" s="700"/>
    </row>
    <row r="247" spans="1:23" outlineLevel="3">
      <c r="A247" s="376"/>
      <c r="B247" s="376" t="s">
        <v>182</v>
      </c>
      <c r="C247" s="376" t="s">
        <v>182</v>
      </c>
      <c r="D247" s="376" t="s">
        <v>25</v>
      </c>
      <c r="E247" s="376" t="s">
        <v>26</v>
      </c>
      <c r="F247" s="608" t="s">
        <v>215</v>
      </c>
      <c r="G247" s="609">
        <v>5.1225570000000005E-2</v>
      </c>
      <c r="H247" s="700">
        <v>1</v>
      </c>
      <c r="I247" s="626"/>
      <c r="J247" s="751"/>
      <c r="L247" s="608" t="s">
        <v>26</v>
      </c>
      <c r="M247" s="608" t="s">
        <v>1201</v>
      </c>
      <c r="N247" s="608" t="s">
        <v>1202</v>
      </c>
      <c r="O247" s="608" t="s">
        <v>1399</v>
      </c>
      <c r="P247" s="608" t="s">
        <v>1389</v>
      </c>
      <c r="Q247" s="608"/>
      <c r="R247" s="608">
        <v>0</v>
      </c>
      <c r="T247" s="751"/>
      <c r="V247" s="609">
        <f t="shared" si="33"/>
        <v>0</v>
      </c>
      <c r="W247" s="700"/>
    </row>
    <row r="248" spans="1:23" outlineLevel="3">
      <c r="A248" s="376"/>
      <c r="B248" s="376" t="s">
        <v>182</v>
      </c>
      <c r="C248" s="376" t="s">
        <v>182</v>
      </c>
      <c r="D248" s="376" t="s">
        <v>25</v>
      </c>
      <c r="E248" s="376" t="s">
        <v>26</v>
      </c>
      <c r="F248" s="608" t="s">
        <v>216</v>
      </c>
      <c r="G248" s="609">
        <v>5.1225570000000005E-2</v>
      </c>
      <c r="H248" s="700">
        <v>1</v>
      </c>
      <c r="I248" s="626"/>
      <c r="J248" s="751"/>
      <c r="L248" s="608" t="s">
        <v>26</v>
      </c>
      <c r="M248" s="608" t="s">
        <v>1201</v>
      </c>
      <c r="N248" s="608" t="s">
        <v>1202</v>
      </c>
      <c r="O248" s="608" t="s">
        <v>1399</v>
      </c>
      <c r="P248" s="608" t="s">
        <v>1389</v>
      </c>
      <c r="Q248" s="608"/>
      <c r="R248" s="608">
        <v>0</v>
      </c>
      <c r="T248" s="751"/>
      <c r="V248" s="609">
        <f t="shared" si="33"/>
        <v>0</v>
      </c>
      <c r="W248" s="700"/>
    </row>
    <row r="249" spans="1:23" outlineLevel="3">
      <c r="A249" s="376"/>
      <c r="B249" s="376" t="s">
        <v>182</v>
      </c>
      <c r="C249" s="376" t="s">
        <v>182</v>
      </c>
      <c r="D249" s="376" t="s">
        <v>25</v>
      </c>
      <c r="E249" s="376" t="s">
        <v>26</v>
      </c>
      <c r="F249" s="608" t="s">
        <v>217</v>
      </c>
      <c r="G249" s="609">
        <v>2.5612785000000002E-2</v>
      </c>
      <c r="H249" s="700">
        <v>1</v>
      </c>
      <c r="I249" s="626"/>
      <c r="J249" s="751"/>
      <c r="L249" s="608" t="s">
        <v>26</v>
      </c>
      <c r="M249" s="608" t="s">
        <v>1201</v>
      </c>
      <c r="N249" s="608" t="s">
        <v>1202</v>
      </c>
      <c r="O249" s="608" t="s">
        <v>1399</v>
      </c>
      <c r="P249" s="608" t="s">
        <v>1389</v>
      </c>
      <c r="Q249" s="608"/>
      <c r="R249" s="608">
        <v>0</v>
      </c>
      <c r="T249" s="751"/>
      <c r="V249" s="609">
        <f t="shared" si="33"/>
        <v>0</v>
      </c>
      <c r="W249" s="700"/>
    </row>
    <row r="250" spans="1:23" outlineLevel="3">
      <c r="A250" s="376"/>
      <c r="B250" s="376" t="s">
        <v>182</v>
      </c>
      <c r="C250" s="376" t="s">
        <v>182</v>
      </c>
      <c r="D250" s="376" t="s">
        <v>25</v>
      </c>
      <c r="E250" s="376" t="s">
        <v>26</v>
      </c>
      <c r="F250" s="608" t="s">
        <v>218</v>
      </c>
      <c r="G250" s="609">
        <v>2.5612785000000002E-2</v>
      </c>
      <c r="H250" s="700">
        <v>1</v>
      </c>
      <c r="I250" s="626"/>
      <c r="J250" s="751"/>
      <c r="L250" s="608" t="s">
        <v>26</v>
      </c>
      <c r="M250" s="608" t="s">
        <v>1201</v>
      </c>
      <c r="N250" s="608" t="s">
        <v>1202</v>
      </c>
      <c r="O250" s="608" t="s">
        <v>1399</v>
      </c>
      <c r="P250" s="608" t="s">
        <v>1389</v>
      </c>
      <c r="Q250" s="608"/>
      <c r="R250" s="608">
        <v>0</v>
      </c>
      <c r="T250" s="751"/>
      <c r="V250" s="609">
        <f t="shared" si="33"/>
        <v>0</v>
      </c>
      <c r="W250" s="700"/>
    </row>
    <row r="251" spans="1:23" outlineLevel="2">
      <c r="A251" s="376"/>
      <c r="B251" s="684" t="s">
        <v>182</v>
      </c>
      <c r="C251" s="684" t="s">
        <v>182</v>
      </c>
      <c r="D251" s="684" t="s">
        <v>27</v>
      </c>
      <c r="E251" s="684"/>
      <c r="F251" s="685" t="s">
        <v>183</v>
      </c>
      <c r="G251" s="713">
        <f>SUBTOTAL(9,G252)</f>
        <v>3.6853334887931043E-2</v>
      </c>
      <c r="H251" s="714">
        <f>SUBTOTAL(9,H252)</f>
        <v>1</v>
      </c>
      <c r="I251" s="626"/>
      <c r="J251" s="751"/>
      <c r="L251" s="685"/>
      <c r="M251" s="685"/>
      <c r="N251" s="685"/>
      <c r="O251" s="685"/>
      <c r="P251" s="685"/>
      <c r="Q251" s="685"/>
      <c r="R251" s="685"/>
      <c r="T251" s="751"/>
      <c r="V251" s="713">
        <f>SUBTOTAL(9,V252)</f>
        <v>0</v>
      </c>
      <c r="W251" s="714">
        <f>SUBTOTAL(9,W252)</f>
        <v>0</v>
      </c>
    </row>
    <row r="252" spans="1:23" ht="52.8" outlineLevel="3">
      <c r="A252" s="376"/>
      <c r="B252" s="376" t="s">
        <v>182</v>
      </c>
      <c r="C252" s="376" t="s">
        <v>182</v>
      </c>
      <c r="D252" s="376" t="s">
        <v>27</v>
      </c>
      <c r="E252" s="376" t="s">
        <v>28</v>
      </c>
      <c r="F252" s="608" t="s">
        <v>220</v>
      </c>
      <c r="G252" s="609">
        <v>3.6853334887931043E-2</v>
      </c>
      <c r="H252" s="700">
        <v>1</v>
      </c>
      <c r="I252" s="626"/>
      <c r="J252" s="751"/>
      <c r="L252" s="608" t="s">
        <v>28</v>
      </c>
      <c r="M252" s="608" t="s">
        <v>1208</v>
      </c>
      <c r="N252" s="608" t="s">
        <v>1400</v>
      </c>
      <c r="O252" s="608" t="s">
        <v>1401</v>
      </c>
      <c r="P252" s="608"/>
      <c r="Q252" s="608"/>
      <c r="R252" s="608"/>
      <c r="T252" s="751"/>
      <c r="V252" s="609">
        <f t="shared" ref="V252" si="34">IF(W252=1,G252,0)</f>
        <v>0</v>
      </c>
      <c r="W252" s="700"/>
    </row>
    <row r="253" spans="1:23" outlineLevel="1">
      <c r="A253" s="376"/>
      <c r="B253" s="665" t="s">
        <v>222</v>
      </c>
      <c r="C253" s="665" t="s">
        <v>222</v>
      </c>
      <c r="D253" s="665"/>
      <c r="E253" s="665"/>
      <c r="F253" s="681" t="s">
        <v>262</v>
      </c>
      <c r="G253" s="701">
        <f>SUBTOTAL(9,G254:G273)</f>
        <v>1.0950933246486447</v>
      </c>
      <c r="H253" s="702">
        <f>SUBTOTAL(9,H254:H273)</f>
        <v>15</v>
      </c>
      <c r="I253" s="626"/>
      <c r="J253" s="751"/>
      <c r="L253" s="681"/>
      <c r="M253" s="681"/>
      <c r="N253" s="681"/>
      <c r="O253" s="681"/>
      <c r="P253" s="681"/>
      <c r="Q253" s="681"/>
      <c r="R253" s="681"/>
      <c r="T253" s="751"/>
      <c r="V253" s="701">
        <f>SUBTOTAL(9,V254:V273)</f>
        <v>0</v>
      </c>
      <c r="W253" s="702">
        <f>SUBTOTAL(9,W254:W273)</f>
        <v>0</v>
      </c>
    </row>
    <row r="254" spans="1:23" ht="26.4" outlineLevel="2">
      <c r="A254" s="376"/>
      <c r="B254" s="684" t="s">
        <v>222</v>
      </c>
      <c r="C254" s="684" t="s">
        <v>222</v>
      </c>
      <c r="D254" s="684" t="s">
        <v>17</v>
      </c>
      <c r="E254" s="684"/>
      <c r="F254" s="685" t="s">
        <v>1402</v>
      </c>
      <c r="G254" s="713">
        <f>SUBTOTAL(9,G255:G263)</f>
        <v>0.72823846611302523</v>
      </c>
      <c r="H254" s="714">
        <f>SUBTOTAL(9,H255:H263)</f>
        <v>7</v>
      </c>
      <c r="I254" s="626"/>
      <c r="J254" s="751"/>
      <c r="L254" s="685"/>
      <c r="M254" s="685"/>
      <c r="N254" s="685"/>
      <c r="O254" s="685"/>
      <c r="P254" s="685"/>
      <c r="Q254" s="685"/>
      <c r="R254" s="685"/>
      <c r="T254" s="751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222</v>
      </c>
      <c r="C255" s="376" t="s">
        <v>222</v>
      </c>
      <c r="D255" s="376" t="s">
        <v>17</v>
      </c>
      <c r="E255" s="376" t="s">
        <v>177</v>
      </c>
      <c r="F255" s="705" t="s">
        <v>1403</v>
      </c>
      <c r="G255" s="695">
        <v>0.25575333042562204</v>
      </c>
      <c r="H255" s="700">
        <v>1</v>
      </c>
      <c r="I255" s="626"/>
      <c r="J255" s="751"/>
      <c r="L255" s="608" t="s">
        <v>177</v>
      </c>
      <c r="M255" s="608" t="s">
        <v>1395</v>
      </c>
      <c r="N255" s="608" t="s">
        <v>1397</v>
      </c>
      <c r="O255" s="608" t="s">
        <v>1404</v>
      </c>
      <c r="P255" s="608"/>
      <c r="Q255" s="608"/>
      <c r="R255" s="608"/>
      <c r="T255" s="751"/>
      <c r="V255" s="609">
        <f t="shared" ref="V255:V260" si="35">IF(W255=1,G255,0)</f>
        <v>0</v>
      </c>
      <c r="W255" s="700"/>
    </row>
    <row r="256" spans="1:23" outlineLevel="3">
      <c r="A256" s="376"/>
      <c r="B256" s="376" t="s">
        <v>222</v>
      </c>
      <c r="C256" s="376" t="s">
        <v>222</v>
      </c>
      <c r="D256" s="376" t="s">
        <v>17</v>
      </c>
      <c r="E256" s="376" t="s">
        <v>177</v>
      </c>
      <c r="F256" s="608" t="s">
        <v>1405</v>
      </c>
      <c r="G256" s="695">
        <v>8.1564148364617506E-2</v>
      </c>
      <c r="H256" s="700">
        <v>1</v>
      </c>
      <c r="I256" s="626"/>
      <c r="J256" s="751"/>
      <c r="L256" s="608" t="s">
        <v>177</v>
      </c>
      <c r="M256" s="608" t="s">
        <v>1395</v>
      </c>
      <c r="N256" s="608" t="s">
        <v>1397</v>
      </c>
      <c r="O256" s="608" t="s">
        <v>1404</v>
      </c>
      <c r="P256" s="608"/>
      <c r="Q256" s="608"/>
      <c r="R256" s="608"/>
      <c r="T256" s="751"/>
      <c r="V256" s="609">
        <f t="shared" si="35"/>
        <v>0</v>
      </c>
      <c r="W256" s="700"/>
    </row>
    <row r="257" spans="1:23" outlineLevel="3">
      <c r="A257" s="376"/>
      <c r="B257" s="376" t="s">
        <v>222</v>
      </c>
      <c r="C257" s="376" t="s">
        <v>222</v>
      </c>
      <c r="D257" s="376" t="s">
        <v>17</v>
      </c>
      <c r="E257" s="376" t="s">
        <v>177</v>
      </c>
      <c r="F257" s="608" t="s">
        <v>1406</v>
      </c>
      <c r="G257" s="695">
        <v>0.18696938245168926</v>
      </c>
      <c r="H257" s="700">
        <v>1</v>
      </c>
      <c r="I257" s="626"/>
      <c r="J257" s="751"/>
      <c r="L257" s="608" t="s">
        <v>177</v>
      </c>
      <c r="M257" s="608" t="s">
        <v>1395</v>
      </c>
      <c r="N257" s="608" t="s">
        <v>1397</v>
      </c>
      <c r="O257" s="608" t="s">
        <v>1404</v>
      </c>
      <c r="P257" s="608"/>
      <c r="Q257" s="608"/>
      <c r="R257" s="608"/>
      <c r="T257" s="751"/>
      <c r="V257" s="609">
        <f t="shared" si="35"/>
        <v>0</v>
      </c>
      <c r="W257" s="700"/>
    </row>
    <row r="258" spans="1:23" outlineLevel="3">
      <c r="A258" s="376"/>
      <c r="B258" s="376" t="s">
        <v>222</v>
      </c>
      <c r="C258" s="376" t="s">
        <v>222</v>
      </c>
      <c r="D258" s="376" t="s">
        <v>17</v>
      </c>
      <c r="E258" s="376" t="s">
        <v>177</v>
      </c>
      <c r="F258" s="608" t="s">
        <v>1407</v>
      </c>
      <c r="G258" s="695">
        <v>2.7188049454872507E-2</v>
      </c>
      <c r="H258" s="700">
        <v>1</v>
      </c>
      <c r="I258" s="626"/>
      <c r="J258" s="751"/>
      <c r="L258" s="608" t="s">
        <v>177</v>
      </c>
      <c r="M258" s="608" t="s">
        <v>1395</v>
      </c>
      <c r="N258" s="608" t="s">
        <v>1397</v>
      </c>
      <c r="O258" s="608" t="s">
        <v>1404</v>
      </c>
      <c r="P258" s="608"/>
      <c r="Q258" s="608"/>
      <c r="R258" s="608"/>
      <c r="T258" s="751"/>
      <c r="V258" s="609">
        <f t="shared" si="35"/>
        <v>0</v>
      </c>
      <c r="W258" s="700"/>
    </row>
    <row r="259" spans="1:23" outlineLevel="3">
      <c r="A259" s="376"/>
      <c r="B259" s="376" t="s">
        <v>222</v>
      </c>
      <c r="C259" s="376" t="s">
        <v>222</v>
      </c>
      <c r="D259" s="376" t="s">
        <v>17</v>
      </c>
      <c r="E259" s="376" t="s">
        <v>177</v>
      </c>
      <c r="F259" s="608" t="s">
        <v>1408</v>
      </c>
      <c r="G259" s="695">
        <v>0.11218162947101355</v>
      </c>
      <c r="H259" s="700">
        <v>1</v>
      </c>
      <c r="I259" s="626"/>
      <c r="J259" s="751"/>
      <c r="L259" s="608" t="s">
        <v>177</v>
      </c>
      <c r="M259" s="608" t="s">
        <v>1395</v>
      </c>
      <c r="N259" s="608" t="s">
        <v>1397</v>
      </c>
      <c r="O259" s="608" t="s">
        <v>1404</v>
      </c>
      <c r="P259" s="608"/>
      <c r="Q259" s="608"/>
      <c r="R259" s="608"/>
      <c r="T259" s="751"/>
      <c r="V259" s="609">
        <f t="shared" si="35"/>
        <v>0</v>
      </c>
      <c r="W259" s="700"/>
    </row>
    <row r="260" spans="1:23" outlineLevel="3">
      <c r="A260" s="376"/>
      <c r="B260" s="376" t="s">
        <v>222</v>
      </c>
      <c r="C260" s="376" t="s">
        <v>222</v>
      </c>
      <c r="D260" s="376" t="s">
        <v>17</v>
      </c>
      <c r="E260" s="376" t="s">
        <v>177</v>
      </c>
      <c r="F260" s="608" t="s">
        <v>1409</v>
      </c>
      <c r="G260" s="695">
        <v>3.7393876490337853E-2</v>
      </c>
      <c r="H260" s="700">
        <v>1</v>
      </c>
      <c r="I260" s="626"/>
      <c r="J260" s="751"/>
      <c r="L260" s="608" t="s">
        <v>177</v>
      </c>
      <c r="M260" s="608" t="s">
        <v>1395</v>
      </c>
      <c r="N260" s="608" t="s">
        <v>1397</v>
      </c>
      <c r="O260" s="608" t="s">
        <v>1404</v>
      </c>
      <c r="P260" s="608"/>
      <c r="Q260" s="608"/>
      <c r="R260" s="608"/>
      <c r="T260" s="751"/>
      <c r="V260" s="609">
        <f t="shared" si="35"/>
        <v>0</v>
      </c>
      <c r="W260" s="700"/>
    </row>
    <row r="261" spans="1:23" outlineLevel="3">
      <c r="A261" s="376"/>
      <c r="B261" s="376" t="s">
        <v>222</v>
      </c>
      <c r="C261" s="376" t="s">
        <v>222</v>
      </c>
      <c r="D261" s="376" t="s">
        <v>17</v>
      </c>
      <c r="E261" s="376" t="s">
        <v>177</v>
      </c>
      <c r="F261" s="759" t="s">
        <v>1410</v>
      </c>
      <c r="G261" s="695"/>
      <c r="H261" s="700"/>
      <c r="I261" s="626"/>
      <c r="J261" s="751"/>
      <c r="L261" s="608" t="s">
        <v>177</v>
      </c>
      <c r="M261" s="608"/>
      <c r="N261" s="608"/>
      <c r="O261" s="608"/>
      <c r="P261" s="608"/>
      <c r="Q261" s="608"/>
      <c r="R261" s="608"/>
      <c r="T261" s="751"/>
      <c r="V261" s="695"/>
      <c r="W261" s="700"/>
    </row>
    <row r="262" spans="1:23" outlineLevel="3">
      <c r="A262" s="376"/>
      <c r="B262" s="376" t="s">
        <v>222</v>
      </c>
      <c r="C262" s="376" t="s">
        <v>222</v>
      </c>
      <c r="D262" s="376" t="s">
        <v>17</v>
      </c>
      <c r="E262" s="376" t="s">
        <v>177</v>
      </c>
      <c r="F262" s="608" t="s">
        <v>1411</v>
      </c>
      <c r="G262" s="695">
        <v>2.7188049454872507E-2</v>
      </c>
      <c r="H262" s="700">
        <v>1</v>
      </c>
      <c r="I262" s="626"/>
      <c r="J262" s="751"/>
      <c r="L262" s="608" t="s">
        <v>177</v>
      </c>
      <c r="M262" s="608" t="s">
        <v>1395</v>
      </c>
      <c r="N262" s="608" t="s">
        <v>1397</v>
      </c>
      <c r="O262" s="608" t="s">
        <v>1404</v>
      </c>
      <c r="P262" s="608"/>
      <c r="Q262" s="608"/>
      <c r="R262" s="608"/>
      <c r="T262" s="751"/>
      <c r="V262" s="609">
        <f t="shared" ref="V262" si="36">IF(W262=1,G262,0)</f>
        <v>0</v>
      </c>
      <c r="W262" s="700"/>
    </row>
    <row r="263" spans="1:23" outlineLevel="3">
      <c r="A263" s="376"/>
      <c r="B263" s="376" t="s">
        <v>222</v>
      </c>
      <c r="C263" s="376" t="s">
        <v>222</v>
      </c>
      <c r="D263" s="376" t="s">
        <v>17</v>
      </c>
      <c r="E263" s="376" t="s">
        <v>177</v>
      </c>
      <c r="F263" s="759" t="s">
        <v>1412</v>
      </c>
      <c r="G263" s="728"/>
      <c r="H263" s="700"/>
      <c r="I263" s="626"/>
      <c r="J263" s="751"/>
      <c r="L263" s="608" t="s">
        <v>177</v>
      </c>
      <c r="M263" s="608"/>
      <c r="N263" s="608"/>
      <c r="O263" s="608"/>
      <c r="P263" s="608"/>
      <c r="Q263" s="608"/>
      <c r="R263" s="608"/>
      <c r="T263" s="751"/>
      <c r="V263" s="728"/>
      <c r="W263" s="700"/>
    </row>
    <row r="264" spans="1:23" outlineLevel="2">
      <c r="A264" s="376"/>
      <c r="B264" s="684" t="s">
        <v>222</v>
      </c>
      <c r="C264" s="684" t="s">
        <v>222</v>
      </c>
      <c r="D264" s="684" t="s">
        <v>25</v>
      </c>
      <c r="E264" s="684"/>
      <c r="F264" s="685" t="s">
        <v>1413</v>
      </c>
      <c r="G264" s="713">
        <f>SUBTOTAL(9,G265:G270)</f>
        <v>0.34545700083561953</v>
      </c>
      <c r="H264" s="714">
        <f>SUBTOTAL(9,H265:H270)</f>
        <v>6</v>
      </c>
      <c r="I264" s="626"/>
      <c r="J264" s="751"/>
      <c r="L264" s="685"/>
      <c r="M264" s="685"/>
      <c r="N264" s="685"/>
      <c r="O264" s="685"/>
      <c r="P264" s="685"/>
      <c r="Q264" s="685"/>
      <c r="R264" s="685"/>
      <c r="T264" s="751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222</v>
      </c>
      <c r="C265" s="376" t="s">
        <v>222</v>
      </c>
      <c r="D265" s="376" t="s">
        <v>25</v>
      </c>
      <c r="E265" s="376" t="s">
        <v>26</v>
      </c>
      <c r="F265" s="608" t="s">
        <v>1414</v>
      </c>
      <c r="G265" s="695">
        <v>0.20115878538561949</v>
      </c>
      <c r="H265" s="692">
        <v>1</v>
      </c>
      <c r="I265" s="626"/>
      <c r="J265" s="751"/>
      <c r="L265" s="608" t="s">
        <v>26</v>
      </c>
      <c r="M265" s="608" t="s">
        <v>1246</v>
      </c>
      <c r="N265" s="608" t="s">
        <v>1415</v>
      </c>
      <c r="O265" s="608" t="s">
        <v>1250</v>
      </c>
      <c r="P265" s="608" t="s">
        <v>1416</v>
      </c>
      <c r="Q265" s="608"/>
      <c r="R265" s="608">
        <v>0</v>
      </c>
      <c r="T265" s="751"/>
      <c r="V265" s="609">
        <f t="shared" ref="V265:V270" si="37">IF(W265=1,G265,0)</f>
        <v>0</v>
      </c>
      <c r="W265" s="692"/>
    </row>
    <row r="266" spans="1:23" ht="26.4" outlineLevel="3">
      <c r="A266" s="376"/>
      <c r="B266" s="376" t="s">
        <v>222</v>
      </c>
      <c r="C266" s="376" t="s">
        <v>222</v>
      </c>
      <c r="D266" s="376" t="s">
        <v>25</v>
      </c>
      <c r="E266" s="376" t="s">
        <v>26</v>
      </c>
      <c r="F266" s="608" t="s">
        <v>1408</v>
      </c>
      <c r="G266" s="695">
        <v>5.8456730700000001E-2</v>
      </c>
      <c r="H266" s="692">
        <v>1</v>
      </c>
      <c r="I266" s="626"/>
      <c r="J266" s="751"/>
      <c r="L266" s="608" t="s">
        <v>26</v>
      </c>
      <c r="M266" s="608" t="s">
        <v>1201</v>
      </c>
      <c r="N266" s="608" t="s">
        <v>1417</v>
      </c>
      <c r="O266" s="608"/>
      <c r="P266" s="608" t="s">
        <v>1416</v>
      </c>
      <c r="Q266" s="608"/>
      <c r="R266" s="608">
        <v>0</v>
      </c>
      <c r="T266" s="751"/>
      <c r="V266" s="609">
        <f t="shared" si="37"/>
        <v>0</v>
      </c>
      <c r="W266" s="692"/>
    </row>
    <row r="267" spans="1:23" ht="26.4" outlineLevel="3">
      <c r="A267" s="376"/>
      <c r="B267" s="376" t="s">
        <v>222</v>
      </c>
      <c r="C267" s="376" t="s">
        <v>222</v>
      </c>
      <c r="D267" s="376" t="s">
        <v>25</v>
      </c>
      <c r="E267" s="376" t="s">
        <v>26</v>
      </c>
      <c r="F267" s="608" t="s">
        <v>1409</v>
      </c>
      <c r="G267" s="695">
        <v>4.8713942250000003E-2</v>
      </c>
      <c r="H267" s="692">
        <v>1</v>
      </c>
      <c r="I267" s="626"/>
      <c r="J267" s="751"/>
      <c r="L267" s="608" t="s">
        <v>26</v>
      </c>
      <c r="M267" s="608" t="s">
        <v>1201</v>
      </c>
      <c r="N267" s="608" t="s">
        <v>1417</v>
      </c>
      <c r="O267" s="608"/>
      <c r="P267" s="608" t="s">
        <v>1416</v>
      </c>
      <c r="Q267" s="608"/>
      <c r="R267" s="608">
        <v>0</v>
      </c>
      <c r="T267" s="751"/>
      <c r="V267" s="609">
        <f t="shared" si="37"/>
        <v>0</v>
      </c>
      <c r="W267" s="692"/>
    </row>
    <row r="268" spans="1:23" outlineLevel="3">
      <c r="A268" s="376"/>
      <c r="B268" s="376" t="s">
        <v>222</v>
      </c>
      <c r="C268" s="376" t="s">
        <v>222</v>
      </c>
      <c r="D268" s="376" t="s">
        <v>25</v>
      </c>
      <c r="E268" s="376" t="s">
        <v>26</v>
      </c>
      <c r="F268" s="608" t="s">
        <v>1405</v>
      </c>
      <c r="G268" s="695">
        <v>2.5989279749999997E-2</v>
      </c>
      <c r="H268" s="692">
        <v>1</v>
      </c>
      <c r="I268" s="626"/>
      <c r="J268" s="751"/>
      <c r="L268" s="608" t="s">
        <v>26</v>
      </c>
      <c r="M268" s="608" t="s">
        <v>1201</v>
      </c>
      <c r="N268" s="608" t="s">
        <v>1418</v>
      </c>
      <c r="O268" s="608"/>
      <c r="P268" s="608" t="s">
        <v>1326</v>
      </c>
      <c r="Q268" s="608"/>
      <c r="R268" s="608">
        <v>0</v>
      </c>
      <c r="T268" s="751"/>
      <c r="V268" s="609">
        <f t="shared" si="37"/>
        <v>0</v>
      </c>
      <c r="W268" s="692"/>
    </row>
    <row r="269" spans="1:23" outlineLevel="3">
      <c r="A269" s="376"/>
      <c r="B269" s="376" t="s">
        <v>222</v>
      </c>
      <c r="C269" s="376" t="s">
        <v>222</v>
      </c>
      <c r="D269" s="376" t="s">
        <v>25</v>
      </c>
      <c r="E269" s="376" t="s">
        <v>26</v>
      </c>
      <c r="F269" s="608" t="s">
        <v>1407</v>
      </c>
      <c r="G269" s="695">
        <v>3.7127542499999998E-3</v>
      </c>
      <c r="H269" s="692">
        <v>1</v>
      </c>
      <c r="I269" s="626"/>
      <c r="J269" s="751"/>
      <c r="L269" s="608" t="s">
        <v>26</v>
      </c>
      <c r="M269" s="608" t="s">
        <v>1201</v>
      </c>
      <c r="N269" s="608" t="s">
        <v>1325</v>
      </c>
      <c r="O269" s="608"/>
      <c r="P269" s="608" t="s">
        <v>1326</v>
      </c>
      <c r="Q269" s="608"/>
      <c r="R269" s="608">
        <v>0</v>
      </c>
      <c r="T269" s="751"/>
      <c r="V269" s="609">
        <f t="shared" si="37"/>
        <v>0</v>
      </c>
      <c r="W269" s="692"/>
    </row>
    <row r="270" spans="1:23" ht="39.6" outlineLevel="3">
      <c r="A270" s="376"/>
      <c r="B270" s="376" t="s">
        <v>222</v>
      </c>
      <c r="C270" s="376" t="s">
        <v>222</v>
      </c>
      <c r="D270" s="376" t="s">
        <v>25</v>
      </c>
      <c r="E270" s="376" t="s">
        <v>26</v>
      </c>
      <c r="F270" s="608" t="s">
        <v>1411</v>
      </c>
      <c r="G270" s="695">
        <v>7.4255085000000005E-3</v>
      </c>
      <c r="H270" s="692">
        <v>1</v>
      </c>
      <c r="I270" s="626"/>
      <c r="J270" s="751"/>
      <c r="L270" s="608" t="s">
        <v>26</v>
      </c>
      <c r="M270" s="608" t="s">
        <v>1201</v>
      </c>
      <c r="N270" s="608" t="s">
        <v>1419</v>
      </c>
      <c r="O270" s="608"/>
      <c r="P270" s="608" t="s">
        <v>1326</v>
      </c>
      <c r="Q270" s="608"/>
      <c r="R270" s="608">
        <v>0</v>
      </c>
      <c r="T270" s="751"/>
      <c r="V270" s="609">
        <f t="shared" si="37"/>
        <v>0</v>
      </c>
      <c r="W270" s="692"/>
    </row>
    <row r="271" spans="1:23" outlineLevel="2">
      <c r="A271" s="376"/>
      <c r="B271" s="684" t="s">
        <v>222</v>
      </c>
      <c r="C271" s="684" t="s">
        <v>222</v>
      </c>
      <c r="D271" s="684" t="s">
        <v>27</v>
      </c>
      <c r="E271" s="684"/>
      <c r="F271" s="685" t="s">
        <v>1413</v>
      </c>
      <c r="G271" s="713">
        <f>SUBTOTAL(9,G272:G273)</f>
        <v>2.1397857699999998E-2</v>
      </c>
      <c r="H271" s="714">
        <f>SUBTOTAL(9,H272:H273)</f>
        <v>2</v>
      </c>
      <c r="I271" s="626"/>
      <c r="J271" s="751"/>
      <c r="L271" s="685"/>
      <c r="M271" s="685"/>
      <c r="N271" s="685"/>
      <c r="O271" s="685"/>
      <c r="P271" s="685"/>
      <c r="Q271" s="685"/>
      <c r="R271" s="685"/>
      <c r="T271" s="751"/>
      <c r="V271" s="713">
        <f>SUBTOTAL(9,V272:V273)</f>
        <v>0</v>
      </c>
      <c r="W271" s="714">
        <f>SUBTOTAL(9,W272:W273)</f>
        <v>0</v>
      </c>
    </row>
    <row r="272" spans="1:23" ht="39.6" outlineLevel="3">
      <c r="A272" s="376"/>
      <c r="B272" s="376" t="s">
        <v>222</v>
      </c>
      <c r="C272" s="376" t="s">
        <v>222</v>
      </c>
      <c r="D272" s="376" t="s">
        <v>27</v>
      </c>
      <c r="E272" s="376" t="s">
        <v>28</v>
      </c>
      <c r="F272" s="608" t="s">
        <v>1409</v>
      </c>
      <c r="G272" s="729">
        <v>2.0842521999999999E-2</v>
      </c>
      <c r="H272" s="700">
        <v>1</v>
      </c>
      <c r="I272" s="626"/>
      <c r="J272" s="751"/>
      <c r="L272" s="608" t="s">
        <v>28</v>
      </c>
      <c r="M272" s="608" t="s">
        <v>1208</v>
      </c>
      <c r="N272" s="608" t="s">
        <v>1393</v>
      </c>
      <c r="O272" s="608" t="s">
        <v>1420</v>
      </c>
      <c r="P272" s="608"/>
      <c r="Q272" s="608"/>
      <c r="R272" s="608"/>
      <c r="T272" s="751"/>
      <c r="V272" s="609">
        <f t="shared" ref="V272:V273" si="38">IF(W272=1,G272,0)</f>
        <v>0</v>
      </c>
      <c r="W272" s="700"/>
    </row>
    <row r="273" spans="1:23" ht="39.6" outlineLevel="3">
      <c r="A273" s="376"/>
      <c r="B273" s="376" t="s">
        <v>222</v>
      </c>
      <c r="C273" s="376" t="s">
        <v>222</v>
      </c>
      <c r="D273" s="376" t="s">
        <v>27</v>
      </c>
      <c r="E273" s="376" t="s">
        <v>28</v>
      </c>
      <c r="F273" s="608" t="s">
        <v>1411</v>
      </c>
      <c r="G273" s="729">
        <v>5.5533570000000003E-4</v>
      </c>
      <c r="H273" s="700">
        <v>1</v>
      </c>
      <c r="I273" s="626"/>
      <c r="J273" s="751"/>
      <c r="L273" s="608" t="s">
        <v>28</v>
      </c>
      <c r="M273" s="608" t="s">
        <v>1208</v>
      </c>
      <c r="N273" s="608" t="s">
        <v>1393</v>
      </c>
      <c r="O273" s="608" t="s">
        <v>1420</v>
      </c>
      <c r="P273" s="608"/>
      <c r="Q273" s="608"/>
      <c r="R273" s="608"/>
      <c r="T273" s="751"/>
      <c r="V273" s="609">
        <f t="shared" si="38"/>
        <v>0</v>
      </c>
      <c r="W273" s="700"/>
    </row>
    <row r="274" spans="1:23" outlineLevel="1">
      <c r="A274" s="376"/>
      <c r="B274" s="665" t="s">
        <v>233</v>
      </c>
      <c r="C274" s="665" t="s">
        <v>233</v>
      </c>
      <c r="D274" s="665"/>
      <c r="E274" s="665"/>
      <c r="F274" s="681" t="s">
        <v>262</v>
      </c>
      <c r="G274" s="701">
        <f>SUBTOTAL(9,G275:G283)</f>
        <v>0.38041780000000003</v>
      </c>
      <c r="H274" s="702">
        <f>SUBTOTAL(9,H275:H283)</f>
        <v>2</v>
      </c>
      <c r="I274" s="626"/>
      <c r="J274" s="751"/>
      <c r="L274" s="681"/>
      <c r="M274" s="681"/>
      <c r="N274" s="681"/>
      <c r="O274" s="681"/>
      <c r="P274" s="681"/>
      <c r="Q274" s="681"/>
      <c r="R274" s="681"/>
      <c r="T274" s="751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233</v>
      </c>
      <c r="C275" s="684" t="s">
        <v>233</v>
      </c>
      <c r="D275" s="684" t="s">
        <v>17</v>
      </c>
      <c r="E275" s="684"/>
      <c r="F275" s="685" t="s">
        <v>1421</v>
      </c>
      <c r="G275" s="686">
        <f>SUBTOTAL(9,G276:G277)</f>
        <v>0.38041780000000003</v>
      </c>
      <c r="H275" s="691">
        <f>SUBTOTAL(9,H276:H277)</f>
        <v>2</v>
      </c>
      <c r="I275" s="626"/>
      <c r="J275" s="751"/>
      <c r="L275" s="685"/>
      <c r="M275" s="685"/>
      <c r="N275" s="685"/>
      <c r="O275" s="685"/>
      <c r="P275" s="685"/>
      <c r="Q275" s="685"/>
      <c r="R275" s="685"/>
      <c r="T275" s="751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233</v>
      </c>
      <c r="C276" s="376" t="s">
        <v>233</v>
      </c>
      <c r="D276" s="376" t="s">
        <v>17</v>
      </c>
      <c r="E276" s="376" t="s">
        <v>177</v>
      </c>
      <c r="F276" s="608" t="s">
        <v>1422</v>
      </c>
      <c r="G276" s="609">
        <v>0.15216712000000002</v>
      </c>
      <c r="H276" s="692">
        <v>1</v>
      </c>
      <c r="I276" s="626"/>
      <c r="J276" s="751"/>
      <c r="L276" s="608" t="s">
        <v>177</v>
      </c>
      <c r="M276" s="608" t="s">
        <v>1385</v>
      </c>
      <c r="N276" s="608" t="s">
        <v>1386</v>
      </c>
      <c r="O276" s="608"/>
      <c r="P276" s="608"/>
      <c r="Q276" s="608"/>
      <c r="R276" s="608"/>
      <c r="T276" s="751"/>
      <c r="V276" s="609">
        <f t="shared" ref="V276:V277" si="39">IF(W276=1,G276,0)</f>
        <v>0</v>
      </c>
      <c r="W276" s="692"/>
    </row>
    <row r="277" spans="1:23" outlineLevel="3">
      <c r="A277" s="376"/>
      <c r="B277" s="376" t="s">
        <v>233</v>
      </c>
      <c r="C277" s="376" t="s">
        <v>233</v>
      </c>
      <c r="D277" s="376" t="s">
        <v>17</v>
      </c>
      <c r="E277" s="376" t="s">
        <v>177</v>
      </c>
      <c r="F277" s="608" t="s">
        <v>236</v>
      </c>
      <c r="G277" s="609">
        <v>0.22825067999999998</v>
      </c>
      <c r="H277" s="692">
        <v>1</v>
      </c>
      <c r="I277" s="626"/>
      <c r="J277" s="751"/>
      <c r="L277" s="608" t="s">
        <v>177</v>
      </c>
      <c r="M277" s="608" t="s">
        <v>1385</v>
      </c>
      <c r="N277" s="608" t="s">
        <v>1386</v>
      </c>
      <c r="O277" s="608"/>
      <c r="P277" s="608"/>
      <c r="Q277" s="608"/>
      <c r="R277" s="608"/>
      <c r="T277" s="751"/>
      <c r="V277" s="609">
        <f t="shared" si="39"/>
        <v>0</v>
      </c>
      <c r="W277" s="692"/>
    </row>
    <row r="278" spans="1:23" outlineLevel="2">
      <c r="A278" s="376"/>
      <c r="B278" s="684" t="s">
        <v>233</v>
      </c>
      <c r="C278" s="684" t="s">
        <v>233</v>
      </c>
      <c r="D278" s="684" t="s">
        <v>25</v>
      </c>
      <c r="E278" s="684"/>
      <c r="F278" s="685" t="s">
        <v>1421</v>
      </c>
      <c r="G278" s="686">
        <f>SUBTOTAL(9,G279)</f>
        <v>0</v>
      </c>
      <c r="H278" s="691">
        <f>SUBTOTAL(9,H279)</f>
        <v>0</v>
      </c>
      <c r="I278" s="626"/>
      <c r="J278" s="751"/>
      <c r="L278" s="685"/>
      <c r="M278" s="685"/>
      <c r="N278" s="685"/>
      <c r="O278" s="685"/>
      <c r="P278" s="685"/>
      <c r="Q278" s="685"/>
      <c r="R278" s="685"/>
      <c r="T278" s="751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233</v>
      </c>
      <c r="C279" s="376" t="s">
        <v>233</v>
      </c>
      <c r="D279" s="376" t="s">
        <v>25</v>
      </c>
      <c r="E279" s="376" t="s">
        <v>26</v>
      </c>
      <c r="F279" s="759" t="s">
        <v>236</v>
      </c>
      <c r="G279" s="609"/>
      <c r="H279" s="692"/>
      <c r="I279" s="626"/>
      <c r="J279" s="751"/>
      <c r="L279" s="608" t="s">
        <v>26</v>
      </c>
      <c r="M279" s="608" t="s">
        <v>1246</v>
      </c>
      <c r="N279" s="608" t="s">
        <v>1423</v>
      </c>
      <c r="O279" s="608" t="s">
        <v>1250</v>
      </c>
      <c r="P279" s="608" t="s">
        <v>1424</v>
      </c>
      <c r="Q279" s="608"/>
      <c r="R279" s="608">
        <v>0</v>
      </c>
      <c r="T279" s="751"/>
      <c r="V279" s="609">
        <f t="shared" ref="V279" si="40">IF(W279=1,G279,0)</f>
        <v>0</v>
      </c>
      <c r="W279" s="692"/>
    </row>
    <row r="280" spans="1:23" outlineLevel="2">
      <c r="A280" s="376"/>
      <c r="B280" s="684" t="s">
        <v>233</v>
      </c>
      <c r="C280" s="684" t="s">
        <v>233</v>
      </c>
      <c r="D280" s="684" t="s">
        <v>27</v>
      </c>
      <c r="E280" s="684"/>
      <c r="F280" s="685" t="s">
        <v>1421</v>
      </c>
      <c r="G280" s="686">
        <f>SUBTOTAL(9,G281)</f>
        <v>0</v>
      </c>
      <c r="H280" s="691">
        <f>SUBTOTAL(9,H281)</f>
        <v>0</v>
      </c>
      <c r="I280" s="626"/>
      <c r="J280" s="751"/>
      <c r="L280" s="685"/>
      <c r="M280" s="685"/>
      <c r="N280" s="685"/>
      <c r="O280" s="685"/>
      <c r="P280" s="685"/>
      <c r="Q280" s="685"/>
      <c r="R280" s="685"/>
      <c r="T280" s="751"/>
      <c r="V280" s="686">
        <f>SUBTOTAL(9,V281)</f>
        <v>0</v>
      </c>
      <c r="W280" s="691">
        <f>SUBTOTAL(9,W281)</f>
        <v>0</v>
      </c>
    </row>
    <row r="281" spans="1:23" ht="92.4" outlineLevel="3">
      <c r="A281" s="376"/>
      <c r="B281" s="376" t="s">
        <v>233</v>
      </c>
      <c r="C281" s="376" t="s">
        <v>233</v>
      </c>
      <c r="D281" s="376" t="s">
        <v>27</v>
      </c>
      <c r="E281" s="376" t="s">
        <v>28</v>
      </c>
      <c r="F281" s="759" t="s">
        <v>236</v>
      </c>
      <c r="G281" s="609"/>
      <c r="H281" s="692"/>
      <c r="I281" s="626"/>
      <c r="J281" s="751"/>
      <c r="L281" s="608" t="s">
        <v>28</v>
      </c>
      <c r="M281" s="608" t="s">
        <v>1425</v>
      </c>
      <c r="N281" s="608"/>
      <c r="O281" s="608"/>
      <c r="P281" s="608"/>
      <c r="Q281" s="608"/>
      <c r="R281" s="608"/>
      <c r="T281" s="751"/>
      <c r="V281" s="609">
        <f t="shared" ref="V281" si="41">IF(W281=1,G281,0)</f>
        <v>0</v>
      </c>
      <c r="W281" s="692"/>
    </row>
    <row r="282" spans="1:23" outlineLevel="2">
      <c r="A282" s="376"/>
      <c r="B282" s="684" t="s">
        <v>233</v>
      </c>
      <c r="C282" s="684" t="s">
        <v>233</v>
      </c>
      <c r="D282" s="684" t="s">
        <v>58</v>
      </c>
      <c r="E282" s="684"/>
      <c r="F282" s="685" t="s">
        <v>1421</v>
      </c>
      <c r="G282" s="686">
        <f>SUBTOTAL(9,G283)</f>
        <v>0</v>
      </c>
      <c r="H282" s="691">
        <f>SUBTOTAL(9,H283)</f>
        <v>0</v>
      </c>
      <c r="I282" s="626"/>
      <c r="J282" s="751"/>
      <c r="L282" s="685"/>
      <c r="M282" s="685"/>
      <c r="N282" s="685"/>
      <c r="O282" s="685"/>
      <c r="P282" s="685"/>
      <c r="Q282" s="685"/>
      <c r="R282" s="685"/>
      <c r="T282" s="751"/>
      <c r="V282" s="686">
        <f>SUBTOTAL(9,V283)</f>
        <v>0</v>
      </c>
      <c r="W282" s="691">
        <f>SUBTOTAL(9,W283)</f>
        <v>0</v>
      </c>
    </row>
    <row r="283" spans="1:23" ht="92.4" outlineLevel="3">
      <c r="A283" s="376"/>
      <c r="B283" s="376" t="s">
        <v>233</v>
      </c>
      <c r="C283" s="376" t="s">
        <v>233</v>
      </c>
      <c r="D283" s="376" t="s">
        <v>58</v>
      </c>
      <c r="E283" s="376" t="s">
        <v>28</v>
      </c>
      <c r="F283" s="759" t="s">
        <v>236</v>
      </c>
      <c r="G283" s="609"/>
      <c r="H283" s="692"/>
      <c r="I283" s="626"/>
      <c r="J283" s="751"/>
      <c r="L283" s="608" t="s">
        <v>28</v>
      </c>
      <c r="M283" s="608" t="s">
        <v>1425</v>
      </c>
      <c r="N283" s="608"/>
      <c r="O283" s="608"/>
      <c r="P283" s="608"/>
      <c r="Q283" s="608"/>
      <c r="R283" s="608"/>
      <c r="T283" s="751"/>
      <c r="V283" s="609">
        <f t="shared" ref="V283" si="42">IF(W283=1,G283,0)</f>
        <v>0</v>
      </c>
      <c r="W283" s="692"/>
    </row>
    <row r="284" spans="1:23" outlineLevel="1">
      <c r="A284" s="376"/>
      <c r="B284" s="665" t="s">
        <v>243</v>
      </c>
      <c r="C284" s="665" t="s">
        <v>243</v>
      </c>
      <c r="D284" s="665"/>
      <c r="E284" s="665"/>
      <c r="F284" s="681" t="s">
        <v>262</v>
      </c>
      <c r="G284" s="701">
        <f>SUBTOTAL(9,G285:G301)</f>
        <v>0.54690124999999989</v>
      </c>
      <c r="H284" s="702">
        <f>SUBTOTAL(9,H285:H301)</f>
        <v>3</v>
      </c>
      <c r="I284" s="626"/>
      <c r="J284" s="751"/>
      <c r="L284" s="681"/>
      <c r="M284" s="681"/>
      <c r="N284" s="681"/>
      <c r="O284" s="681"/>
      <c r="P284" s="681"/>
      <c r="Q284" s="681"/>
      <c r="R284" s="681"/>
      <c r="T284" s="751"/>
      <c r="V284" s="701">
        <f>SUBTOTAL(9,V285:V301)</f>
        <v>0</v>
      </c>
      <c r="W284" s="702">
        <f>SUBTOTAL(9,W285:W301)</f>
        <v>0</v>
      </c>
    </row>
    <row r="285" spans="1:23" outlineLevel="2">
      <c r="A285" s="376"/>
      <c r="B285" s="684" t="s">
        <v>243</v>
      </c>
      <c r="C285" s="684" t="s">
        <v>243</v>
      </c>
      <c r="D285" s="684" t="s">
        <v>17</v>
      </c>
      <c r="E285" s="684"/>
      <c r="F285" s="685" t="s">
        <v>1426</v>
      </c>
      <c r="G285" s="686">
        <f>SUBTOTAL(9,G286:G290)</f>
        <v>0.54690124999999989</v>
      </c>
      <c r="H285" s="691">
        <f>SUBTOTAL(9,H286:H290)</f>
        <v>3</v>
      </c>
      <c r="I285" s="626"/>
      <c r="J285" s="751"/>
      <c r="L285" s="685"/>
      <c r="M285" s="685"/>
      <c r="N285" s="685"/>
      <c r="O285" s="685"/>
      <c r="P285" s="685"/>
      <c r="Q285" s="685"/>
      <c r="R285" s="685"/>
      <c r="T285" s="751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243</v>
      </c>
      <c r="C286" s="376" t="s">
        <v>243</v>
      </c>
      <c r="D286" s="376" t="s">
        <v>17</v>
      </c>
      <c r="E286" s="376" t="s">
        <v>241</v>
      </c>
      <c r="F286" s="608" t="s">
        <v>1422</v>
      </c>
      <c r="G286" s="609">
        <v>0.15625749999999999</v>
      </c>
      <c r="H286" s="692">
        <v>1</v>
      </c>
      <c r="I286" s="626"/>
      <c r="J286" s="751"/>
      <c r="L286" s="608" t="s">
        <v>241</v>
      </c>
      <c r="M286" s="608"/>
      <c r="N286" s="608"/>
      <c r="O286" s="608"/>
      <c r="P286" s="608"/>
      <c r="Q286" s="608"/>
      <c r="R286" s="608"/>
      <c r="T286" s="751"/>
      <c r="V286" s="609">
        <f t="shared" ref="V286:V290" si="43">IF(W286=1,G286,0)</f>
        <v>0</v>
      </c>
      <c r="W286" s="692"/>
    </row>
    <row r="287" spans="1:23" outlineLevel="3">
      <c r="A287" s="376"/>
      <c r="B287" s="376" t="s">
        <v>243</v>
      </c>
      <c r="C287" s="376" t="s">
        <v>243</v>
      </c>
      <c r="D287" s="376" t="s">
        <v>17</v>
      </c>
      <c r="E287" s="376" t="s">
        <v>241</v>
      </c>
      <c r="F287" s="608" t="s">
        <v>236</v>
      </c>
      <c r="G287" s="609">
        <v>0.23438624999999996</v>
      </c>
      <c r="H287" s="692">
        <v>1</v>
      </c>
      <c r="I287" s="626"/>
      <c r="J287" s="751"/>
      <c r="L287" s="608" t="s">
        <v>241</v>
      </c>
      <c r="M287" s="608"/>
      <c r="N287" s="608"/>
      <c r="O287" s="608"/>
      <c r="P287" s="608"/>
      <c r="Q287" s="608"/>
      <c r="R287" s="608"/>
      <c r="T287" s="751"/>
      <c r="V287" s="609">
        <f t="shared" si="43"/>
        <v>0</v>
      </c>
      <c r="W287" s="692"/>
    </row>
    <row r="288" spans="1:23" outlineLevel="3">
      <c r="A288" s="376"/>
      <c r="B288" s="376" t="s">
        <v>243</v>
      </c>
      <c r="C288" s="376" t="s">
        <v>243</v>
      </c>
      <c r="D288" s="376" t="s">
        <v>17</v>
      </c>
      <c r="E288" s="376" t="s">
        <v>241</v>
      </c>
      <c r="F288" s="608" t="s">
        <v>1427</v>
      </c>
      <c r="G288" s="609">
        <v>0.15625749999999999</v>
      </c>
      <c r="H288" s="692">
        <v>1</v>
      </c>
      <c r="I288" s="626"/>
      <c r="J288" s="751"/>
      <c r="L288" s="608" t="s">
        <v>241</v>
      </c>
      <c r="M288" s="608"/>
      <c r="N288" s="608"/>
      <c r="O288" s="608"/>
      <c r="P288" s="608"/>
      <c r="Q288" s="608"/>
      <c r="R288" s="608"/>
      <c r="T288" s="751"/>
      <c r="V288" s="609">
        <f t="shared" si="43"/>
        <v>0</v>
      </c>
      <c r="W288" s="692"/>
    </row>
    <row r="289" spans="1:23" outlineLevel="3">
      <c r="A289" s="376"/>
      <c r="B289" s="376" t="s">
        <v>243</v>
      </c>
      <c r="C289" s="376" t="s">
        <v>243</v>
      </c>
      <c r="D289" s="376" t="s">
        <v>17</v>
      </c>
      <c r="E289" s="376" t="s">
        <v>241</v>
      </c>
      <c r="F289" s="759" t="s">
        <v>237</v>
      </c>
      <c r="G289" s="609"/>
      <c r="H289" s="692"/>
      <c r="I289" s="626"/>
      <c r="J289" s="751"/>
      <c r="L289" s="608" t="s">
        <v>241</v>
      </c>
      <c r="M289" s="608"/>
      <c r="N289" s="608"/>
      <c r="O289" s="608"/>
      <c r="P289" s="608"/>
      <c r="Q289" s="608"/>
      <c r="R289" s="608"/>
      <c r="T289" s="751"/>
      <c r="V289" s="609">
        <f t="shared" si="43"/>
        <v>0</v>
      </c>
      <c r="W289" s="692"/>
    </row>
    <row r="290" spans="1:23" outlineLevel="3">
      <c r="A290" s="376"/>
      <c r="B290" s="376" t="s">
        <v>243</v>
      </c>
      <c r="C290" s="376" t="s">
        <v>243</v>
      </c>
      <c r="D290" s="376" t="s">
        <v>17</v>
      </c>
      <c r="E290" s="376" t="s">
        <v>241</v>
      </c>
      <c r="F290" s="759" t="s">
        <v>238</v>
      </c>
      <c r="G290" s="609"/>
      <c r="H290" s="692"/>
      <c r="I290" s="626"/>
      <c r="J290" s="751"/>
      <c r="L290" s="608" t="s">
        <v>241</v>
      </c>
      <c r="M290" s="608"/>
      <c r="N290" s="608"/>
      <c r="O290" s="608"/>
      <c r="P290" s="608"/>
      <c r="Q290" s="608"/>
      <c r="R290" s="608"/>
      <c r="T290" s="751"/>
      <c r="V290" s="609">
        <f t="shared" si="43"/>
        <v>0</v>
      </c>
      <c r="W290" s="692"/>
    </row>
    <row r="291" spans="1:23" outlineLevel="2">
      <c r="A291" s="376"/>
      <c r="B291" s="684" t="s">
        <v>243</v>
      </c>
      <c r="C291" s="684" t="s">
        <v>243</v>
      </c>
      <c r="D291" s="684" t="s">
        <v>25</v>
      </c>
      <c r="E291" s="684"/>
      <c r="F291" s="685" t="s">
        <v>1428</v>
      </c>
      <c r="G291" s="686">
        <f>SUBTOTAL(9,G292:G293)</f>
        <v>0</v>
      </c>
      <c r="H291" s="691">
        <f>SUBTOTAL(9,H292:H293)</f>
        <v>0</v>
      </c>
      <c r="I291" s="626"/>
      <c r="J291" s="751"/>
      <c r="L291" s="685"/>
      <c r="M291" s="685"/>
      <c r="N291" s="685"/>
      <c r="O291" s="685"/>
      <c r="P291" s="685"/>
      <c r="Q291" s="685"/>
      <c r="R291" s="685"/>
      <c r="T291" s="751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243</v>
      </c>
      <c r="C292" s="376" t="s">
        <v>243</v>
      </c>
      <c r="D292" s="376" t="s">
        <v>25</v>
      </c>
      <c r="E292" s="376" t="s">
        <v>241</v>
      </c>
      <c r="F292" s="759" t="s">
        <v>236</v>
      </c>
      <c r="G292" s="609"/>
      <c r="H292" s="692"/>
      <c r="I292" s="626"/>
      <c r="J292" s="751"/>
      <c r="L292" s="608" t="s">
        <v>241</v>
      </c>
      <c r="M292" s="608"/>
      <c r="N292" s="608"/>
      <c r="O292" s="608"/>
      <c r="P292" s="608"/>
      <c r="Q292" s="608"/>
      <c r="R292" s="608"/>
      <c r="T292" s="751"/>
      <c r="V292" s="609">
        <f t="shared" ref="V292:V293" si="44">IF(W292=1,G292,0)</f>
        <v>0</v>
      </c>
      <c r="W292" s="692"/>
    </row>
    <row r="293" spans="1:23" outlineLevel="3">
      <c r="A293" s="376"/>
      <c r="B293" s="376" t="s">
        <v>243</v>
      </c>
      <c r="C293" s="376" t="s">
        <v>243</v>
      </c>
      <c r="D293" s="376" t="s">
        <v>25</v>
      </c>
      <c r="E293" s="376" t="s">
        <v>241</v>
      </c>
      <c r="F293" s="759" t="s">
        <v>237</v>
      </c>
      <c r="G293" s="609"/>
      <c r="H293" s="692"/>
      <c r="I293" s="626"/>
      <c r="J293" s="751"/>
      <c r="L293" s="608" t="s">
        <v>241</v>
      </c>
      <c r="M293" s="608"/>
      <c r="N293" s="608"/>
      <c r="O293" s="608"/>
      <c r="P293" s="608"/>
      <c r="Q293" s="608"/>
      <c r="R293" s="608"/>
      <c r="T293" s="751"/>
      <c r="V293" s="609">
        <f t="shared" si="44"/>
        <v>0</v>
      </c>
      <c r="W293" s="692"/>
    </row>
    <row r="294" spans="1:23" outlineLevel="2">
      <c r="A294" s="376"/>
      <c r="B294" s="684" t="s">
        <v>243</v>
      </c>
      <c r="C294" s="684" t="s">
        <v>243</v>
      </c>
      <c r="D294" s="684" t="s">
        <v>27</v>
      </c>
      <c r="E294" s="684"/>
      <c r="F294" s="685" t="s">
        <v>1428</v>
      </c>
      <c r="G294" s="686">
        <f>SUBTOTAL(9,G295:G297)</f>
        <v>0</v>
      </c>
      <c r="H294" s="691">
        <f>SUBTOTAL(9,H295:H297)</f>
        <v>0</v>
      </c>
      <c r="I294" s="626"/>
      <c r="J294" s="751"/>
      <c r="L294" s="685"/>
      <c r="M294" s="685"/>
      <c r="N294" s="685"/>
      <c r="O294" s="685"/>
      <c r="P294" s="685"/>
      <c r="Q294" s="685"/>
      <c r="R294" s="685"/>
      <c r="T294" s="751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243</v>
      </c>
      <c r="C295" s="376" t="s">
        <v>243</v>
      </c>
      <c r="D295" s="376" t="s">
        <v>27</v>
      </c>
      <c r="E295" s="376" t="s">
        <v>241</v>
      </c>
      <c r="F295" s="759" t="s">
        <v>236</v>
      </c>
      <c r="G295" s="609"/>
      <c r="H295" s="692"/>
      <c r="I295" s="626"/>
      <c r="J295" s="751"/>
      <c r="L295" s="608" t="s">
        <v>241</v>
      </c>
      <c r="M295" s="608"/>
      <c r="N295" s="608"/>
      <c r="O295" s="608"/>
      <c r="P295" s="608"/>
      <c r="Q295" s="608"/>
      <c r="R295" s="608"/>
      <c r="T295" s="751"/>
      <c r="V295" s="609">
        <f t="shared" ref="V295:V297" si="45">IF(W295=1,G295,0)</f>
        <v>0</v>
      </c>
      <c r="W295" s="692"/>
    </row>
    <row r="296" spans="1:23" outlineLevel="3">
      <c r="A296" s="376"/>
      <c r="B296" s="376" t="s">
        <v>243</v>
      </c>
      <c r="C296" s="376" t="s">
        <v>243</v>
      </c>
      <c r="D296" s="376" t="s">
        <v>27</v>
      </c>
      <c r="E296" s="376" t="s">
        <v>241</v>
      </c>
      <c r="F296" s="759" t="s">
        <v>1427</v>
      </c>
      <c r="G296" s="609"/>
      <c r="H296" s="692"/>
      <c r="I296" s="626"/>
      <c r="J296" s="751"/>
      <c r="L296" s="608" t="s">
        <v>241</v>
      </c>
      <c r="M296" s="608"/>
      <c r="N296" s="608"/>
      <c r="O296" s="608"/>
      <c r="P296" s="608"/>
      <c r="Q296" s="608"/>
      <c r="R296" s="608"/>
      <c r="T296" s="751"/>
      <c r="V296" s="609">
        <f t="shared" si="45"/>
        <v>0</v>
      </c>
      <c r="W296" s="692"/>
    </row>
    <row r="297" spans="1:23" outlineLevel="3">
      <c r="A297" s="376"/>
      <c r="B297" s="376" t="s">
        <v>243</v>
      </c>
      <c r="C297" s="376" t="s">
        <v>243</v>
      </c>
      <c r="D297" s="376" t="s">
        <v>27</v>
      </c>
      <c r="E297" s="376" t="s">
        <v>241</v>
      </c>
      <c r="F297" s="759" t="s">
        <v>237</v>
      </c>
      <c r="G297" s="609"/>
      <c r="H297" s="692"/>
      <c r="I297" s="626"/>
      <c r="J297" s="751"/>
      <c r="L297" s="608" t="s">
        <v>241</v>
      </c>
      <c r="M297" s="608"/>
      <c r="N297" s="608"/>
      <c r="O297" s="608"/>
      <c r="P297" s="608"/>
      <c r="Q297" s="608"/>
      <c r="R297" s="608"/>
      <c r="T297" s="751"/>
      <c r="V297" s="609">
        <f t="shared" si="45"/>
        <v>0</v>
      </c>
      <c r="W297" s="692"/>
    </row>
    <row r="298" spans="1:23" outlineLevel="2">
      <c r="A298" s="376"/>
      <c r="B298" s="684" t="s">
        <v>243</v>
      </c>
      <c r="C298" s="684" t="s">
        <v>243</v>
      </c>
      <c r="D298" s="684" t="s">
        <v>58</v>
      </c>
      <c r="E298" s="684"/>
      <c r="F298" s="685" t="s">
        <v>1428</v>
      </c>
      <c r="G298" s="686">
        <f>SUBTOTAL(9,G299:G301)</f>
        <v>0</v>
      </c>
      <c r="H298" s="691">
        <f>SUBTOTAL(9,H299:H301)</f>
        <v>0</v>
      </c>
      <c r="I298" s="626"/>
      <c r="J298" s="751"/>
      <c r="L298" s="685"/>
      <c r="M298" s="685"/>
      <c r="N298" s="685"/>
      <c r="O298" s="685"/>
      <c r="P298" s="685"/>
      <c r="Q298" s="685"/>
      <c r="R298" s="685"/>
      <c r="T298" s="751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243</v>
      </c>
      <c r="C299" s="376" t="s">
        <v>243</v>
      </c>
      <c r="D299" s="376" t="s">
        <v>58</v>
      </c>
      <c r="E299" s="376" t="s">
        <v>241</v>
      </c>
      <c r="F299" s="759" t="s">
        <v>236</v>
      </c>
      <c r="G299" s="609"/>
      <c r="H299" s="692"/>
      <c r="I299" s="626"/>
      <c r="J299" s="751"/>
      <c r="L299" s="608" t="s">
        <v>241</v>
      </c>
      <c r="M299" s="608"/>
      <c r="N299" s="608"/>
      <c r="O299" s="608"/>
      <c r="P299" s="608"/>
      <c r="Q299" s="608"/>
      <c r="R299" s="608"/>
      <c r="T299" s="751"/>
      <c r="V299" s="609">
        <f t="shared" ref="V299:V301" si="46">IF(W299=1,G299,0)</f>
        <v>0</v>
      </c>
      <c r="W299" s="692"/>
    </row>
    <row r="300" spans="1:23" outlineLevel="3">
      <c r="A300" s="376"/>
      <c r="B300" s="376" t="s">
        <v>243</v>
      </c>
      <c r="C300" s="376" t="s">
        <v>243</v>
      </c>
      <c r="D300" s="376" t="s">
        <v>58</v>
      </c>
      <c r="E300" s="376" t="s">
        <v>241</v>
      </c>
      <c r="F300" s="759" t="s">
        <v>1427</v>
      </c>
      <c r="G300" s="609"/>
      <c r="H300" s="692"/>
      <c r="I300" s="626"/>
      <c r="J300" s="751"/>
      <c r="L300" s="608" t="s">
        <v>241</v>
      </c>
      <c r="M300" s="608"/>
      <c r="N300" s="608"/>
      <c r="O300" s="608"/>
      <c r="P300" s="608"/>
      <c r="Q300" s="608"/>
      <c r="R300" s="608"/>
      <c r="T300" s="751"/>
      <c r="V300" s="609">
        <f t="shared" si="46"/>
        <v>0</v>
      </c>
      <c r="W300" s="692"/>
    </row>
    <row r="301" spans="1:23" outlineLevel="3">
      <c r="A301" s="376"/>
      <c r="B301" s="376" t="s">
        <v>243</v>
      </c>
      <c r="C301" s="376" t="s">
        <v>243</v>
      </c>
      <c r="D301" s="376" t="s">
        <v>58</v>
      </c>
      <c r="E301" s="376" t="s">
        <v>241</v>
      </c>
      <c r="F301" s="759" t="s">
        <v>237</v>
      </c>
      <c r="G301" s="609"/>
      <c r="H301" s="692"/>
      <c r="I301" s="626"/>
      <c r="J301" s="751"/>
      <c r="L301" s="608" t="s">
        <v>241</v>
      </c>
      <c r="M301" s="608"/>
      <c r="N301" s="608"/>
      <c r="O301" s="608"/>
      <c r="P301" s="608"/>
      <c r="Q301" s="608"/>
      <c r="R301" s="608"/>
      <c r="T301" s="751"/>
      <c r="V301" s="609">
        <f t="shared" si="46"/>
        <v>0</v>
      </c>
      <c r="W301" s="692"/>
    </row>
    <row r="302" spans="1:23" outlineLevel="1">
      <c r="A302" s="376"/>
      <c r="B302" s="665" t="s">
        <v>245</v>
      </c>
      <c r="C302" s="665" t="s">
        <v>246</v>
      </c>
      <c r="D302" s="665"/>
      <c r="E302" s="665"/>
      <c r="F302" s="681" t="s">
        <v>262</v>
      </c>
      <c r="G302" s="701">
        <f>SUBTOTAL(9,G303:G314)</f>
        <v>9.3600000000000003E-2</v>
      </c>
      <c r="H302" s="702">
        <f>SUBTOTAL(9,H303:H314)</f>
        <v>4</v>
      </c>
      <c r="I302" s="626"/>
      <c r="J302" s="751"/>
      <c r="L302" s="681"/>
      <c r="M302" s="681"/>
      <c r="N302" s="681"/>
      <c r="O302" s="681"/>
      <c r="P302" s="681"/>
      <c r="Q302" s="681"/>
      <c r="R302" s="681"/>
      <c r="T302" s="751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245</v>
      </c>
      <c r="C303" s="684" t="s">
        <v>246</v>
      </c>
      <c r="D303" s="684" t="s">
        <v>17</v>
      </c>
      <c r="E303" s="684"/>
      <c r="F303" s="685" t="s">
        <v>1429</v>
      </c>
      <c r="G303" s="713">
        <f>SUBTOTAL(9,G304:G305)</f>
        <v>6.3E-2</v>
      </c>
      <c r="H303" s="714">
        <f>SUBTOTAL(9,H304:H305)</f>
        <v>1</v>
      </c>
      <c r="I303" s="626"/>
      <c r="J303" s="751"/>
      <c r="L303" s="685"/>
      <c r="M303" s="685"/>
      <c r="N303" s="685"/>
      <c r="O303" s="685"/>
      <c r="P303" s="685"/>
      <c r="Q303" s="685"/>
      <c r="R303" s="685"/>
      <c r="T303" s="751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245</v>
      </c>
      <c r="C304" s="376" t="s">
        <v>246</v>
      </c>
      <c r="D304" s="376" t="s">
        <v>17</v>
      </c>
      <c r="E304" s="376" t="s">
        <v>127</v>
      </c>
      <c r="F304" s="608" t="s">
        <v>236</v>
      </c>
      <c r="G304" s="695">
        <v>6.3E-2</v>
      </c>
      <c r="H304" s="700">
        <v>1</v>
      </c>
      <c r="I304" s="626"/>
      <c r="J304" s="751"/>
      <c r="L304" s="608" t="s">
        <v>127</v>
      </c>
      <c r="M304" s="608" t="s">
        <v>1376</v>
      </c>
      <c r="N304" s="608" t="s">
        <v>1329</v>
      </c>
      <c r="O304" s="608"/>
      <c r="P304" s="608"/>
      <c r="Q304" s="608"/>
      <c r="R304" s="608"/>
      <c r="T304" s="751"/>
      <c r="V304" s="609">
        <f t="shared" ref="V304:V305" si="47">IF(W304=1,G304,0)</f>
        <v>0</v>
      </c>
      <c r="W304" s="700"/>
    </row>
    <row r="305" spans="1:23" outlineLevel="3">
      <c r="A305" s="376"/>
      <c r="B305" s="376" t="s">
        <v>245</v>
      </c>
      <c r="C305" s="376" t="s">
        <v>246</v>
      </c>
      <c r="D305" s="376" t="s">
        <v>17</v>
      </c>
      <c r="E305" s="376" t="s">
        <v>127</v>
      </c>
      <c r="F305" s="759" t="s">
        <v>237</v>
      </c>
      <c r="G305" s="695"/>
      <c r="H305" s="700"/>
      <c r="I305" s="626"/>
      <c r="J305" s="751"/>
      <c r="L305" s="608" t="s">
        <v>127</v>
      </c>
      <c r="M305" s="608" t="s">
        <v>1376</v>
      </c>
      <c r="N305" s="608" t="s">
        <v>1329</v>
      </c>
      <c r="O305" s="608"/>
      <c r="P305" s="608"/>
      <c r="Q305" s="608"/>
      <c r="R305" s="608"/>
      <c r="T305" s="751"/>
      <c r="V305" s="609">
        <f t="shared" si="47"/>
        <v>0</v>
      </c>
      <c r="W305" s="700"/>
    </row>
    <row r="306" spans="1:23" outlineLevel="2">
      <c r="A306" s="376"/>
      <c r="B306" s="684" t="s">
        <v>245</v>
      </c>
      <c r="C306" s="684" t="s">
        <v>246</v>
      </c>
      <c r="D306" s="684" t="s">
        <v>25</v>
      </c>
      <c r="E306" s="684"/>
      <c r="F306" s="685" t="s">
        <v>1421</v>
      </c>
      <c r="G306" s="713">
        <f>SUBTOTAL(9,G307:G308)</f>
        <v>1.9200000000000002E-2</v>
      </c>
      <c r="H306" s="714">
        <f>SUBTOTAL(9,H307:H308)</f>
        <v>1</v>
      </c>
      <c r="I306" s="626"/>
      <c r="J306" s="751"/>
      <c r="L306" s="685"/>
      <c r="M306" s="685"/>
      <c r="N306" s="685"/>
      <c r="O306" s="685"/>
      <c r="P306" s="685"/>
      <c r="Q306" s="685"/>
      <c r="R306" s="685"/>
      <c r="T306" s="751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245</v>
      </c>
      <c r="C307" s="376" t="s">
        <v>246</v>
      </c>
      <c r="D307" s="376" t="s">
        <v>25</v>
      </c>
      <c r="E307" s="376" t="s">
        <v>26</v>
      </c>
      <c r="F307" s="608" t="s">
        <v>236</v>
      </c>
      <c r="G307" s="609">
        <v>1.9200000000000002E-2</v>
      </c>
      <c r="H307" s="692">
        <v>1</v>
      </c>
      <c r="I307" s="626"/>
      <c r="J307" s="751"/>
      <c r="L307" s="608" t="s">
        <v>26</v>
      </c>
      <c r="M307" s="608" t="s">
        <v>1272</v>
      </c>
      <c r="N307" s="608" t="s">
        <v>1273</v>
      </c>
      <c r="O307" s="608" t="s">
        <v>1277</v>
      </c>
      <c r="P307" s="608" t="s">
        <v>1274</v>
      </c>
      <c r="Q307" s="608"/>
      <c r="R307" s="608">
        <v>0</v>
      </c>
      <c r="T307" s="751"/>
      <c r="V307" s="609">
        <f t="shared" ref="V307:V308" si="48">IF(W307=1,G307,0)</f>
        <v>0</v>
      </c>
      <c r="W307" s="692"/>
    </row>
    <row r="308" spans="1:23" outlineLevel="3">
      <c r="A308" s="376"/>
      <c r="B308" s="376" t="s">
        <v>245</v>
      </c>
      <c r="C308" s="376" t="s">
        <v>246</v>
      </c>
      <c r="D308" s="376" t="s">
        <v>25</v>
      </c>
      <c r="E308" s="376" t="s">
        <v>26</v>
      </c>
      <c r="F308" s="759" t="s">
        <v>237</v>
      </c>
      <c r="G308" s="609"/>
      <c r="H308" s="692"/>
      <c r="I308" s="626"/>
      <c r="J308" s="751"/>
      <c r="L308" s="608" t="s">
        <v>26</v>
      </c>
      <c r="M308" s="608" t="s">
        <v>1272</v>
      </c>
      <c r="N308" s="608" t="s">
        <v>1273</v>
      </c>
      <c r="O308" s="608" t="s">
        <v>1277</v>
      </c>
      <c r="P308" s="608" t="s">
        <v>1274</v>
      </c>
      <c r="Q308" s="608"/>
      <c r="R308" s="608">
        <v>0</v>
      </c>
      <c r="T308" s="751"/>
      <c r="V308" s="609">
        <f t="shared" si="48"/>
        <v>0</v>
      </c>
      <c r="W308" s="692"/>
    </row>
    <row r="309" spans="1:23" outlineLevel="2">
      <c r="A309" s="376"/>
      <c r="B309" s="684" t="s">
        <v>245</v>
      </c>
      <c r="C309" s="684" t="s">
        <v>246</v>
      </c>
      <c r="D309" s="684" t="s">
        <v>27</v>
      </c>
      <c r="E309" s="684"/>
      <c r="F309" s="685" t="s">
        <v>1429</v>
      </c>
      <c r="G309" s="713">
        <f>SUBTOTAL(9,G310:G311)</f>
        <v>5.4000000000000003E-3</v>
      </c>
      <c r="H309" s="714">
        <f>SUBTOTAL(9,H310:H311)</f>
        <v>1</v>
      </c>
      <c r="I309" s="626"/>
      <c r="J309" s="751"/>
      <c r="L309" s="685"/>
      <c r="M309" s="685"/>
      <c r="N309" s="685"/>
      <c r="O309" s="685"/>
      <c r="P309" s="685"/>
      <c r="Q309" s="685"/>
      <c r="R309" s="685"/>
      <c r="T309" s="751"/>
      <c r="V309" s="713">
        <f>SUBTOTAL(9,V310:V311)</f>
        <v>0</v>
      </c>
      <c r="W309" s="714">
        <f>SUBTOTAL(9,W310:W311)</f>
        <v>0</v>
      </c>
    </row>
    <row r="310" spans="1:23" ht="39.6" outlineLevel="3">
      <c r="A310" s="376"/>
      <c r="B310" s="376" t="s">
        <v>245</v>
      </c>
      <c r="C310" s="376" t="s">
        <v>246</v>
      </c>
      <c r="D310" s="376" t="s">
        <v>27</v>
      </c>
      <c r="E310" s="376" t="s">
        <v>28</v>
      </c>
      <c r="F310" s="608" t="s">
        <v>236</v>
      </c>
      <c r="G310" s="609">
        <v>5.4000000000000003E-3</v>
      </c>
      <c r="H310" s="692">
        <v>1</v>
      </c>
      <c r="I310" s="626"/>
      <c r="J310" s="751"/>
      <c r="L310" s="608" t="s">
        <v>28</v>
      </c>
      <c r="M310" s="608" t="s">
        <v>1208</v>
      </c>
      <c r="N310" s="608" t="s">
        <v>1209</v>
      </c>
      <c r="O310" s="608" t="s">
        <v>1430</v>
      </c>
      <c r="P310" s="608"/>
      <c r="Q310" s="608"/>
      <c r="R310" s="608"/>
      <c r="T310" s="751"/>
      <c r="V310" s="609">
        <f t="shared" ref="V310:V311" si="49">IF(W310=1,G310,0)</f>
        <v>0</v>
      </c>
      <c r="W310" s="692"/>
    </row>
    <row r="311" spans="1:23" ht="39.6" outlineLevel="3">
      <c r="A311" s="376"/>
      <c r="B311" s="376" t="s">
        <v>245</v>
      </c>
      <c r="C311" s="376" t="s">
        <v>246</v>
      </c>
      <c r="D311" s="376" t="s">
        <v>27</v>
      </c>
      <c r="E311" s="376" t="s">
        <v>28</v>
      </c>
      <c r="F311" s="759" t="s">
        <v>237</v>
      </c>
      <c r="G311" s="609"/>
      <c r="H311" s="692"/>
      <c r="I311" s="626"/>
      <c r="J311" s="751"/>
      <c r="L311" s="608" t="s">
        <v>28</v>
      </c>
      <c r="M311" s="608" t="s">
        <v>1208</v>
      </c>
      <c r="N311" s="608" t="s">
        <v>1209</v>
      </c>
      <c r="O311" s="608" t="s">
        <v>1430</v>
      </c>
      <c r="P311" s="608"/>
      <c r="Q311" s="608"/>
      <c r="R311" s="608"/>
      <c r="T311" s="751"/>
      <c r="V311" s="609">
        <f t="shared" si="49"/>
        <v>0</v>
      </c>
      <c r="W311" s="692"/>
    </row>
    <row r="312" spans="1:23" outlineLevel="2">
      <c r="A312" s="376"/>
      <c r="B312" s="684" t="s">
        <v>245</v>
      </c>
      <c r="C312" s="684" t="s">
        <v>246</v>
      </c>
      <c r="D312" s="684" t="s">
        <v>58</v>
      </c>
      <c r="E312" s="684"/>
      <c r="F312" s="685" t="s">
        <v>1421</v>
      </c>
      <c r="G312" s="713">
        <f>SUBTOTAL(9,G313:G314)</f>
        <v>6.0000000000000001E-3</v>
      </c>
      <c r="H312" s="714">
        <f>SUBTOTAL(9,H313:H314)</f>
        <v>1</v>
      </c>
      <c r="I312" s="626"/>
      <c r="J312" s="751"/>
      <c r="L312" s="685"/>
      <c r="M312" s="685"/>
      <c r="N312" s="685"/>
      <c r="O312" s="685"/>
      <c r="P312" s="685"/>
      <c r="Q312" s="685"/>
      <c r="R312" s="685"/>
      <c r="T312" s="751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245</v>
      </c>
      <c r="C313" s="376" t="s">
        <v>246</v>
      </c>
      <c r="D313" s="376" t="s">
        <v>58</v>
      </c>
      <c r="E313" s="376" t="s">
        <v>28</v>
      </c>
      <c r="F313" s="608" t="s">
        <v>236</v>
      </c>
      <c r="G313" s="609">
        <v>6.0000000000000001E-3</v>
      </c>
      <c r="H313" s="692">
        <v>1</v>
      </c>
      <c r="I313" s="626"/>
      <c r="J313" s="751"/>
      <c r="L313" s="608" t="s">
        <v>28</v>
      </c>
      <c r="M313" s="608" t="s">
        <v>1236</v>
      </c>
      <c r="N313" s="608" t="s">
        <v>1431</v>
      </c>
      <c r="O313" s="608"/>
      <c r="P313" s="608"/>
      <c r="Q313" s="608"/>
      <c r="R313" s="608"/>
      <c r="T313" s="751"/>
      <c r="V313" s="609">
        <f t="shared" ref="V313:V314" si="50">IF(W313=1,G313,0)</f>
        <v>0</v>
      </c>
      <c r="W313" s="692"/>
    </row>
    <row r="314" spans="1:23" outlineLevel="3">
      <c r="A314" s="376"/>
      <c r="B314" s="376" t="s">
        <v>245</v>
      </c>
      <c r="C314" s="376" t="s">
        <v>246</v>
      </c>
      <c r="D314" s="376" t="s">
        <v>58</v>
      </c>
      <c r="E314" s="376" t="s">
        <v>28</v>
      </c>
      <c r="F314" s="759" t="s">
        <v>237</v>
      </c>
      <c r="G314" s="609"/>
      <c r="H314" s="692"/>
      <c r="I314" s="626"/>
      <c r="J314" s="751"/>
      <c r="L314" s="608" t="s">
        <v>28</v>
      </c>
      <c r="M314" s="608" t="s">
        <v>1236</v>
      </c>
      <c r="N314" s="608" t="s">
        <v>1431</v>
      </c>
      <c r="O314" s="608"/>
      <c r="P314" s="608"/>
      <c r="Q314" s="608"/>
      <c r="R314" s="608"/>
      <c r="T314" s="751"/>
      <c r="V314" s="609">
        <f t="shared" si="50"/>
        <v>0</v>
      </c>
      <c r="W314" s="692"/>
    </row>
    <row r="315" spans="1:23" outlineLevel="1">
      <c r="A315" s="376"/>
      <c r="B315" s="665" t="s">
        <v>248</v>
      </c>
      <c r="C315" s="665" t="s">
        <v>249</v>
      </c>
      <c r="D315" s="665"/>
      <c r="E315" s="665"/>
      <c r="F315" s="681" t="s">
        <v>262</v>
      </c>
      <c r="G315" s="701">
        <f>SUBTOTAL(9,G316:G332)</f>
        <v>1.1977650000000002</v>
      </c>
      <c r="H315" s="702">
        <f>SUBTOTAL(9,H316:H332)</f>
        <v>13</v>
      </c>
      <c r="I315" s="626"/>
      <c r="J315" s="751"/>
      <c r="L315" s="681"/>
      <c r="M315" s="681"/>
      <c r="N315" s="681"/>
      <c r="O315" s="681"/>
      <c r="P315" s="681"/>
      <c r="Q315" s="681"/>
      <c r="R315" s="681"/>
      <c r="T315" s="751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248</v>
      </c>
      <c r="C316" s="684" t="s">
        <v>249</v>
      </c>
      <c r="D316" s="684" t="s">
        <v>17</v>
      </c>
      <c r="E316" s="684"/>
      <c r="F316" s="685" t="s">
        <v>77</v>
      </c>
      <c r="G316" s="713">
        <f>SUBTOTAL(9,G317:G320)</f>
        <v>0.77993999999999997</v>
      </c>
      <c r="H316" s="714">
        <f>SUBTOTAL(9,H317:H320)</f>
        <v>4</v>
      </c>
      <c r="I316" s="626"/>
      <c r="J316" s="751"/>
      <c r="L316" s="685"/>
      <c r="M316" s="685"/>
      <c r="N316" s="685"/>
      <c r="O316" s="685"/>
      <c r="P316" s="685"/>
      <c r="Q316" s="685"/>
      <c r="R316" s="685"/>
      <c r="T316" s="751"/>
      <c r="V316" s="713">
        <f>SUBTOTAL(9,V317:V320)</f>
        <v>0</v>
      </c>
      <c r="W316" s="714">
        <f>SUBTOTAL(9,W317:W320)</f>
        <v>0</v>
      </c>
    </row>
    <row r="317" spans="1:23" ht="26.4" outlineLevel="3">
      <c r="A317" s="376"/>
      <c r="B317" s="376" t="s">
        <v>248</v>
      </c>
      <c r="C317" s="376" t="s">
        <v>249</v>
      </c>
      <c r="D317" s="376" t="s">
        <v>17</v>
      </c>
      <c r="E317" s="376" t="s">
        <v>127</v>
      </c>
      <c r="F317" s="608" t="s">
        <v>237</v>
      </c>
      <c r="G317" s="609">
        <v>0.12999000000000002</v>
      </c>
      <c r="H317" s="700">
        <v>1</v>
      </c>
      <c r="I317" s="626"/>
      <c r="J317" s="751"/>
      <c r="L317" s="608" t="s">
        <v>127</v>
      </c>
      <c r="M317" s="608" t="s">
        <v>1331</v>
      </c>
      <c r="N317" s="608" t="s">
        <v>1321</v>
      </c>
      <c r="O317" s="608" t="s">
        <v>1332</v>
      </c>
      <c r="P317" s="608"/>
      <c r="Q317" s="608"/>
      <c r="R317" s="608"/>
      <c r="T317" s="751"/>
      <c r="V317" s="609">
        <f t="shared" ref="V317:V320" si="51">IF(W317=1,G317,0)</f>
        <v>0</v>
      </c>
      <c r="W317" s="700"/>
    </row>
    <row r="318" spans="1:23" ht="26.4" outlineLevel="3">
      <c r="A318" s="376"/>
      <c r="B318" s="376" t="s">
        <v>248</v>
      </c>
      <c r="C318" s="376" t="s">
        <v>249</v>
      </c>
      <c r="D318" s="376" t="s">
        <v>17</v>
      </c>
      <c r="E318" s="376" t="s">
        <v>127</v>
      </c>
      <c r="F318" s="608" t="s">
        <v>238</v>
      </c>
      <c r="G318" s="695">
        <v>0.25998000000000004</v>
      </c>
      <c r="H318" s="700">
        <v>1</v>
      </c>
      <c r="I318" s="626"/>
      <c r="J318" s="751"/>
      <c r="L318" s="608" t="s">
        <v>127</v>
      </c>
      <c r="M318" s="608" t="s">
        <v>1331</v>
      </c>
      <c r="N318" s="608" t="s">
        <v>1321</v>
      </c>
      <c r="O318" s="608" t="s">
        <v>1332</v>
      </c>
      <c r="P318" s="608"/>
      <c r="Q318" s="608"/>
      <c r="R318" s="608"/>
      <c r="T318" s="751"/>
      <c r="V318" s="609">
        <f t="shared" si="51"/>
        <v>0</v>
      </c>
      <c r="W318" s="700"/>
    </row>
    <row r="319" spans="1:23" ht="26.4" outlineLevel="3">
      <c r="A319" s="376"/>
      <c r="B319" s="376" t="s">
        <v>248</v>
      </c>
      <c r="C319" s="376" t="s">
        <v>249</v>
      </c>
      <c r="D319" s="376" t="s">
        <v>17</v>
      </c>
      <c r="E319" s="376" t="s">
        <v>127</v>
      </c>
      <c r="F319" s="608" t="s">
        <v>242</v>
      </c>
      <c r="G319" s="695">
        <v>0.19498499999999999</v>
      </c>
      <c r="H319" s="700">
        <v>1</v>
      </c>
      <c r="I319" s="626"/>
      <c r="J319" s="751"/>
      <c r="L319" s="608" t="s">
        <v>127</v>
      </c>
      <c r="M319" s="608" t="s">
        <v>1331</v>
      </c>
      <c r="N319" s="608" t="s">
        <v>1321</v>
      </c>
      <c r="O319" s="608" t="s">
        <v>1332</v>
      </c>
      <c r="P319" s="608"/>
      <c r="Q319" s="608"/>
      <c r="R319" s="608"/>
      <c r="T319" s="751"/>
      <c r="V319" s="609">
        <f t="shared" si="51"/>
        <v>0</v>
      </c>
      <c r="W319" s="700"/>
    </row>
    <row r="320" spans="1:23" ht="26.4" outlineLevel="3">
      <c r="A320" s="376"/>
      <c r="B320" s="376" t="s">
        <v>248</v>
      </c>
      <c r="C320" s="376" t="s">
        <v>249</v>
      </c>
      <c r="D320" s="376" t="s">
        <v>17</v>
      </c>
      <c r="E320" s="376" t="s">
        <v>127</v>
      </c>
      <c r="F320" s="608" t="s">
        <v>239</v>
      </c>
      <c r="G320" s="695">
        <v>0.19498499999999999</v>
      </c>
      <c r="H320" s="700">
        <v>1</v>
      </c>
      <c r="I320" s="626"/>
      <c r="J320" s="751"/>
      <c r="L320" s="608" t="s">
        <v>127</v>
      </c>
      <c r="M320" s="608" t="s">
        <v>1331</v>
      </c>
      <c r="N320" s="608" t="s">
        <v>1321</v>
      </c>
      <c r="O320" s="608" t="s">
        <v>1332</v>
      </c>
      <c r="P320" s="608"/>
      <c r="Q320" s="608"/>
      <c r="R320" s="608"/>
      <c r="T320" s="751"/>
      <c r="V320" s="609">
        <f t="shared" si="51"/>
        <v>0</v>
      </c>
      <c r="W320" s="700"/>
    </row>
    <row r="321" spans="1:23" outlineLevel="2">
      <c r="A321" s="376"/>
      <c r="B321" s="684" t="s">
        <v>248</v>
      </c>
      <c r="C321" s="684" t="s">
        <v>249</v>
      </c>
      <c r="D321" s="684" t="s">
        <v>25</v>
      </c>
      <c r="E321" s="684"/>
      <c r="F321" s="685" t="s">
        <v>77</v>
      </c>
      <c r="G321" s="713">
        <f>SUBTOTAL(9,G322:G324)</f>
        <v>0.22284000000000001</v>
      </c>
      <c r="H321" s="714">
        <f>SUBTOTAL(9,H322:H324)</f>
        <v>3</v>
      </c>
      <c r="I321" s="626"/>
      <c r="J321" s="751"/>
      <c r="L321" s="685"/>
      <c r="M321" s="685"/>
      <c r="N321" s="685"/>
      <c r="O321" s="685"/>
      <c r="P321" s="685"/>
      <c r="Q321" s="685"/>
      <c r="R321" s="685"/>
      <c r="T321" s="751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248</v>
      </c>
      <c r="C322" s="376" t="s">
        <v>249</v>
      </c>
      <c r="D322" s="376" t="s">
        <v>25</v>
      </c>
      <c r="E322" s="376" t="s">
        <v>26</v>
      </c>
      <c r="F322" s="608" t="s">
        <v>237</v>
      </c>
      <c r="G322" s="609">
        <v>5.9424000000000005E-2</v>
      </c>
      <c r="H322" s="692">
        <v>1</v>
      </c>
      <c r="I322" s="626"/>
      <c r="J322" s="751"/>
      <c r="L322" s="608" t="s">
        <v>26</v>
      </c>
      <c r="M322" s="608" t="s">
        <v>1272</v>
      </c>
      <c r="N322" s="608" t="s">
        <v>1277</v>
      </c>
      <c r="O322" s="608" t="s">
        <v>1273</v>
      </c>
      <c r="P322" s="608" t="s">
        <v>1274</v>
      </c>
      <c r="Q322" s="608"/>
      <c r="R322" s="608">
        <v>0</v>
      </c>
      <c r="T322" s="751"/>
      <c r="V322" s="609">
        <f t="shared" ref="V322:V324" si="52">IF(W322=1,G322,0)</f>
        <v>0</v>
      </c>
      <c r="W322" s="692"/>
    </row>
    <row r="323" spans="1:23" outlineLevel="3">
      <c r="A323" s="376"/>
      <c r="B323" s="376" t="s">
        <v>248</v>
      </c>
      <c r="C323" s="376" t="s">
        <v>249</v>
      </c>
      <c r="D323" s="376" t="s">
        <v>25</v>
      </c>
      <c r="E323" s="376" t="s">
        <v>26</v>
      </c>
      <c r="F323" s="608" t="s">
        <v>238</v>
      </c>
      <c r="G323" s="609">
        <v>0.14856</v>
      </c>
      <c r="H323" s="692">
        <v>1</v>
      </c>
      <c r="I323" s="626"/>
      <c r="J323" s="751"/>
      <c r="L323" s="608" t="s">
        <v>26</v>
      </c>
      <c r="M323" s="608" t="s">
        <v>1272</v>
      </c>
      <c r="N323" s="608" t="s">
        <v>1277</v>
      </c>
      <c r="O323" s="608" t="s">
        <v>1273</v>
      </c>
      <c r="P323" s="608" t="s">
        <v>1274</v>
      </c>
      <c r="Q323" s="608"/>
      <c r="R323" s="608">
        <v>0</v>
      </c>
      <c r="T323" s="751"/>
      <c r="V323" s="609">
        <f t="shared" si="52"/>
        <v>0</v>
      </c>
      <c r="W323" s="692"/>
    </row>
    <row r="324" spans="1:23" outlineLevel="3">
      <c r="A324" s="376"/>
      <c r="B324" s="376" t="s">
        <v>248</v>
      </c>
      <c r="C324" s="376" t="s">
        <v>249</v>
      </c>
      <c r="D324" s="376" t="s">
        <v>25</v>
      </c>
      <c r="E324" s="376" t="s">
        <v>26</v>
      </c>
      <c r="F324" s="608" t="s">
        <v>242</v>
      </c>
      <c r="G324" s="609">
        <v>1.4856000000000001E-2</v>
      </c>
      <c r="H324" s="692">
        <v>1</v>
      </c>
      <c r="I324" s="626"/>
      <c r="J324" s="751"/>
      <c r="L324" s="608" t="s">
        <v>26</v>
      </c>
      <c r="M324" s="608" t="s">
        <v>1272</v>
      </c>
      <c r="N324" s="608" t="s">
        <v>1277</v>
      </c>
      <c r="O324" s="608" t="s">
        <v>1273</v>
      </c>
      <c r="P324" s="608" t="s">
        <v>1274</v>
      </c>
      <c r="Q324" s="608"/>
      <c r="R324" s="608">
        <v>0</v>
      </c>
      <c r="T324" s="751"/>
      <c r="V324" s="609">
        <f t="shared" si="52"/>
        <v>0</v>
      </c>
      <c r="W324" s="692"/>
    </row>
    <row r="325" spans="1:23" outlineLevel="2">
      <c r="A325" s="376"/>
      <c r="B325" s="684" t="s">
        <v>248</v>
      </c>
      <c r="C325" s="684" t="s">
        <v>249</v>
      </c>
      <c r="D325" s="684" t="s">
        <v>27</v>
      </c>
      <c r="E325" s="684"/>
      <c r="F325" s="685" t="s">
        <v>77</v>
      </c>
      <c r="G325" s="713">
        <f>SUBTOTAL(9,G326:G329)</f>
        <v>0.1253475</v>
      </c>
      <c r="H325" s="714">
        <f>SUBTOTAL(9,H326:H329)</f>
        <v>4</v>
      </c>
      <c r="I325" s="626"/>
      <c r="J325" s="751"/>
      <c r="L325" s="685"/>
      <c r="M325" s="685"/>
      <c r="N325" s="685"/>
      <c r="O325" s="685"/>
      <c r="P325" s="685"/>
      <c r="Q325" s="685"/>
      <c r="R325" s="685"/>
      <c r="T325" s="751"/>
      <c r="V325" s="713">
        <f>SUBTOTAL(9,V326:V329)</f>
        <v>0</v>
      </c>
      <c r="W325" s="714">
        <f>SUBTOTAL(9,W326:W329)</f>
        <v>0</v>
      </c>
    </row>
    <row r="326" spans="1:23" ht="39.6" outlineLevel="3">
      <c r="A326" s="376"/>
      <c r="B326" s="376" t="s">
        <v>248</v>
      </c>
      <c r="C326" s="376" t="s">
        <v>249</v>
      </c>
      <c r="D326" s="376" t="s">
        <v>27</v>
      </c>
      <c r="E326" s="376" t="s">
        <v>28</v>
      </c>
      <c r="F326" s="608" t="s">
        <v>237</v>
      </c>
      <c r="G326" s="609">
        <v>1.6713000000000002E-2</v>
      </c>
      <c r="H326" s="692">
        <v>1</v>
      </c>
      <c r="I326" s="626"/>
      <c r="J326" s="751"/>
      <c r="L326" s="608" t="s">
        <v>28</v>
      </c>
      <c r="M326" s="608" t="s">
        <v>1208</v>
      </c>
      <c r="N326" s="608" t="s">
        <v>1393</v>
      </c>
      <c r="O326" s="608" t="s">
        <v>1432</v>
      </c>
      <c r="P326" s="608"/>
      <c r="Q326" s="608"/>
      <c r="R326" s="608"/>
      <c r="T326" s="751"/>
      <c r="V326" s="609">
        <f t="shared" ref="V326:V329" si="53">IF(W326=1,G326,0)</f>
        <v>0</v>
      </c>
      <c r="W326" s="692"/>
    </row>
    <row r="327" spans="1:23" ht="39.6" outlineLevel="3">
      <c r="A327" s="376"/>
      <c r="B327" s="376" t="s">
        <v>248</v>
      </c>
      <c r="C327" s="376" t="s">
        <v>249</v>
      </c>
      <c r="D327" s="376" t="s">
        <v>27</v>
      </c>
      <c r="E327" s="376" t="s">
        <v>28</v>
      </c>
      <c r="F327" s="608" t="s">
        <v>238</v>
      </c>
      <c r="G327" s="609">
        <v>5.8495499999999999E-2</v>
      </c>
      <c r="H327" s="692">
        <v>1</v>
      </c>
      <c r="I327" s="626"/>
      <c r="J327" s="751"/>
      <c r="L327" s="608" t="s">
        <v>28</v>
      </c>
      <c r="M327" s="608" t="s">
        <v>1208</v>
      </c>
      <c r="N327" s="608" t="s">
        <v>1393</v>
      </c>
      <c r="O327" s="608" t="s">
        <v>1432</v>
      </c>
      <c r="P327" s="608"/>
      <c r="Q327" s="608"/>
      <c r="R327" s="608"/>
      <c r="T327" s="751"/>
      <c r="V327" s="609">
        <f t="shared" si="53"/>
        <v>0</v>
      </c>
      <c r="W327" s="692"/>
    </row>
    <row r="328" spans="1:23" ht="39.6" outlineLevel="3">
      <c r="A328" s="376"/>
      <c r="B328" s="376" t="s">
        <v>248</v>
      </c>
      <c r="C328" s="376" t="s">
        <v>249</v>
      </c>
      <c r="D328" s="376" t="s">
        <v>27</v>
      </c>
      <c r="E328" s="376" t="s">
        <v>28</v>
      </c>
      <c r="F328" s="608" t="s">
        <v>242</v>
      </c>
      <c r="G328" s="609">
        <v>2.5069499999999998E-2</v>
      </c>
      <c r="H328" s="692">
        <v>1</v>
      </c>
      <c r="I328" s="626"/>
      <c r="J328" s="751"/>
      <c r="L328" s="608" t="s">
        <v>28</v>
      </c>
      <c r="M328" s="608" t="s">
        <v>1208</v>
      </c>
      <c r="N328" s="608" t="s">
        <v>1393</v>
      </c>
      <c r="O328" s="608" t="s">
        <v>1432</v>
      </c>
      <c r="P328" s="608"/>
      <c r="Q328" s="608"/>
      <c r="R328" s="608"/>
      <c r="T328" s="751"/>
      <c r="V328" s="609">
        <f t="shared" si="53"/>
        <v>0</v>
      </c>
      <c r="W328" s="692"/>
    </row>
    <row r="329" spans="1:23" ht="39.6" outlineLevel="3">
      <c r="A329" s="376"/>
      <c r="B329" s="376" t="s">
        <v>248</v>
      </c>
      <c r="C329" s="376" t="s">
        <v>249</v>
      </c>
      <c r="D329" s="376" t="s">
        <v>27</v>
      </c>
      <c r="E329" s="376" t="s">
        <v>28</v>
      </c>
      <c r="F329" s="608" t="s">
        <v>239</v>
      </c>
      <c r="G329" s="609">
        <v>2.5069499999999998E-2</v>
      </c>
      <c r="H329" s="692">
        <v>1</v>
      </c>
      <c r="I329" s="626"/>
      <c r="J329" s="751"/>
      <c r="L329" s="608" t="s">
        <v>28</v>
      </c>
      <c r="M329" s="608" t="s">
        <v>1208</v>
      </c>
      <c r="N329" s="608" t="s">
        <v>1393</v>
      </c>
      <c r="O329" s="608" t="s">
        <v>1432</v>
      </c>
      <c r="P329" s="608"/>
      <c r="Q329" s="608"/>
      <c r="R329" s="608"/>
      <c r="T329" s="751"/>
      <c r="V329" s="609">
        <f t="shared" si="53"/>
        <v>0</v>
      </c>
      <c r="W329" s="692"/>
    </row>
    <row r="330" spans="1:23" outlineLevel="2">
      <c r="A330" s="376"/>
      <c r="B330" s="684" t="s">
        <v>248</v>
      </c>
      <c r="C330" s="684" t="s">
        <v>249</v>
      </c>
      <c r="D330" s="684" t="s">
        <v>58</v>
      </c>
      <c r="E330" s="684"/>
      <c r="F330" s="685" t="s">
        <v>77</v>
      </c>
      <c r="G330" s="713">
        <f>SUBTOTAL(9,G331:G332)</f>
        <v>6.9637500000000005E-2</v>
      </c>
      <c r="H330" s="714">
        <f>SUBTOTAL(9,H331:H332)</f>
        <v>2</v>
      </c>
      <c r="I330" s="626"/>
      <c r="J330" s="751"/>
      <c r="L330" s="685"/>
      <c r="M330" s="685"/>
      <c r="N330" s="685"/>
      <c r="O330" s="685"/>
      <c r="P330" s="685"/>
      <c r="Q330" s="685"/>
      <c r="R330" s="685"/>
      <c r="T330" s="751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248</v>
      </c>
      <c r="C331" s="376" t="s">
        <v>249</v>
      </c>
      <c r="D331" s="376" t="s">
        <v>58</v>
      </c>
      <c r="E331" s="376" t="s">
        <v>28</v>
      </c>
      <c r="F331" s="608" t="s">
        <v>237</v>
      </c>
      <c r="G331" s="609">
        <v>1.857E-2</v>
      </c>
      <c r="H331" s="692">
        <v>1</v>
      </c>
      <c r="I331" s="626"/>
      <c r="J331" s="751"/>
      <c r="L331" s="608" t="s">
        <v>28</v>
      </c>
      <c r="M331" s="608" t="s">
        <v>1236</v>
      </c>
      <c r="N331" s="608" t="s">
        <v>1431</v>
      </c>
      <c r="O331" s="608" t="s">
        <v>1433</v>
      </c>
      <c r="P331" s="608"/>
      <c r="Q331" s="608"/>
      <c r="R331" s="608"/>
      <c r="T331" s="751"/>
      <c r="V331" s="609">
        <f t="shared" ref="V331:V332" si="54">IF(W331=1,G331,0)</f>
        <v>0</v>
      </c>
      <c r="W331" s="692"/>
    </row>
    <row r="332" spans="1:23" outlineLevel="3">
      <c r="A332" s="376"/>
      <c r="B332" s="376" t="s">
        <v>248</v>
      </c>
      <c r="C332" s="376" t="s">
        <v>249</v>
      </c>
      <c r="D332" s="376" t="s">
        <v>58</v>
      </c>
      <c r="E332" s="376" t="s">
        <v>28</v>
      </c>
      <c r="F332" s="608" t="s">
        <v>242</v>
      </c>
      <c r="G332" s="609">
        <v>5.1067500000000002E-2</v>
      </c>
      <c r="H332" s="692">
        <v>1</v>
      </c>
      <c r="I332" s="626"/>
      <c r="J332" s="751"/>
      <c r="L332" s="608" t="s">
        <v>28</v>
      </c>
      <c r="M332" s="608" t="s">
        <v>1236</v>
      </c>
      <c r="N332" s="608" t="s">
        <v>1431</v>
      </c>
      <c r="O332" s="608" t="s">
        <v>1433</v>
      </c>
      <c r="P332" s="608"/>
      <c r="Q332" s="608"/>
      <c r="R332" s="608"/>
      <c r="T332" s="751"/>
      <c r="V332" s="609">
        <f t="shared" si="54"/>
        <v>0</v>
      </c>
      <c r="W332" s="692"/>
    </row>
    <row r="333" spans="1:23" outlineLevel="1">
      <c r="A333" s="376"/>
      <c r="B333" s="665" t="s">
        <v>251</v>
      </c>
      <c r="C333" s="665" t="s">
        <v>252</v>
      </c>
      <c r="D333" s="665"/>
      <c r="E333" s="665"/>
      <c r="F333" s="681" t="s">
        <v>262</v>
      </c>
      <c r="G333" s="701">
        <f>SUBTOTAL(9,G334:G342)</f>
        <v>4.9130000000000007E-3</v>
      </c>
      <c r="H333" s="702">
        <f>SUBTOTAL(9,H334:H342)</f>
        <v>6</v>
      </c>
      <c r="I333" s="626"/>
      <c r="J333" s="751"/>
      <c r="L333" s="681"/>
      <c r="M333" s="681"/>
      <c r="N333" s="681"/>
      <c r="O333" s="681"/>
      <c r="P333" s="681"/>
      <c r="Q333" s="681"/>
      <c r="R333" s="681"/>
      <c r="T333" s="751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251</v>
      </c>
      <c r="C334" s="684" t="s">
        <v>252</v>
      </c>
      <c r="D334" s="684" t="s">
        <v>17</v>
      </c>
      <c r="E334" s="684"/>
      <c r="F334" s="685" t="s">
        <v>1434</v>
      </c>
      <c r="G334" s="713">
        <f>SUBTOTAL(9,G335:G338)</f>
        <v>4.0000000000000001E-3</v>
      </c>
      <c r="H334" s="714">
        <f>SUBTOTAL(9,H335:H338)</f>
        <v>4</v>
      </c>
      <c r="I334" s="626"/>
      <c r="J334" s="751"/>
      <c r="L334" s="685"/>
      <c r="M334" s="685"/>
      <c r="N334" s="685"/>
      <c r="O334" s="685"/>
      <c r="P334" s="685"/>
      <c r="Q334" s="685"/>
      <c r="R334" s="685"/>
      <c r="T334" s="751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251</v>
      </c>
      <c r="C335" s="376" t="s">
        <v>252</v>
      </c>
      <c r="D335" s="376" t="s">
        <v>17</v>
      </c>
      <c r="E335" s="376" t="s">
        <v>241</v>
      </c>
      <c r="F335" s="608" t="s">
        <v>253</v>
      </c>
      <c r="G335" s="609">
        <v>2.0999999999999999E-3</v>
      </c>
      <c r="H335" s="700">
        <v>1</v>
      </c>
      <c r="I335" s="626"/>
      <c r="J335" s="751"/>
      <c r="L335" s="608" t="s">
        <v>241</v>
      </c>
      <c r="M335" s="608"/>
      <c r="N335" s="608"/>
      <c r="O335" s="608"/>
      <c r="P335" s="608"/>
      <c r="Q335" s="608"/>
      <c r="R335" s="608"/>
      <c r="T335" s="751"/>
      <c r="V335" s="609">
        <f t="shared" ref="V335:V338" si="55">IF(W335=1,G335,0)</f>
        <v>0</v>
      </c>
      <c r="W335" s="700"/>
    </row>
    <row r="336" spans="1:23" outlineLevel="3">
      <c r="A336" s="376"/>
      <c r="B336" s="376" t="s">
        <v>251</v>
      </c>
      <c r="C336" s="376" t="s">
        <v>252</v>
      </c>
      <c r="D336" s="376" t="s">
        <v>17</v>
      </c>
      <c r="E336" s="376" t="s">
        <v>241</v>
      </c>
      <c r="F336" s="608" t="s">
        <v>254</v>
      </c>
      <c r="G336" s="609">
        <v>8.7500000000000002E-4</v>
      </c>
      <c r="H336" s="700">
        <v>1</v>
      </c>
      <c r="I336" s="626"/>
      <c r="J336" s="751"/>
      <c r="L336" s="608" t="s">
        <v>241</v>
      </c>
      <c r="M336" s="608"/>
      <c r="N336" s="608"/>
      <c r="O336" s="608"/>
      <c r="P336" s="608"/>
      <c r="Q336" s="608"/>
      <c r="R336" s="608"/>
      <c r="T336" s="751"/>
      <c r="V336" s="609">
        <f t="shared" si="55"/>
        <v>0</v>
      </c>
      <c r="W336" s="700"/>
    </row>
    <row r="337" spans="1:23" outlineLevel="3">
      <c r="A337" s="376"/>
      <c r="B337" s="376" t="s">
        <v>251</v>
      </c>
      <c r="C337" s="376" t="s">
        <v>252</v>
      </c>
      <c r="D337" s="376" t="s">
        <v>17</v>
      </c>
      <c r="E337" s="376" t="s">
        <v>241</v>
      </c>
      <c r="F337" s="608" t="s">
        <v>255</v>
      </c>
      <c r="G337" s="609">
        <v>5.2499999999999997E-4</v>
      </c>
      <c r="H337" s="700">
        <v>1</v>
      </c>
      <c r="I337" s="626"/>
      <c r="J337" s="751"/>
      <c r="L337" s="608" t="s">
        <v>241</v>
      </c>
      <c r="M337" s="608"/>
      <c r="N337" s="608"/>
      <c r="O337" s="608"/>
      <c r="P337" s="608"/>
      <c r="Q337" s="608"/>
      <c r="R337" s="608"/>
      <c r="T337" s="751"/>
      <c r="V337" s="609">
        <f t="shared" si="55"/>
        <v>0</v>
      </c>
      <c r="W337" s="700"/>
    </row>
    <row r="338" spans="1:23" outlineLevel="3">
      <c r="A338" s="376"/>
      <c r="B338" s="376" t="s">
        <v>251</v>
      </c>
      <c r="C338" s="376" t="s">
        <v>252</v>
      </c>
      <c r="D338" s="376" t="s">
        <v>17</v>
      </c>
      <c r="E338" s="376" t="s">
        <v>241</v>
      </c>
      <c r="F338" s="608" t="s">
        <v>256</v>
      </c>
      <c r="G338" s="609">
        <v>5.0000000000000001E-4</v>
      </c>
      <c r="H338" s="700">
        <v>1</v>
      </c>
      <c r="I338" s="626"/>
      <c r="J338" s="751"/>
      <c r="L338" s="608" t="s">
        <v>241</v>
      </c>
      <c r="M338" s="608"/>
      <c r="N338" s="608"/>
      <c r="O338" s="608"/>
      <c r="P338" s="608"/>
      <c r="Q338" s="608"/>
      <c r="R338" s="608"/>
      <c r="T338" s="751"/>
      <c r="V338" s="609">
        <f t="shared" si="55"/>
        <v>0</v>
      </c>
      <c r="W338" s="700"/>
    </row>
    <row r="339" spans="1:23" outlineLevel="2">
      <c r="A339" s="376"/>
      <c r="B339" s="684" t="s">
        <v>251</v>
      </c>
      <c r="C339" s="684" t="s">
        <v>252</v>
      </c>
      <c r="D339" s="684" t="s">
        <v>58</v>
      </c>
      <c r="E339" s="684"/>
      <c r="F339" s="685" t="s">
        <v>1434</v>
      </c>
      <c r="G339" s="713">
        <f>SUBTOTAL(9,G340)</f>
        <v>1.13E-4</v>
      </c>
      <c r="H339" s="714">
        <f>SUBTOTAL(9,H340)</f>
        <v>1</v>
      </c>
      <c r="I339" s="626"/>
      <c r="J339" s="751"/>
      <c r="L339" s="685"/>
      <c r="M339" s="685"/>
      <c r="N339" s="685"/>
      <c r="O339" s="685"/>
      <c r="P339" s="685"/>
      <c r="Q339" s="685"/>
      <c r="R339" s="685"/>
      <c r="T339" s="751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251</v>
      </c>
      <c r="C340" s="376" t="s">
        <v>252</v>
      </c>
      <c r="D340" s="376" t="s">
        <v>58</v>
      </c>
      <c r="E340" s="376" t="s">
        <v>28</v>
      </c>
      <c r="F340" s="608" t="s">
        <v>257</v>
      </c>
      <c r="G340" s="609">
        <v>1.13E-4</v>
      </c>
      <c r="H340" s="700">
        <v>1</v>
      </c>
      <c r="I340" s="626"/>
      <c r="J340" s="751"/>
      <c r="L340" s="608" t="s">
        <v>28</v>
      </c>
      <c r="M340" s="608" t="s">
        <v>1236</v>
      </c>
      <c r="N340" s="608" t="s">
        <v>1433</v>
      </c>
      <c r="O340" s="608"/>
      <c r="P340" s="608"/>
      <c r="Q340" s="608"/>
      <c r="R340" s="608"/>
      <c r="T340" s="751"/>
      <c r="V340" s="609">
        <f t="shared" ref="V340" si="56">IF(W340=1,G340,0)</f>
        <v>0</v>
      </c>
      <c r="W340" s="700"/>
    </row>
    <row r="341" spans="1:23" outlineLevel="2">
      <c r="A341" s="376"/>
      <c r="B341" s="684" t="s">
        <v>251</v>
      </c>
      <c r="C341" s="684" t="s">
        <v>252</v>
      </c>
      <c r="D341" s="684" t="s">
        <v>25</v>
      </c>
      <c r="E341" s="684"/>
      <c r="F341" s="685" t="s">
        <v>1434</v>
      </c>
      <c r="G341" s="713">
        <f>SUBTOTAL(9,G342)</f>
        <v>8.0000000000000004E-4</v>
      </c>
      <c r="H341" s="714">
        <f>SUBTOTAL(9,H342)</f>
        <v>1</v>
      </c>
      <c r="I341" s="626"/>
      <c r="J341" s="751"/>
      <c r="L341" s="685"/>
      <c r="M341" s="685"/>
      <c r="N341" s="685"/>
      <c r="O341" s="685"/>
      <c r="P341" s="685"/>
      <c r="Q341" s="685"/>
      <c r="R341" s="685"/>
      <c r="T341" s="751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251</v>
      </c>
      <c r="C342" s="376" t="s">
        <v>252</v>
      </c>
      <c r="D342" s="376" t="s">
        <v>25</v>
      </c>
      <c r="E342" s="376" t="s">
        <v>26</v>
      </c>
      <c r="F342" s="608" t="s">
        <v>256</v>
      </c>
      <c r="G342" s="609">
        <v>8.0000000000000004E-4</v>
      </c>
      <c r="H342" s="700">
        <v>1</v>
      </c>
      <c r="I342" s="626"/>
      <c r="J342" s="751"/>
      <c r="L342" s="608" t="s">
        <v>26</v>
      </c>
      <c r="M342" s="608" t="s">
        <v>1435</v>
      </c>
      <c r="N342" s="608"/>
      <c r="O342" s="608">
        <v>0</v>
      </c>
      <c r="P342" s="608" t="s">
        <v>1326</v>
      </c>
      <c r="Q342" s="608"/>
      <c r="R342" s="608">
        <v>0</v>
      </c>
      <c r="T342" s="751"/>
      <c r="V342" s="609">
        <f t="shared" ref="V342" si="57">IF(W342=1,G342,0)</f>
        <v>0</v>
      </c>
      <c r="W342" s="700"/>
    </row>
    <row r="343" spans="1:23" outlineLevel="1">
      <c r="A343" s="376"/>
      <c r="B343" s="665" t="s">
        <v>258</v>
      </c>
      <c r="C343" s="665" t="s">
        <v>259</v>
      </c>
      <c r="D343" s="665"/>
      <c r="E343" s="665"/>
      <c r="F343" s="681" t="s">
        <v>262</v>
      </c>
      <c r="G343" s="701">
        <f>SUBTOTAL(9,G344:G352)</f>
        <v>0.43996002400000001</v>
      </c>
      <c r="H343" s="702">
        <f>SUBTOTAL(9,H344:H352)</f>
        <v>2</v>
      </c>
      <c r="I343" s="626"/>
      <c r="J343" s="751"/>
      <c r="L343" s="681"/>
      <c r="M343" s="681"/>
      <c r="N343" s="681"/>
      <c r="O343" s="681"/>
      <c r="P343" s="681"/>
      <c r="Q343" s="681"/>
      <c r="R343" s="681"/>
      <c r="T343" s="751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258</v>
      </c>
      <c r="C344" s="684" t="s">
        <v>259</v>
      </c>
      <c r="D344" s="684" t="s">
        <v>17</v>
      </c>
      <c r="E344" s="684"/>
      <c r="F344" s="685" t="s">
        <v>1436</v>
      </c>
      <c r="G344" s="686">
        <f>SUBTOTAL(9,G345:G346)</f>
        <v>0.43996002400000001</v>
      </c>
      <c r="H344" s="691">
        <f>SUBTOTAL(9,H345:H346)</f>
        <v>2</v>
      </c>
      <c r="I344" s="626"/>
      <c r="J344" s="751"/>
      <c r="L344" s="685"/>
      <c r="M344" s="685"/>
      <c r="N344" s="685"/>
      <c r="O344" s="685"/>
      <c r="P344" s="685"/>
      <c r="Q344" s="685"/>
      <c r="R344" s="685"/>
      <c r="T344" s="751"/>
      <c r="V344" s="686">
        <f>SUBTOTAL(9,V345:V346)</f>
        <v>0</v>
      </c>
      <c r="W344" s="691">
        <f>SUBTOTAL(9,W345:W346)</f>
        <v>0</v>
      </c>
    </row>
    <row r="345" spans="1:23" ht="26.4" outlineLevel="3">
      <c r="A345" s="376"/>
      <c r="B345" s="376" t="s">
        <v>258</v>
      </c>
      <c r="C345" s="376" t="s">
        <v>259</v>
      </c>
      <c r="D345" s="376" t="s">
        <v>17</v>
      </c>
      <c r="E345" s="376" t="s">
        <v>127</v>
      </c>
      <c r="F345" s="608" t="s">
        <v>1422</v>
      </c>
      <c r="G345" s="609">
        <v>0.17598400959999999</v>
      </c>
      <c r="H345" s="692">
        <v>1</v>
      </c>
      <c r="I345" s="626"/>
      <c r="J345" s="751"/>
      <c r="L345" s="608" t="s">
        <v>127</v>
      </c>
      <c r="M345" s="608" t="s">
        <v>1320</v>
      </c>
      <c r="N345" s="608" t="s">
        <v>1376</v>
      </c>
      <c r="O345" s="608" t="s">
        <v>1378</v>
      </c>
      <c r="P345" s="608"/>
      <c r="Q345" s="608"/>
      <c r="R345" s="608"/>
      <c r="T345" s="751"/>
      <c r="V345" s="609">
        <f t="shared" ref="V345:V346" si="58">IF(W345=1,G345,0)</f>
        <v>0</v>
      </c>
      <c r="W345" s="692"/>
    </row>
    <row r="346" spans="1:23" ht="26.4" outlineLevel="3">
      <c r="A346" s="376"/>
      <c r="B346" s="376" t="s">
        <v>258</v>
      </c>
      <c r="C346" s="376" t="s">
        <v>259</v>
      </c>
      <c r="D346" s="376" t="s">
        <v>17</v>
      </c>
      <c r="E346" s="376" t="s">
        <v>127</v>
      </c>
      <c r="F346" s="608" t="s">
        <v>236</v>
      </c>
      <c r="G346" s="609">
        <v>0.26397601440000001</v>
      </c>
      <c r="H346" s="692">
        <v>1</v>
      </c>
      <c r="I346" s="626"/>
      <c r="J346" s="751"/>
      <c r="L346" s="608" t="s">
        <v>127</v>
      </c>
      <c r="M346" s="608" t="s">
        <v>1320</v>
      </c>
      <c r="N346" s="608" t="s">
        <v>1376</v>
      </c>
      <c r="O346" s="608" t="s">
        <v>1378</v>
      </c>
      <c r="P346" s="608"/>
      <c r="Q346" s="608"/>
      <c r="R346" s="608"/>
      <c r="T346" s="751"/>
      <c r="V346" s="609">
        <f t="shared" si="58"/>
        <v>0</v>
      </c>
      <c r="W346" s="692"/>
    </row>
    <row r="347" spans="1:23" outlineLevel="2">
      <c r="A347" s="376"/>
      <c r="B347" s="684" t="s">
        <v>258</v>
      </c>
      <c r="C347" s="684" t="s">
        <v>259</v>
      </c>
      <c r="D347" s="684" t="s">
        <v>25</v>
      </c>
      <c r="E347" s="684"/>
      <c r="F347" s="685" t="s">
        <v>1436</v>
      </c>
      <c r="G347" s="686">
        <f>SUBTOTAL(9,G348)</f>
        <v>0</v>
      </c>
      <c r="H347" s="691">
        <f>SUBTOTAL(9,H348)</f>
        <v>0</v>
      </c>
      <c r="I347" s="626"/>
      <c r="J347" s="751"/>
      <c r="L347" s="685"/>
      <c r="M347" s="685"/>
      <c r="N347" s="685"/>
      <c r="O347" s="685"/>
      <c r="P347" s="685"/>
      <c r="Q347" s="685"/>
      <c r="R347" s="685"/>
      <c r="T347" s="751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258</v>
      </c>
      <c r="C348" s="376" t="s">
        <v>259</v>
      </c>
      <c r="D348" s="376" t="s">
        <v>25</v>
      </c>
      <c r="E348" s="376" t="s">
        <v>26</v>
      </c>
      <c r="F348" s="759" t="s">
        <v>236</v>
      </c>
      <c r="G348" s="609"/>
      <c r="H348" s="692"/>
      <c r="I348" s="626"/>
      <c r="J348" s="751"/>
      <c r="L348" s="608" t="s">
        <v>26</v>
      </c>
      <c r="M348" s="608" t="s">
        <v>1201</v>
      </c>
      <c r="N348" s="608" t="s">
        <v>1380</v>
      </c>
      <c r="O348" s="608"/>
      <c r="P348" s="608"/>
      <c r="Q348" s="608"/>
      <c r="R348" s="608"/>
      <c r="T348" s="751"/>
      <c r="V348" s="609">
        <f t="shared" ref="V348" si="59">IF(W348=1,G348,0)</f>
        <v>0</v>
      </c>
      <c r="W348" s="692"/>
    </row>
    <row r="349" spans="1:23" outlineLevel="2">
      <c r="A349" s="376"/>
      <c r="B349" s="684" t="s">
        <v>258</v>
      </c>
      <c r="C349" s="684" t="s">
        <v>259</v>
      </c>
      <c r="D349" s="684" t="s">
        <v>27</v>
      </c>
      <c r="E349" s="684"/>
      <c r="F349" s="685" t="s">
        <v>1436</v>
      </c>
      <c r="G349" s="686">
        <f>SUBTOTAL(9,G350)</f>
        <v>0</v>
      </c>
      <c r="H349" s="691">
        <f>SUBTOTAL(9,H350)</f>
        <v>0</v>
      </c>
      <c r="I349" s="626"/>
      <c r="J349" s="751"/>
      <c r="L349" s="685"/>
      <c r="M349" s="685"/>
      <c r="N349" s="685"/>
      <c r="O349" s="685"/>
      <c r="P349" s="685"/>
      <c r="Q349" s="685"/>
      <c r="R349" s="685"/>
      <c r="T349" s="751"/>
      <c r="V349" s="686">
        <f>SUBTOTAL(9,V350)</f>
        <v>0</v>
      </c>
      <c r="W349" s="691">
        <f>SUBTOTAL(9,W350)</f>
        <v>0</v>
      </c>
    </row>
    <row r="350" spans="1:23" ht="92.4" outlineLevel="3">
      <c r="A350" s="376"/>
      <c r="B350" s="376" t="s">
        <v>258</v>
      </c>
      <c r="C350" s="376" t="s">
        <v>259</v>
      </c>
      <c r="D350" s="376" t="s">
        <v>27</v>
      </c>
      <c r="E350" s="376" t="s">
        <v>28</v>
      </c>
      <c r="F350" s="759" t="s">
        <v>236</v>
      </c>
      <c r="G350" s="609"/>
      <c r="H350" s="692"/>
      <c r="I350" s="626"/>
      <c r="J350" s="751"/>
      <c r="L350" s="608" t="s">
        <v>28</v>
      </c>
      <c r="M350" s="608" t="s">
        <v>1425</v>
      </c>
      <c r="N350" s="608"/>
      <c r="O350" s="608"/>
      <c r="P350" s="608"/>
      <c r="Q350" s="608"/>
      <c r="R350" s="608"/>
      <c r="T350" s="751"/>
      <c r="V350" s="609">
        <f t="shared" ref="V350" si="60">IF(W350=1,G350,0)</f>
        <v>0</v>
      </c>
      <c r="W350" s="692"/>
    </row>
    <row r="351" spans="1:23" outlineLevel="2">
      <c r="A351" s="376"/>
      <c r="B351" s="684" t="s">
        <v>258</v>
      </c>
      <c r="C351" s="684" t="s">
        <v>259</v>
      </c>
      <c r="D351" s="684" t="s">
        <v>58</v>
      </c>
      <c r="E351" s="684"/>
      <c r="F351" s="685" t="s">
        <v>1436</v>
      </c>
      <c r="G351" s="686">
        <f>SUBTOTAL(9,G352)</f>
        <v>0</v>
      </c>
      <c r="H351" s="691">
        <f>SUBTOTAL(9,H352)</f>
        <v>0</v>
      </c>
      <c r="I351" s="626"/>
      <c r="J351" s="751"/>
      <c r="L351" s="685"/>
      <c r="M351" s="685"/>
      <c r="N351" s="685"/>
      <c r="O351" s="685"/>
      <c r="P351" s="685"/>
      <c r="Q351" s="685"/>
      <c r="R351" s="685"/>
      <c r="T351" s="751"/>
      <c r="V351" s="686">
        <f>SUBTOTAL(9,V352)</f>
        <v>0</v>
      </c>
      <c r="W351" s="691">
        <f>SUBTOTAL(9,W352)</f>
        <v>0</v>
      </c>
    </row>
    <row r="352" spans="1:23" ht="92.4" outlineLevel="3">
      <c r="A352" s="376"/>
      <c r="B352" s="376" t="s">
        <v>258</v>
      </c>
      <c r="C352" s="376" t="s">
        <v>259</v>
      </c>
      <c r="D352" s="376" t="s">
        <v>58</v>
      </c>
      <c r="E352" s="376" t="s">
        <v>28</v>
      </c>
      <c r="F352" s="759" t="s">
        <v>236</v>
      </c>
      <c r="G352" s="609"/>
      <c r="H352" s="692"/>
      <c r="I352" s="626"/>
      <c r="J352" s="751"/>
      <c r="L352" s="608" t="s">
        <v>28</v>
      </c>
      <c r="M352" s="608" t="s">
        <v>1425</v>
      </c>
      <c r="N352" s="608"/>
      <c r="O352" s="608"/>
      <c r="P352" s="608"/>
      <c r="Q352" s="608"/>
      <c r="R352" s="608"/>
      <c r="T352" s="751"/>
      <c r="V352" s="609">
        <f t="shared" ref="V352" si="61">IF(W352=1,G352,0)</f>
        <v>0</v>
      </c>
      <c r="W352" s="692"/>
    </row>
    <row r="353" spans="1:23" outlineLevel="1">
      <c r="A353" s="376"/>
      <c r="B353" s="665" t="s">
        <v>260</v>
      </c>
      <c r="C353" s="666" t="s">
        <v>261</v>
      </c>
      <c r="D353" s="666"/>
      <c r="E353" s="666"/>
      <c r="F353" s="681" t="s">
        <v>262</v>
      </c>
      <c r="G353" s="724">
        <f>SUBTOTAL(9,G354:G390)</f>
        <v>0</v>
      </c>
      <c r="H353" s="725">
        <f>SUBTOTAL(9,H354:H390)</f>
        <v>26</v>
      </c>
      <c r="I353" s="626"/>
      <c r="J353" s="751"/>
      <c r="L353" s="760"/>
      <c r="M353" s="760"/>
      <c r="N353" s="760"/>
      <c r="O353" s="760"/>
      <c r="P353" s="760"/>
      <c r="Q353" s="760"/>
      <c r="R353" s="760"/>
      <c r="T353" s="751"/>
      <c r="V353" s="724">
        <f>SUBTOTAL(9,V354:V390)</f>
        <v>0</v>
      </c>
      <c r="W353" s="725">
        <f>SUBTOTAL(9,W354:W390)</f>
        <v>0</v>
      </c>
    </row>
    <row r="354" spans="1:23" outlineLevel="2">
      <c r="A354" s="376"/>
      <c r="B354" s="684" t="s">
        <v>173</v>
      </c>
      <c r="C354" s="684" t="s">
        <v>1437</v>
      </c>
      <c r="D354" s="684" t="s">
        <v>17</v>
      </c>
      <c r="E354" s="684"/>
      <c r="F354" s="685" t="s">
        <v>1437</v>
      </c>
      <c r="G354" s="691">
        <f>SUBTOTAL(9,G355:G357)</f>
        <v>0</v>
      </c>
      <c r="H354" s="714">
        <f>SUBTOTAL(9,H355:H357)</f>
        <v>3</v>
      </c>
      <c r="I354" s="626"/>
      <c r="J354" s="751"/>
      <c r="L354" s="685"/>
      <c r="M354" s="685"/>
      <c r="N354" s="685"/>
      <c r="O354" s="685"/>
      <c r="P354" s="685"/>
      <c r="Q354" s="685"/>
      <c r="R354" s="685"/>
      <c r="T354" s="751"/>
      <c r="V354" s="691">
        <f>SUBTOTAL(9,V355:V357)</f>
        <v>0</v>
      </c>
      <c r="W354" s="714">
        <f>SUBTOTAL(9,W355:W357)</f>
        <v>0</v>
      </c>
    </row>
    <row r="355" spans="1:23" outlineLevel="3">
      <c r="A355" s="376"/>
      <c r="B355" s="376" t="s">
        <v>173</v>
      </c>
      <c r="C355" s="387" t="s">
        <v>261</v>
      </c>
      <c r="D355" s="376" t="s">
        <v>17</v>
      </c>
      <c r="E355" s="376" t="s">
        <v>263</v>
      </c>
      <c r="F355" s="705" t="s">
        <v>1438</v>
      </c>
      <c r="H355" s="696">
        <v>1</v>
      </c>
      <c r="I355" s="626"/>
      <c r="J355" s="751"/>
      <c r="L355" s="608" t="s">
        <v>263</v>
      </c>
      <c r="M355" s="608"/>
      <c r="N355" s="608"/>
      <c r="O355" s="608"/>
      <c r="P355" s="608"/>
      <c r="Q355" s="608"/>
      <c r="R355" s="608"/>
      <c r="T355" s="751"/>
      <c r="W355" s="696"/>
    </row>
    <row r="356" spans="1:23" outlineLevel="3">
      <c r="A356" s="376"/>
      <c r="B356" s="376" t="s">
        <v>173</v>
      </c>
      <c r="C356" s="387" t="s">
        <v>261</v>
      </c>
      <c r="D356" s="376" t="s">
        <v>17</v>
      </c>
      <c r="E356" s="376" t="s">
        <v>263</v>
      </c>
      <c r="F356" s="705" t="s">
        <v>1439</v>
      </c>
      <c r="H356" s="696">
        <v>1</v>
      </c>
      <c r="I356" s="626"/>
      <c r="J356" s="751"/>
      <c r="L356" s="608" t="s">
        <v>263</v>
      </c>
      <c r="M356" s="608"/>
      <c r="N356" s="608"/>
      <c r="O356" s="608"/>
      <c r="P356" s="608"/>
      <c r="Q356" s="608"/>
      <c r="R356" s="608"/>
      <c r="T356" s="751"/>
      <c r="W356" s="696"/>
    </row>
    <row r="357" spans="1:23" outlineLevel="3">
      <c r="A357" s="376"/>
      <c r="B357" s="376" t="s">
        <v>173</v>
      </c>
      <c r="C357" s="387" t="s">
        <v>261</v>
      </c>
      <c r="D357" s="376" t="s">
        <v>17</v>
      </c>
      <c r="E357" s="376" t="s">
        <v>263</v>
      </c>
      <c r="F357" s="705" t="s">
        <v>1440</v>
      </c>
      <c r="H357" s="696">
        <v>1</v>
      </c>
      <c r="I357" s="626"/>
      <c r="J357" s="751"/>
      <c r="L357" s="608" t="s">
        <v>263</v>
      </c>
      <c r="M357" s="608"/>
      <c r="N357" s="608"/>
      <c r="O357" s="608"/>
      <c r="P357" s="608"/>
      <c r="Q357" s="608"/>
      <c r="R357" s="608"/>
      <c r="T357" s="751"/>
      <c r="W357" s="696"/>
    </row>
    <row r="358" spans="1:23" outlineLevel="2">
      <c r="A358" s="376"/>
      <c r="B358" s="684" t="s">
        <v>173</v>
      </c>
      <c r="C358" s="684" t="s">
        <v>1441</v>
      </c>
      <c r="D358" s="684" t="s">
        <v>17</v>
      </c>
      <c r="E358" s="684"/>
      <c r="F358" s="685" t="s">
        <v>1441</v>
      </c>
      <c r="G358" s="691"/>
      <c r="H358" s="714">
        <f>SUBTOTAL(9,H359:H361)</f>
        <v>3</v>
      </c>
      <c r="I358" s="626"/>
      <c r="J358" s="751"/>
      <c r="L358" s="685"/>
      <c r="M358" s="685"/>
      <c r="N358" s="685"/>
      <c r="O358" s="685"/>
      <c r="P358" s="685"/>
      <c r="Q358" s="685"/>
      <c r="R358" s="685"/>
      <c r="T358" s="751"/>
      <c r="V358" s="691"/>
      <c r="W358" s="714">
        <f>SUBTOTAL(9,W359:W361)</f>
        <v>0</v>
      </c>
    </row>
    <row r="359" spans="1:23" outlineLevel="3">
      <c r="A359" s="376"/>
      <c r="B359" s="376" t="s">
        <v>173</v>
      </c>
      <c r="C359" s="387" t="s">
        <v>261</v>
      </c>
      <c r="D359" s="376" t="s">
        <v>17</v>
      </c>
      <c r="E359" s="376" t="s">
        <v>263</v>
      </c>
      <c r="F359" s="705" t="s">
        <v>1438</v>
      </c>
      <c r="G359" s="695"/>
      <c r="H359" s="696">
        <v>1</v>
      </c>
      <c r="I359" s="626"/>
      <c r="J359" s="751"/>
      <c r="L359" s="608" t="s">
        <v>263</v>
      </c>
      <c r="M359" s="608"/>
      <c r="N359" s="608"/>
      <c r="O359" s="608"/>
      <c r="P359" s="608"/>
      <c r="Q359" s="608"/>
      <c r="R359" s="608"/>
      <c r="T359" s="751"/>
      <c r="V359" s="695"/>
      <c r="W359" s="696"/>
    </row>
    <row r="360" spans="1:23" outlineLevel="3">
      <c r="A360" s="376"/>
      <c r="B360" s="376" t="s">
        <v>173</v>
      </c>
      <c r="C360" s="387" t="s">
        <v>261</v>
      </c>
      <c r="D360" s="376" t="s">
        <v>17</v>
      </c>
      <c r="E360" s="376" t="s">
        <v>263</v>
      </c>
      <c r="F360" s="705" t="s">
        <v>1439</v>
      </c>
      <c r="G360" s="695"/>
      <c r="H360" s="696">
        <v>1</v>
      </c>
      <c r="I360" s="626"/>
      <c r="J360" s="751"/>
      <c r="L360" s="608" t="s">
        <v>263</v>
      </c>
      <c r="M360" s="608"/>
      <c r="N360" s="608"/>
      <c r="O360" s="608"/>
      <c r="P360" s="608"/>
      <c r="Q360" s="608"/>
      <c r="R360" s="608"/>
      <c r="T360" s="751"/>
      <c r="V360" s="695"/>
      <c r="W360" s="696"/>
    </row>
    <row r="361" spans="1:23" outlineLevel="3">
      <c r="A361" s="376"/>
      <c r="B361" s="376" t="s">
        <v>173</v>
      </c>
      <c r="C361" s="387" t="s">
        <v>261</v>
      </c>
      <c r="D361" s="376" t="s">
        <v>17</v>
      </c>
      <c r="E361" s="376" t="s">
        <v>263</v>
      </c>
      <c r="F361" s="705" t="s">
        <v>1440</v>
      </c>
      <c r="G361" s="695"/>
      <c r="H361" s="696">
        <v>1</v>
      </c>
      <c r="I361" s="626"/>
      <c r="J361" s="751"/>
      <c r="L361" s="608" t="s">
        <v>263</v>
      </c>
      <c r="M361" s="608"/>
      <c r="N361" s="608"/>
      <c r="O361" s="608"/>
      <c r="P361" s="608"/>
      <c r="Q361" s="608"/>
      <c r="R361" s="608"/>
      <c r="T361" s="751"/>
      <c r="V361" s="695"/>
      <c r="W361" s="696"/>
    </row>
    <row r="362" spans="1:23" outlineLevel="2">
      <c r="A362" s="376"/>
      <c r="B362" s="684" t="s">
        <v>173</v>
      </c>
      <c r="C362" s="684" t="s">
        <v>1442</v>
      </c>
      <c r="D362" s="684" t="s">
        <v>17</v>
      </c>
      <c r="E362" s="684"/>
      <c r="F362" s="685" t="s">
        <v>1442</v>
      </c>
      <c r="G362" s="691"/>
      <c r="H362" s="714">
        <f>SUBTOTAL(9,H363:H365)</f>
        <v>3</v>
      </c>
      <c r="I362" s="626"/>
      <c r="J362" s="751"/>
      <c r="L362" s="685"/>
      <c r="M362" s="685"/>
      <c r="N362" s="685"/>
      <c r="O362" s="685"/>
      <c r="P362" s="685"/>
      <c r="Q362" s="685"/>
      <c r="R362" s="685"/>
      <c r="T362" s="751"/>
      <c r="V362" s="691"/>
      <c r="W362" s="714">
        <f>SUBTOTAL(9,W363:W365)</f>
        <v>0</v>
      </c>
    </row>
    <row r="363" spans="1:23" outlineLevel="3">
      <c r="A363" s="376"/>
      <c r="B363" s="376" t="s">
        <v>173</v>
      </c>
      <c r="C363" s="387" t="s">
        <v>261</v>
      </c>
      <c r="D363" s="376" t="s">
        <v>17</v>
      </c>
      <c r="E363" s="376" t="s">
        <v>263</v>
      </c>
      <c r="F363" s="705" t="s">
        <v>1438</v>
      </c>
      <c r="G363" s="695"/>
      <c r="H363" s="696">
        <v>1</v>
      </c>
      <c r="I363" s="626"/>
      <c r="J363" s="751"/>
      <c r="L363" s="608" t="s">
        <v>263</v>
      </c>
      <c r="M363" s="608"/>
      <c r="N363" s="608"/>
      <c r="O363" s="608"/>
      <c r="P363" s="608"/>
      <c r="Q363" s="608"/>
      <c r="R363" s="608"/>
      <c r="T363" s="751"/>
      <c r="V363" s="695"/>
      <c r="W363" s="696"/>
    </row>
    <row r="364" spans="1:23" outlineLevel="3">
      <c r="A364" s="376"/>
      <c r="B364" s="376" t="s">
        <v>173</v>
      </c>
      <c r="C364" s="387" t="s">
        <v>261</v>
      </c>
      <c r="D364" s="376" t="s">
        <v>17</v>
      </c>
      <c r="E364" s="376" t="s">
        <v>263</v>
      </c>
      <c r="F364" s="705" t="s">
        <v>1439</v>
      </c>
      <c r="G364" s="695"/>
      <c r="H364" s="696">
        <v>1</v>
      </c>
      <c r="I364" s="626"/>
      <c r="J364" s="751"/>
      <c r="L364" s="608" t="s">
        <v>263</v>
      </c>
      <c r="M364" s="608"/>
      <c r="N364" s="608"/>
      <c r="O364" s="608"/>
      <c r="P364" s="608"/>
      <c r="Q364" s="608"/>
      <c r="R364" s="608"/>
      <c r="T364" s="751"/>
      <c r="V364" s="695"/>
      <c r="W364" s="696"/>
    </row>
    <row r="365" spans="1:23" outlineLevel="3">
      <c r="A365" s="376"/>
      <c r="B365" s="376" t="s">
        <v>173</v>
      </c>
      <c r="C365" s="387" t="s">
        <v>261</v>
      </c>
      <c r="D365" s="376" t="s">
        <v>17</v>
      </c>
      <c r="E365" s="376" t="s">
        <v>263</v>
      </c>
      <c r="F365" s="705" t="s">
        <v>1440</v>
      </c>
      <c r="G365" s="695"/>
      <c r="H365" s="696">
        <v>1</v>
      </c>
      <c r="I365" s="626"/>
      <c r="J365" s="751"/>
      <c r="L365" s="608" t="s">
        <v>263</v>
      </c>
      <c r="M365" s="608"/>
      <c r="N365" s="608"/>
      <c r="O365" s="608"/>
      <c r="P365" s="608"/>
      <c r="Q365" s="608"/>
      <c r="R365" s="608"/>
      <c r="T365" s="751"/>
      <c r="V365" s="695"/>
      <c r="W365" s="696"/>
    </row>
    <row r="366" spans="1:23" outlineLevel="2">
      <c r="A366" s="376"/>
      <c r="B366" s="684" t="s">
        <v>265</v>
      </c>
      <c r="C366" s="685" t="s">
        <v>1443</v>
      </c>
      <c r="D366" s="684" t="s">
        <v>17</v>
      </c>
      <c r="E366" s="684"/>
      <c r="F366" s="685" t="s">
        <v>1443</v>
      </c>
      <c r="G366" s="691">
        <f>SUBTOTAL(9,G367:G368)</f>
        <v>0</v>
      </c>
      <c r="H366" s="714">
        <f>SUBTOTAL(9,H367:H368)</f>
        <v>2</v>
      </c>
      <c r="I366" s="626"/>
      <c r="J366" s="751"/>
      <c r="L366" s="685"/>
      <c r="M366" s="685"/>
      <c r="N366" s="685"/>
      <c r="O366" s="685"/>
      <c r="P366" s="685"/>
      <c r="Q366" s="685"/>
      <c r="R366" s="685"/>
      <c r="T366" s="751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265</v>
      </c>
      <c r="C367" s="387" t="s">
        <v>261</v>
      </c>
      <c r="D367" s="376" t="s">
        <v>17</v>
      </c>
      <c r="E367" s="376" t="s">
        <v>263</v>
      </c>
      <c r="F367" s="705" t="s">
        <v>1438</v>
      </c>
      <c r="H367" s="696">
        <v>1</v>
      </c>
      <c r="I367" s="626"/>
      <c r="J367" s="751"/>
      <c r="L367" s="608" t="s">
        <v>263</v>
      </c>
      <c r="M367" s="608"/>
      <c r="N367" s="608"/>
      <c r="O367" s="608"/>
      <c r="P367" s="608"/>
      <c r="Q367" s="608"/>
      <c r="R367" s="608"/>
      <c r="T367" s="751"/>
      <c r="W367" s="696"/>
    </row>
    <row r="368" spans="1:23" outlineLevel="3">
      <c r="A368" s="376"/>
      <c r="B368" s="376" t="s">
        <v>265</v>
      </c>
      <c r="C368" s="387" t="s">
        <v>261</v>
      </c>
      <c r="D368" s="376" t="s">
        <v>17</v>
      </c>
      <c r="E368" s="376" t="s">
        <v>263</v>
      </c>
      <c r="F368" s="705" t="s">
        <v>1439</v>
      </c>
      <c r="H368" s="696">
        <v>1</v>
      </c>
      <c r="I368" s="626"/>
      <c r="J368" s="751"/>
      <c r="L368" s="608" t="s">
        <v>263</v>
      </c>
      <c r="M368" s="608"/>
      <c r="N368" s="608"/>
      <c r="O368" s="608"/>
      <c r="P368" s="608"/>
      <c r="Q368" s="608"/>
      <c r="R368" s="608"/>
      <c r="T368" s="751"/>
      <c r="W368" s="696"/>
    </row>
    <row r="369" spans="1:23" outlineLevel="2">
      <c r="A369" s="376"/>
      <c r="B369" s="684" t="s">
        <v>265</v>
      </c>
      <c r="C369" s="685" t="s">
        <v>1444</v>
      </c>
      <c r="D369" s="684" t="s">
        <v>17</v>
      </c>
      <c r="E369" s="684"/>
      <c r="F369" s="685" t="s">
        <v>1444</v>
      </c>
      <c r="G369" s="691"/>
      <c r="H369" s="714">
        <f>SUBTOTAL(9,H370:H371)</f>
        <v>2</v>
      </c>
      <c r="I369" s="626"/>
      <c r="J369" s="751"/>
      <c r="L369" s="685"/>
      <c r="M369" s="685"/>
      <c r="N369" s="685"/>
      <c r="O369" s="685"/>
      <c r="P369" s="685"/>
      <c r="Q369" s="685"/>
      <c r="R369" s="685"/>
      <c r="T369" s="751"/>
      <c r="V369" s="691"/>
      <c r="W369" s="714">
        <f>SUBTOTAL(9,W370:W371)</f>
        <v>0</v>
      </c>
    </row>
    <row r="370" spans="1:23" outlineLevel="3">
      <c r="A370" s="376"/>
      <c r="B370" s="376" t="s">
        <v>265</v>
      </c>
      <c r="C370" s="387" t="s">
        <v>261</v>
      </c>
      <c r="D370" s="376" t="s">
        <v>17</v>
      </c>
      <c r="E370" s="376" t="s">
        <v>263</v>
      </c>
      <c r="F370" s="705" t="s">
        <v>1438</v>
      </c>
      <c r="G370" s="695"/>
      <c r="H370" s="696">
        <v>1</v>
      </c>
      <c r="I370" s="626"/>
      <c r="J370" s="751"/>
      <c r="L370" s="608" t="s">
        <v>263</v>
      </c>
      <c r="M370" s="608"/>
      <c r="N370" s="608"/>
      <c r="O370" s="608"/>
      <c r="P370" s="608"/>
      <c r="Q370" s="608"/>
      <c r="R370" s="608"/>
      <c r="T370" s="751"/>
      <c r="V370" s="695"/>
      <c r="W370" s="696"/>
    </row>
    <row r="371" spans="1:23" outlineLevel="3">
      <c r="A371" s="376"/>
      <c r="B371" s="376" t="s">
        <v>265</v>
      </c>
      <c r="C371" s="387" t="s">
        <v>261</v>
      </c>
      <c r="D371" s="376" t="s">
        <v>17</v>
      </c>
      <c r="E371" s="376" t="s">
        <v>263</v>
      </c>
      <c r="F371" s="705" t="s">
        <v>1439</v>
      </c>
      <c r="G371" s="695"/>
      <c r="H371" s="696">
        <v>1</v>
      </c>
      <c r="I371" s="626"/>
      <c r="J371" s="751"/>
      <c r="L371" s="608" t="s">
        <v>263</v>
      </c>
      <c r="M371" s="608"/>
      <c r="N371" s="608"/>
      <c r="O371" s="608"/>
      <c r="P371" s="608"/>
      <c r="Q371" s="608"/>
      <c r="R371" s="608"/>
      <c r="T371" s="751"/>
      <c r="V371" s="695"/>
      <c r="W371" s="696"/>
    </row>
    <row r="372" spans="1:23" outlineLevel="2">
      <c r="A372" s="376"/>
      <c r="B372" s="684" t="s">
        <v>265</v>
      </c>
      <c r="C372" s="685" t="s">
        <v>1445</v>
      </c>
      <c r="D372" s="684" t="s">
        <v>17</v>
      </c>
      <c r="E372" s="684"/>
      <c r="F372" s="685" t="s">
        <v>1445</v>
      </c>
      <c r="G372" s="691"/>
      <c r="H372" s="714">
        <f>SUBTOTAL(9,H373:H374)</f>
        <v>2</v>
      </c>
      <c r="I372" s="626"/>
      <c r="J372" s="751"/>
      <c r="L372" s="685"/>
      <c r="M372" s="685"/>
      <c r="N372" s="685"/>
      <c r="O372" s="685"/>
      <c r="P372" s="685"/>
      <c r="Q372" s="685"/>
      <c r="R372" s="685"/>
      <c r="T372" s="751"/>
      <c r="V372" s="691"/>
      <c r="W372" s="714">
        <f>SUBTOTAL(9,W373:W374)</f>
        <v>0</v>
      </c>
    </row>
    <row r="373" spans="1:23" outlineLevel="3">
      <c r="A373" s="376"/>
      <c r="B373" s="376" t="s">
        <v>265</v>
      </c>
      <c r="C373" s="387" t="s">
        <v>261</v>
      </c>
      <c r="D373" s="376" t="s">
        <v>17</v>
      </c>
      <c r="E373" s="376" t="s">
        <v>263</v>
      </c>
      <c r="F373" s="705" t="s">
        <v>1438</v>
      </c>
      <c r="G373" s="695"/>
      <c r="H373" s="696">
        <v>1</v>
      </c>
      <c r="I373" s="626"/>
      <c r="J373" s="751"/>
      <c r="L373" s="608" t="s">
        <v>263</v>
      </c>
      <c r="M373" s="608"/>
      <c r="N373" s="608"/>
      <c r="O373" s="608"/>
      <c r="P373" s="608"/>
      <c r="Q373" s="608"/>
      <c r="R373" s="608"/>
      <c r="T373" s="751"/>
      <c r="V373" s="695"/>
      <c r="W373" s="696"/>
    </row>
    <row r="374" spans="1:23" outlineLevel="3">
      <c r="A374" s="376"/>
      <c r="B374" s="376" t="s">
        <v>265</v>
      </c>
      <c r="C374" s="387" t="s">
        <v>261</v>
      </c>
      <c r="D374" s="376" t="s">
        <v>17</v>
      </c>
      <c r="E374" s="376" t="s">
        <v>263</v>
      </c>
      <c r="F374" s="705" t="s">
        <v>1439</v>
      </c>
      <c r="G374" s="695"/>
      <c r="H374" s="696">
        <v>1</v>
      </c>
      <c r="I374" s="626"/>
      <c r="J374" s="751"/>
      <c r="L374" s="608" t="s">
        <v>263</v>
      </c>
      <c r="M374" s="608"/>
      <c r="N374" s="608"/>
      <c r="O374" s="608"/>
      <c r="P374" s="608"/>
      <c r="Q374" s="608"/>
      <c r="R374" s="608"/>
      <c r="T374" s="751"/>
      <c r="V374" s="695"/>
      <c r="W374" s="696"/>
    </row>
    <row r="375" spans="1:23" outlineLevel="2">
      <c r="A375" s="376"/>
      <c r="B375" s="684" t="s">
        <v>267</v>
      </c>
      <c r="C375" s="685" t="s">
        <v>1446</v>
      </c>
      <c r="D375" s="684" t="s">
        <v>17</v>
      </c>
      <c r="E375" s="684"/>
      <c r="F375" s="685" t="s">
        <v>1446</v>
      </c>
      <c r="G375" s="691"/>
      <c r="H375" s="714">
        <f>SUBTOTAL(9,H376:H378)</f>
        <v>3</v>
      </c>
      <c r="I375" s="626"/>
      <c r="J375" s="751"/>
      <c r="L375" s="685"/>
      <c r="M375" s="685"/>
      <c r="N375" s="685"/>
      <c r="O375" s="685"/>
      <c r="P375" s="685"/>
      <c r="Q375" s="685"/>
      <c r="R375" s="685"/>
      <c r="T375" s="751"/>
      <c r="V375" s="691"/>
      <c r="W375" s="714">
        <f>SUBTOTAL(9,W376:W378)</f>
        <v>0</v>
      </c>
    </row>
    <row r="376" spans="1:23" outlineLevel="3">
      <c r="A376" s="376"/>
      <c r="B376" s="376" t="s">
        <v>267</v>
      </c>
      <c r="C376" s="387" t="s">
        <v>261</v>
      </c>
      <c r="D376" s="376" t="s">
        <v>17</v>
      </c>
      <c r="E376" s="376" t="s">
        <v>263</v>
      </c>
      <c r="F376" s="705" t="s">
        <v>1438</v>
      </c>
      <c r="G376" s="695"/>
      <c r="H376" s="696">
        <v>1</v>
      </c>
      <c r="I376" s="626"/>
      <c r="J376" s="751"/>
      <c r="L376" s="608" t="s">
        <v>263</v>
      </c>
      <c r="M376" s="608"/>
      <c r="N376" s="608"/>
      <c r="O376" s="608"/>
      <c r="P376" s="608"/>
      <c r="Q376" s="608"/>
      <c r="R376" s="608"/>
      <c r="T376" s="751"/>
      <c r="V376" s="695"/>
      <c r="W376" s="696"/>
    </row>
    <row r="377" spans="1:23" outlineLevel="3">
      <c r="A377" s="376"/>
      <c r="B377" s="376" t="s">
        <v>267</v>
      </c>
      <c r="C377" s="387" t="s">
        <v>261</v>
      </c>
      <c r="D377" s="376" t="s">
        <v>17</v>
      </c>
      <c r="E377" s="376" t="s">
        <v>263</v>
      </c>
      <c r="F377" s="705" t="s">
        <v>1439</v>
      </c>
      <c r="G377" s="695"/>
      <c r="H377" s="696">
        <v>1</v>
      </c>
      <c r="I377" s="626"/>
      <c r="J377" s="751"/>
      <c r="L377" s="608" t="s">
        <v>263</v>
      </c>
      <c r="M377" s="608"/>
      <c r="N377" s="608"/>
      <c r="O377" s="608"/>
      <c r="P377" s="608"/>
      <c r="Q377" s="608"/>
      <c r="R377" s="608"/>
      <c r="T377" s="751"/>
      <c r="V377" s="695"/>
      <c r="W377" s="696"/>
    </row>
    <row r="378" spans="1:23" s="731" customFormat="1" outlineLevel="3">
      <c r="A378" s="376"/>
      <c r="B378" s="376" t="s">
        <v>267</v>
      </c>
      <c r="C378" s="387" t="s">
        <v>261</v>
      </c>
      <c r="D378" s="376" t="s">
        <v>17</v>
      </c>
      <c r="E378" s="376" t="s">
        <v>263</v>
      </c>
      <c r="F378" s="705" t="s">
        <v>1440</v>
      </c>
      <c r="G378" s="609"/>
      <c r="H378" s="726">
        <v>1</v>
      </c>
      <c r="I378" s="626"/>
      <c r="J378" s="751"/>
      <c r="K378" s="416"/>
      <c r="L378" s="608" t="s">
        <v>263</v>
      </c>
      <c r="M378" s="608"/>
      <c r="N378" s="608"/>
      <c r="O378" s="608"/>
      <c r="P378" s="608"/>
      <c r="Q378" s="608"/>
      <c r="R378" s="608"/>
      <c r="S378" s="416"/>
      <c r="T378" s="751"/>
      <c r="U378" s="416"/>
      <c r="V378" s="609"/>
      <c r="W378" s="726"/>
    </row>
    <row r="379" spans="1:23" outlineLevel="2">
      <c r="A379" s="376"/>
      <c r="B379" s="684" t="s">
        <v>267</v>
      </c>
      <c r="C379" s="685" t="s">
        <v>1447</v>
      </c>
      <c r="D379" s="684" t="s">
        <v>17</v>
      </c>
      <c r="E379" s="684"/>
      <c r="F379" s="685" t="s">
        <v>1447</v>
      </c>
      <c r="G379" s="691"/>
      <c r="H379" s="714">
        <f>SUBTOTAL(9,H380:H382)</f>
        <v>3</v>
      </c>
      <c r="I379" s="626"/>
      <c r="J379" s="751"/>
      <c r="L379" s="685"/>
      <c r="M379" s="685"/>
      <c r="N379" s="685"/>
      <c r="O379" s="685"/>
      <c r="P379" s="685"/>
      <c r="Q379" s="685"/>
      <c r="R379" s="685"/>
      <c r="T379" s="751"/>
      <c r="V379" s="691"/>
      <c r="W379" s="714">
        <f>SUBTOTAL(9,W380:W382)</f>
        <v>0</v>
      </c>
    </row>
    <row r="380" spans="1:23" outlineLevel="3">
      <c r="A380" s="376"/>
      <c r="B380" s="376" t="s">
        <v>267</v>
      </c>
      <c r="C380" s="387" t="s">
        <v>261</v>
      </c>
      <c r="D380" s="376" t="s">
        <v>17</v>
      </c>
      <c r="E380" s="376" t="s">
        <v>263</v>
      </c>
      <c r="F380" s="705" t="s">
        <v>1438</v>
      </c>
      <c r="G380" s="695"/>
      <c r="H380" s="696">
        <v>1</v>
      </c>
      <c r="I380" s="626"/>
      <c r="J380" s="751"/>
      <c r="L380" s="608" t="s">
        <v>263</v>
      </c>
      <c r="M380" s="608"/>
      <c r="N380" s="608"/>
      <c r="O380" s="608"/>
      <c r="P380" s="608"/>
      <c r="Q380" s="608"/>
      <c r="R380" s="608"/>
      <c r="T380" s="751"/>
      <c r="V380" s="695"/>
      <c r="W380" s="696"/>
    </row>
    <row r="381" spans="1:23" outlineLevel="3">
      <c r="A381" s="376"/>
      <c r="B381" s="376" t="s">
        <v>267</v>
      </c>
      <c r="C381" s="387" t="s">
        <v>261</v>
      </c>
      <c r="D381" s="376" t="s">
        <v>17</v>
      </c>
      <c r="E381" s="376" t="s">
        <v>263</v>
      </c>
      <c r="F381" s="705" t="s">
        <v>1439</v>
      </c>
      <c r="G381" s="695"/>
      <c r="H381" s="696">
        <v>1</v>
      </c>
      <c r="I381" s="626"/>
      <c r="J381" s="751"/>
      <c r="L381" s="608" t="s">
        <v>263</v>
      </c>
      <c r="M381" s="608"/>
      <c r="N381" s="608"/>
      <c r="O381" s="608"/>
      <c r="P381" s="608"/>
      <c r="Q381" s="608"/>
      <c r="R381" s="608"/>
      <c r="T381" s="751"/>
      <c r="V381" s="695"/>
      <c r="W381" s="696"/>
    </row>
    <row r="382" spans="1:23" s="731" customFormat="1" outlineLevel="3">
      <c r="A382" s="376"/>
      <c r="B382" s="376" t="s">
        <v>267</v>
      </c>
      <c r="C382" s="387" t="s">
        <v>261</v>
      </c>
      <c r="D382" s="376" t="s">
        <v>17</v>
      </c>
      <c r="E382" s="376" t="s">
        <v>263</v>
      </c>
      <c r="F382" s="705" t="s">
        <v>1440</v>
      </c>
      <c r="G382" s="609"/>
      <c r="H382" s="726">
        <v>1</v>
      </c>
      <c r="I382" s="626"/>
      <c r="J382" s="751"/>
      <c r="K382" s="416"/>
      <c r="L382" s="608" t="s">
        <v>263</v>
      </c>
      <c r="M382" s="608"/>
      <c r="N382" s="608"/>
      <c r="O382" s="608"/>
      <c r="P382" s="608"/>
      <c r="Q382" s="608"/>
      <c r="R382" s="608"/>
      <c r="S382" s="416"/>
      <c r="T382" s="751"/>
      <c r="U382" s="416"/>
      <c r="V382" s="609"/>
      <c r="W382" s="726"/>
    </row>
    <row r="383" spans="1:23" ht="18" customHeight="1" outlineLevel="2">
      <c r="A383" s="376"/>
      <c r="B383" s="684" t="s">
        <v>269</v>
      </c>
      <c r="C383" s="685" t="s">
        <v>1448</v>
      </c>
      <c r="D383" s="684" t="s">
        <v>17</v>
      </c>
      <c r="E383" s="684"/>
      <c r="F383" s="685" t="s">
        <v>1448</v>
      </c>
      <c r="G383" s="691"/>
      <c r="H383" s="730">
        <f>SUBTOTAL(9,H384)</f>
        <v>1</v>
      </c>
      <c r="I383" s="626"/>
      <c r="J383" s="751"/>
      <c r="L383" s="685"/>
      <c r="M383" s="685"/>
      <c r="N383" s="685"/>
      <c r="O383" s="685"/>
      <c r="P383" s="685"/>
      <c r="Q383" s="685"/>
      <c r="R383" s="685"/>
      <c r="T383" s="751"/>
      <c r="V383" s="691"/>
      <c r="W383" s="730">
        <f>SUBTOTAL(9,W384)</f>
        <v>0</v>
      </c>
    </row>
    <row r="384" spans="1:23" outlineLevel="3">
      <c r="A384" s="376"/>
      <c r="B384" s="376" t="s">
        <v>269</v>
      </c>
      <c r="C384" s="387" t="s">
        <v>261</v>
      </c>
      <c r="D384" s="376" t="s">
        <v>17</v>
      </c>
      <c r="E384" s="376" t="s">
        <v>263</v>
      </c>
      <c r="F384" s="705" t="s">
        <v>1438</v>
      </c>
      <c r="G384" s="695"/>
      <c r="H384" s="696">
        <v>1</v>
      </c>
      <c r="I384" s="626"/>
      <c r="J384" s="751"/>
      <c r="L384" s="608" t="s">
        <v>263</v>
      </c>
      <c r="M384" s="608"/>
      <c r="N384" s="608"/>
      <c r="O384" s="608"/>
      <c r="P384" s="608"/>
      <c r="Q384" s="608"/>
      <c r="R384" s="608"/>
      <c r="T384" s="751"/>
      <c r="V384" s="695"/>
      <c r="W384" s="696"/>
    </row>
    <row r="385" spans="1:23" outlineLevel="2">
      <c r="A385" s="376"/>
      <c r="B385" s="684" t="s">
        <v>271</v>
      </c>
      <c r="C385" s="684" t="s">
        <v>1449</v>
      </c>
      <c r="D385" s="684" t="s">
        <v>17</v>
      </c>
      <c r="E385" s="684"/>
      <c r="F385" s="685" t="s">
        <v>1449</v>
      </c>
      <c r="G385" s="686"/>
      <c r="H385" s="714">
        <f>SUBTOTAL(9,H386:H387)</f>
        <v>2</v>
      </c>
      <c r="I385" s="626"/>
      <c r="J385" s="751"/>
      <c r="L385" s="685"/>
      <c r="M385" s="685"/>
      <c r="N385" s="685"/>
      <c r="O385" s="685"/>
      <c r="P385" s="685"/>
      <c r="Q385" s="685"/>
      <c r="R385" s="685"/>
      <c r="T385" s="751"/>
      <c r="V385" s="686"/>
      <c r="W385" s="714">
        <f>SUBTOTAL(9,W386:W387)</f>
        <v>0</v>
      </c>
    </row>
    <row r="386" spans="1:23" outlineLevel="3">
      <c r="A386" s="376"/>
      <c r="B386" s="376" t="s">
        <v>271</v>
      </c>
      <c r="C386" s="387" t="s">
        <v>261</v>
      </c>
      <c r="D386" s="376" t="s">
        <v>17</v>
      </c>
      <c r="E386" s="376" t="s">
        <v>263</v>
      </c>
      <c r="F386" s="705" t="s">
        <v>1438</v>
      </c>
      <c r="H386" s="726">
        <v>1</v>
      </c>
      <c r="I386" s="626"/>
      <c r="J386" s="751"/>
      <c r="L386" s="608" t="s">
        <v>263</v>
      </c>
      <c r="M386" s="608"/>
      <c r="N386" s="608"/>
      <c r="O386" s="608"/>
      <c r="P386" s="608"/>
      <c r="Q386" s="608"/>
      <c r="R386" s="608"/>
      <c r="T386" s="751"/>
      <c r="W386" s="726"/>
    </row>
    <row r="387" spans="1:23" outlineLevel="3">
      <c r="A387" s="376"/>
      <c r="B387" s="376" t="s">
        <v>271</v>
      </c>
      <c r="C387" s="387" t="s">
        <v>261</v>
      </c>
      <c r="D387" s="376" t="s">
        <v>17</v>
      </c>
      <c r="E387" s="376" t="s">
        <v>263</v>
      </c>
      <c r="F387" s="705" t="s">
        <v>1439</v>
      </c>
      <c r="H387" s="726">
        <v>1</v>
      </c>
      <c r="I387" s="626"/>
      <c r="J387" s="751"/>
      <c r="L387" s="608" t="s">
        <v>263</v>
      </c>
      <c r="M387" s="608"/>
      <c r="N387" s="608"/>
      <c r="O387" s="608"/>
      <c r="P387" s="608"/>
      <c r="Q387" s="608"/>
      <c r="R387" s="608"/>
      <c r="T387" s="751"/>
      <c r="W387" s="726"/>
    </row>
    <row r="388" spans="1:23" outlineLevel="2">
      <c r="A388" s="376"/>
      <c r="B388" s="684" t="s">
        <v>271</v>
      </c>
      <c r="C388" s="684" t="s">
        <v>1450</v>
      </c>
      <c r="D388" s="684" t="s">
        <v>17</v>
      </c>
      <c r="E388" s="684"/>
      <c r="F388" s="685" t="s">
        <v>1450</v>
      </c>
      <c r="G388" s="686"/>
      <c r="H388" s="714">
        <f>SUBTOTAL(9,H389:H390)</f>
        <v>2</v>
      </c>
      <c r="I388" s="626"/>
      <c r="J388" s="751"/>
      <c r="L388" s="685"/>
      <c r="M388" s="685"/>
      <c r="N388" s="685"/>
      <c r="O388" s="685"/>
      <c r="P388" s="685"/>
      <c r="Q388" s="685"/>
      <c r="R388" s="685"/>
      <c r="T388" s="751"/>
      <c r="V388" s="686"/>
      <c r="W388" s="714">
        <f>SUBTOTAL(9,W389:W390)</f>
        <v>0</v>
      </c>
    </row>
    <row r="389" spans="1:23" outlineLevel="3">
      <c r="A389" s="376"/>
      <c r="B389" s="376" t="s">
        <v>271</v>
      </c>
      <c r="C389" s="387" t="s">
        <v>261</v>
      </c>
      <c r="D389" s="376" t="s">
        <v>17</v>
      </c>
      <c r="E389" s="376" t="s">
        <v>263</v>
      </c>
      <c r="F389" s="705" t="s">
        <v>1438</v>
      </c>
      <c r="G389" s="609"/>
      <c r="H389" s="726">
        <v>1</v>
      </c>
      <c r="I389" s="626"/>
      <c r="J389" s="751"/>
      <c r="L389" s="608" t="s">
        <v>263</v>
      </c>
      <c r="M389" s="608"/>
      <c r="N389" s="608"/>
      <c r="O389" s="608"/>
      <c r="P389" s="608"/>
      <c r="Q389" s="608"/>
      <c r="R389" s="608"/>
      <c r="T389" s="751"/>
      <c r="V389" s="609"/>
      <c r="W389" s="726"/>
    </row>
    <row r="390" spans="1:23" outlineLevel="3">
      <c r="A390" s="376"/>
      <c r="B390" s="376" t="s">
        <v>271</v>
      </c>
      <c r="C390" s="387" t="s">
        <v>261</v>
      </c>
      <c r="D390" s="376" t="s">
        <v>17</v>
      </c>
      <c r="E390" s="376" t="s">
        <v>263</v>
      </c>
      <c r="F390" s="705" t="s">
        <v>1439</v>
      </c>
      <c r="G390" s="609"/>
      <c r="H390" s="726">
        <v>1</v>
      </c>
      <c r="I390" s="626"/>
      <c r="J390" s="751"/>
      <c r="L390" s="608" t="s">
        <v>263</v>
      </c>
      <c r="M390" s="608"/>
      <c r="N390" s="608"/>
      <c r="O390" s="608"/>
      <c r="P390" s="608"/>
      <c r="Q390" s="608"/>
      <c r="R390" s="608"/>
      <c r="T390" s="751"/>
      <c r="V390" s="609"/>
      <c r="W390" s="726"/>
    </row>
    <row r="391" spans="1:23" outlineLevel="1">
      <c r="A391" s="376"/>
      <c r="B391" s="667" t="s">
        <v>274</v>
      </c>
      <c r="C391" s="665" t="s">
        <v>275</v>
      </c>
      <c r="D391" s="665"/>
      <c r="E391" s="665"/>
      <c r="F391" s="681"/>
      <c r="G391" s="724">
        <f>SUBTOTAL(9,G392:G393)</f>
        <v>0.44</v>
      </c>
      <c r="H391" s="725">
        <f>SUBTOTAL(9,H392:H393)</f>
        <v>2</v>
      </c>
      <c r="I391" s="626"/>
      <c r="J391" s="751"/>
      <c r="L391" s="681"/>
      <c r="M391" s="681"/>
      <c r="N391" s="681"/>
      <c r="O391" s="681"/>
      <c r="P391" s="681"/>
      <c r="Q391" s="681"/>
      <c r="R391" s="681"/>
      <c r="T391" s="751"/>
      <c r="V391" s="724">
        <f>SUBTOTAL(9,V392:V393)</f>
        <v>0</v>
      </c>
      <c r="W391" s="725">
        <f>SUBTOTAL(9,W392:W393)</f>
        <v>0</v>
      </c>
    </row>
    <row r="392" spans="1:23" outlineLevel="2">
      <c r="A392" s="376"/>
      <c r="B392" s="376" t="s">
        <v>91</v>
      </c>
      <c r="C392" s="376" t="s">
        <v>92</v>
      </c>
      <c r="D392" s="376" t="s">
        <v>25</v>
      </c>
      <c r="E392" s="376" t="s">
        <v>26</v>
      </c>
      <c r="F392" s="608" t="s">
        <v>1451</v>
      </c>
      <c r="G392" s="695">
        <v>0.4</v>
      </c>
      <c r="H392" s="700">
        <v>1</v>
      </c>
      <c r="I392" s="626"/>
      <c r="J392" s="751"/>
      <c r="L392" s="608" t="s">
        <v>26</v>
      </c>
      <c r="M392" s="608" t="s">
        <v>1272</v>
      </c>
      <c r="N392" s="608" t="s">
        <v>1452</v>
      </c>
      <c r="O392" s="608"/>
      <c r="P392" s="608" t="s">
        <v>1274</v>
      </c>
      <c r="Q392" s="608"/>
      <c r="R392" s="608"/>
      <c r="T392" s="751"/>
      <c r="V392" s="609">
        <f t="shared" ref="V392:V393" si="62">IF(W392=1,G392,0)</f>
        <v>0</v>
      </c>
      <c r="W392" s="700"/>
    </row>
    <row r="393" spans="1:23" outlineLevel="2">
      <c r="A393" s="732" t="s">
        <v>277</v>
      </c>
      <c r="B393" s="732" t="s">
        <v>278</v>
      </c>
      <c r="C393" s="732" t="s">
        <v>279</v>
      </c>
      <c r="D393" s="732" t="s">
        <v>25</v>
      </c>
      <c r="E393" s="732" t="s">
        <v>26</v>
      </c>
      <c r="F393" s="733" t="s">
        <v>1453</v>
      </c>
      <c r="G393" s="734">
        <v>0.04</v>
      </c>
      <c r="H393" s="735">
        <v>1</v>
      </c>
      <c r="I393" s="736"/>
      <c r="J393" s="756"/>
      <c r="K393" s="737"/>
      <c r="L393" s="733" t="s">
        <v>26</v>
      </c>
      <c r="M393" s="733" t="s">
        <v>1454</v>
      </c>
      <c r="N393" s="733" t="s">
        <v>1351</v>
      </c>
      <c r="O393" s="733"/>
      <c r="P393" s="733" t="s">
        <v>1389</v>
      </c>
      <c r="Q393" s="733"/>
      <c r="R393" s="733"/>
      <c r="S393" s="737"/>
      <c r="T393" s="756"/>
      <c r="U393" s="737"/>
      <c r="V393" s="609">
        <f t="shared" si="62"/>
        <v>0</v>
      </c>
      <c r="W393" s="735"/>
    </row>
    <row r="394" spans="1:23" ht="3" customHeight="1" outlineLevel="1">
      <c r="A394" s="376"/>
      <c r="B394" s="392"/>
      <c r="C394" s="376"/>
      <c r="D394" s="392"/>
      <c r="E394" s="392"/>
      <c r="F394" s="608"/>
      <c r="G394" s="695"/>
      <c r="H394" s="700"/>
      <c r="I394" s="626"/>
      <c r="J394" s="751"/>
      <c r="L394" s="759"/>
      <c r="M394" s="759"/>
      <c r="N394" s="759"/>
      <c r="O394" s="759"/>
      <c r="P394" s="759"/>
      <c r="Q394" s="759"/>
      <c r="R394" s="759"/>
      <c r="T394" s="751"/>
      <c r="V394" s="695"/>
      <c r="W394" s="700"/>
    </row>
    <row r="395" spans="1:23" ht="15">
      <c r="A395" s="376"/>
      <c r="B395" s="430" t="s">
        <v>280</v>
      </c>
      <c r="C395" s="430"/>
      <c r="D395" s="430"/>
      <c r="E395" s="430"/>
      <c r="F395" s="697"/>
      <c r="G395" s="738">
        <f>SUBTOTAL(9,G397:G653)</f>
        <v>120.03613465041319</v>
      </c>
      <c r="H395" s="739">
        <f>SUBTOTAL(9,H397:H653)</f>
        <v>97</v>
      </c>
      <c r="I395" s="626"/>
      <c r="J395" s="751"/>
      <c r="L395" s="697"/>
      <c r="M395" s="697"/>
      <c r="N395" s="697"/>
      <c r="O395" s="697"/>
      <c r="P395" s="697"/>
      <c r="Q395" s="697"/>
      <c r="R395" s="697"/>
      <c r="T395" s="751"/>
      <c r="V395" s="738">
        <f>SUBTOTAL(9,V397:V653)</f>
        <v>0</v>
      </c>
      <c r="W395" s="739">
        <f>SUBTOTAL(9,W397:W653)</f>
        <v>0</v>
      </c>
    </row>
    <row r="396" spans="1:23" ht="3" customHeight="1" outlineLevel="1">
      <c r="A396" s="376"/>
      <c r="B396" s="376"/>
      <c r="C396" s="376"/>
      <c r="D396" s="376"/>
      <c r="E396" s="376"/>
      <c r="F396" s="608"/>
      <c r="G396" s="609"/>
      <c r="H396" s="692"/>
      <c r="I396" s="626"/>
      <c r="J396" s="751"/>
      <c r="L396" s="608"/>
      <c r="M396" s="608"/>
      <c r="N396" s="608"/>
      <c r="O396" s="608"/>
      <c r="P396" s="608"/>
      <c r="Q396" s="608"/>
      <c r="R396" s="608"/>
      <c r="T396" s="751"/>
      <c r="V396" s="609"/>
      <c r="W396" s="692"/>
    </row>
    <row r="397" spans="1:23" outlineLevel="1">
      <c r="A397" s="376"/>
      <c r="B397" s="665" t="s">
        <v>281</v>
      </c>
      <c r="C397" s="665" t="s">
        <v>70</v>
      </c>
      <c r="D397" s="665"/>
      <c r="E397" s="665"/>
      <c r="F397" s="681" t="s">
        <v>262</v>
      </c>
      <c r="G397" s="724">
        <f>SUBTOTAL(9,G398:G411)</f>
        <v>1.35</v>
      </c>
      <c r="H397" s="725">
        <f>SUBTOTAL(9,H398:H411)</f>
        <v>5</v>
      </c>
      <c r="I397" s="626"/>
      <c r="J397" s="751"/>
      <c r="L397" s="681"/>
      <c r="M397" s="681"/>
      <c r="N397" s="681"/>
      <c r="O397" s="681"/>
      <c r="P397" s="681"/>
      <c r="Q397" s="681"/>
      <c r="R397" s="681"/>
      <c r="T397" s="751"/>
      <c r="V397" s="724">
        <f>SUBTOTAL(9,V398:V411)</f>
        <v>0</v>
      </c>
      <c r="W397" s="725">
        <f>SUBTOTAL(9,W398:W411)</f>
        <v>0</v>
      </c>
    </row>
    <row r="398" spans="1:23" outlineLevel="2">
      <c r="A398" s="376"/>
      <c r="B398" s="684" t="s">
        <v>281</v>
      </c>
      <c r="C398" s="684" t="s">
        <v>70</v>
      </c>
      <c r="D398" s="684" t="s">
        <v>17</v>
      </c>
      <c r="E398" s="684"/>
      <c r="F398" s="685" t="s">
        <v>1455</v>
      </c>
      <c r="G398" s="686">
        <f>SUBTOTAL(9,G399:G403)</f>
        <v>1.35</v>
      </c>
      <c r="H398" s="691">
        <f>SUBTOTAL(9,H399:H403)</f>
        <v>5</v>
      </c>
      <c r="I398" s="626"/>
      <c r="J398" s="751"/>
      <c r="L398" s="685"/>
      <c r="M398" s="685"/>
      <c r="N398" s="685"/>
      <c r="O398" s="685"/>
      <c r="P398" s="685"/>
      <c r="Q398" s="685"/>
      <c r="R398" s="685"/>
      <c r="T398" s="751"/>
      <c r="V398" s="686">
        <f>SUBTOTAL(9,V399:V403)</f>
        <v>0</v>
      </c>
      <c r="W398" s="691">
        <f>SUBTOTAL(9,W399:W403)</f>
        <v>0</v>
      </c>
    </row>
    <row r="399" spans="1:23" ht="26.4" outlineLevel="3">
      <c r="A399" s="376"/>
      <c r="B399" s="376" t="s">
        <v>281</v>
      </c>
      <c r="C399" s="376" t="s">
        <v>70</v>
      </c>
      <c r="D399" s="376" t="s">
        <v>17</v>
      </c>
      <c r="E399" s="376" t="s">
        <v>127</v>
      </c>
      <c r="F399" s="608" t="s">
        <v>418</v>
      </c>
      <c r="G399" s="609">
        <v>0.54</v>
      </c>
      <c r="H399" s="692">
        <v>1</v>
      </c>
      <c r="I399" s="626"/>
      <c r="J399" s="751"/>
      <c r="L399" s="608" t="s">
        <v>127</v>
      </c>
      <c r="M399" s="608" t="s">
        <v>1320</v>
      </c>
      <c r="N399" s="608" t="s">
        <v>1376</v>
      </c>
      <c r="O399" s="608" t="s">
        <v>1378</v>
      </c>
      <c r="P399" s="608"/>
      <c r="Q399" s="608"/>
      <c r="R399" s="608"/>
      <c r="T399" s="751"/>
      <c r="V399" s="609">
        <f t="shared" ref="V399:V403" si="63">IF(W399=1,G399,0)</f>
        <v>0</v>
      </c>
      <c r="W399" s="692"/>
    </row>
    <row r="400" spans="1:23" ht="26.4" outlineLevel="3">
      <c r="A400" s="376"/>
      <c r="B400" s="376" t="s">
        <v>281</v>
      </c>
      <c r="C400" s="376" t="s">
        <v>70</v>
      </c>
      <c r="D400" s="376" t="s">
        <v>17</v>
      </c>
      <c r="E400" s="376" t="s">
        <v>127</v>
      </c>
      <c r="F400" s="608" t="s">
        <v>236</v>
      </c>
      <c r="G400" s="609">
        <v>0.43</v>
      </c>
      <c r="H400" s="692">
        <v>1</v>
      </c>
      <c r="I400" s="626"/>
      <c r="J400" s="751"/>
      <c r="L400" s="608" t="s">
        <v>127</v>
      </c>
      <c r="M400" s="608" t="s">
        <v>1320</v>
      </c>
      <c r="N400" s="608" t="s">
        <v>1376</v>
      </c>
      <c r="O400" s="608" t="s">
        <v>1378</v>
      </c>
      <c r="P400" s="608"/>
      <c r="Q400" s="608"/>
      <c r="R400" s="608"/>
      <c r="T400" s="751"/>
      <c r="V400" s="609">
        <f t="shared" si="63"/>
        <v>0</v>
      </c>
      <c r="W400" s="692"/>
    </row>
    <row r="401" spans="1:23" ht="26.4" outlineLevel="3">
      <c r="A401" s="376"/>
      <c r="B401" s="376" t="s">
        <v>281</v>
      </c>
      <c r="C401" s="376" t="s">
        <v>70</v>
      </c>
      <c r="D401" s="376" t="s">
        <v>17</v>
      </c>
      <c r="E401" s="376" t="s">
        <v>127</v>
      </c>
      <c r="F401" s="608" t="s">
        <v>32</v>
      </c>
      <c r="G401" s="609">
        <v>0.21</v>
      </c>
      <c r="H401" s="692">
        <v>1</v>
      </c>
      <c r="I401" s="626"/>
      <c r="J401" s="751"/>
      <c r="L401" s="608" t="s">
        <v>127</v>
      </c>
      <c r="M401" s="608" t="s">
        <v>1320</v>
      </c>
      <c r="N401" s="608" t="s">
        <v>1376</v>
      </c>
      <c r="O401" s="608" t="s">
        <v>1378</v>
      </c>
      <c r="P401" s="608"/>
      <c r="Q401" s="608"/>
      <c r="R401" s="608"/>
      <c r="T401" s="751"/>
      <c r="V401" s="609">
        <f t="shared" si="63"/>
        <v>0</v>
      </c>
      <c r="W401" s="692"/>
    </row>
    <row r="402" spans="1:23" ht="26.4" outlineLevel="3">
      <c r="A402" s="376"/>
      <c r="B402" s="376" t="s">
        <v>281</v>
      </c>
      <c r="C402" s="376" t="s">
        <v>70</v>
      </c>
      <c r="D402" s="376" t="s">
        <v>17</v>
      </c>
      <c r="E402" s="376" t="s">
        <v>177</v>
      </c>
      <c r="F402" s="608" t="s">
        <v>370</v>
      </c>
      <c r="G402" s="609">
        <v>0.11</v>
      </c>
      <c r="H402" s="692">
        <v>1</v>
      </c>
      <c r="I402" s="626"/>
      <c r="J402" s="751"/>
      <c r="L402" s="608" t="s">
        <v>177</v>
      </c>
      <c r="M402" s="608" t="s">
        <v>1320</v>
      </c>
      <c r="N402" s="608" t="s">
        <v>1376</v>
      </c>
      <c r="O402" s="608" t="s">
        <v>1378</v>
      </c>
      <c r="P402" s="608"/>
      <c r="Q402" s="608"/>
      <c r="R402" s="608"/>
      <c r="T402" s="751"/>
      <c r="V402" s="609">
        <f t="shared" si="63"/>
        <v>0</v>
      </c>
      <c r="W402" s="692"/>
    </row>
    <row r="403" spans="1:23" ht="26.4" outlineLevel="3">
      <c r="A403" s="376"/>
      <c r="B403" s="376" t="s">
        <v>281</v>
      </c>
      <c r="C403" s="376" t="s">
        <v>70</v>
      </c>
      <c r="D403" s="376" t="s">
        <v>17</v>
      </c>
      <c r="E403" s="376" t="s">
        <v>177</v>
      </c>
      <c r="F403" s="608" t="s">
        <v>287</v>
      </c>
      <c r="G403" s="609">
        <v>0.06</v>
      </c>
      <c r="H403" s="692">
        <v>1</v>
      </c>
      <c r="I403" s="626"/>
      <c r="J403" s="751"/>
      <c r="L403" s="608" t="s">
        <v>177</v>
      </c>
      <c r="M403" s="608" t="s">
        <v>1320</v>
      </c>
      <c r="N403" s="608" t="s">
        <v>1376</v>
      </c>
      <c r="O403" s="608" t="s">
        <v>1378</v>
      </c>
      <c r="P403" s="608"/>
      <c r="Q403" s="608"/>
      <c r="R403" s="608"/>
      <c r="T403" s="751"/>
      <c r="V403" s="609">
        <f t="shared" si="63"/>
        <v>0</v>
      </c>
      <c r="W403" s="692"/>
    </row>
    <row r="404" spans="1:23" outlineLevel="2">
      <c r="A404" s="376"/>
      <c r="B404" s="684" t="s">
        <v>281</v>
      </c>
      <c r="C404" s="684" t="s">
        <v>70</v>
      </c>
      <c r="D404" s="684" t="s">
        <v>25</v>
      </c>
      <c r="E404" s="684"/>
      <c r="F404" s="685" t="s">
        <v>1436</v>
      </c>
      <c r="G404" s="686">
        <f>SUBTOTAL(9,G405)</f>
        <v>0</v>
      </c>
      <c r="H404" s="691">
        <f>SUBTOTAL(9,H405)</f>
        <v>0</v>
      </c>
      <c r="I404" s="626"/>
      <c r="J404" s="751"/>
      <c r="L404" s="685"/>
      <c r="M404" s="685"/>
      <c r="N404" s="685"/>
      <c r="O404" s="685"/>
      <c r="P404" s="685"/>
      <c r="Q404" s="685"/>
      <c r="R404" s="685"/>
      <c r="T404" s="751"/>
      <c r="V404" s="686">
        <f>SUBTOTAL(9,V405)</f>
        <v>0</v>
      </c>
      <c r="W404" s="691">
        <f>SUBTOTAL(9,W405)</f>
        <v>0</v>
      </c>
    </row>
    <row r="405" spans="1:23" ht="66" outlineLevel="4">
      <c r="A405" s="376"/>
      <c r="B405" s="376" t="s">
        <v>281</v>
      </c>
      <c r="C405" s="376" t="s">
        <v>70</v>
      </c>
      <c r="D405" s="376" t="s">
        <v>25</v>
      </c>
      <c r="E405" s="376" t="s">
        <v>26</v>
      </c>
      <c r="F405" s="759" t="s">
        <v>236</v>
      </c>
      <c r="G405" s="609"/>
      <c r="H405" s="692"/>
      <c r="I405" s="626"/>
      <c r="J405" s="751"/>
      <c r="L405" s="608" t="s">
        <v>26</v>
      </c>
      <c r="M405" s="608" t="s">
        <v>1454</v>
      </c>
      <c r="N405" s="608" t="s">
        <v>1456</v>
      </c>
      <c r="O405" s="608"/>
      <c r="P405" s="608" t="s">
        <v>1381</v>
      </c>
      <c r="Q405" s="608"/>
      <c r="R405" s="608">
        <v>0</v>
      </c>
      <c r="T405" s="751"/>
      <c r="V405" s="609">
        <f t="shared" ref="V405" si="64">IF(W405=1,G405,0)</f>
        <v>0</v>
      </c>
      <c r="W405" s="692"/>
    </row>
    <row r="406" spans="1:23" outlineLevel="2">
      <c r="A406" s="376"/>
      <c r="B406" s="684" t="s">
        <v>281</v>
      </c>
      <c r="C406" s="684" t="s">
        <v>70</v>
      </c>
      <c r="D406" s="684" t="s">
        <v>27</v>
      </c>
      <c r="E406" s="684"/>
      <c r="F406" s="685" t="s">
        <v>1455</v>
      </c>
      <c r="G406" s="686">
        <f>SUBTOTAL(9,G407:G408)</f>
        <v>0</v>
      </c>
      <c r="H406" s="691">
        <f>SUBTOTAL(9,H407:H408)</f>
        <v>0</v>
      </c>
      <c r="I406" s="626"/>
      <c r="J406" s="751"/>
      <c r="L406" s="685"/>
      <c r="M406" s="685"/>
      <c r="N406" s="685"/>
      <c r="O406" s="685"/>
      <c r="P406" s="685"/>
      <c r="Q406" s="685"/>
      <c r="R406" s="685"/>
      <c r="T406" s="751"/>
      <c r="V406" s="686">
        <f>SUBTOTAL(9,V407:V408)</f>
        <v>0</v>
      </c>
      <c r="W406" s="691">
        <f>SUBTOTAL(9,W407:W408)</f>
        <v>0</v>
      </c>
    </row>
    <row r="407" spans="1:23" ht="39.6" outlineLevel="4">
      <c r="A407" s="376"/>
      <c r="B407" s="376" t="s">
        <v>281</v>
      </c>
      <c r="C407" s="376" t="s">
        <v>70</v>
      </c>
      <c r="D407" s="376" t="s">
        <v>27</v>
      </c>
      <c r="E407" s="376" t="s">
        <v>28</v>
      </c>
      <c r="F407" s="759" t="s">
        <v>236</v>
      </c>
      <c r="G407" s="609"/>
      <c r="H407" s="692"/>
      <c r="I407" s="626"/>
      <c r="J407" s="751"/>
      <c r="L407" s="608" t="s">
        <v>28</v>
      </c>
      <c r="M407" s="608" t="s">
        <v>1208</v>
      </c>
      <c r="N407" s="608" t="s">
        <v>1209</v>
      </c>
      <c r="O407" s="608" t="s">
        <v>1457</v>
      </c>
      <c r="P407" s="608"/>
      <c r="Q407" s="608"/>
      <c r="R407" s="608"/>
      <c r="T407" s="751"/>
      <c r="V407" s="609">
        <f t="shared" ref="V407:V408" si="65">IF(W407=1,G407,0)</f>
        <v>0</v>
      </c>
      <c r="W407" s="692"/>
    </row>
    <row r="408" spans="1:23" ht="39.6" outlineLevel="4">
      <c r="A408" s="376"/>
      <c r="B408" s="376" t="s">
        <v>281</v>
      </c>
      <c r="C408" s="376" t="s">
        <v>70</v>
      </c>
      <c r="D408" s="376" t="s">
        <v>27</v>
      </c>
      <c r="E408" s="376" t="s">
        <v>28</v>
      </c>
      <c r="F408" s="759" t="s">
        <v>32</v>
      </c>
      <c r="G408" s="609"/>
      <c r="H408" s="692"/>
      <c r="I408" s="626"/>
      <c r="J408" s="751"/>
      <c r="L408" s="608" t="s">
        <v>28</v>
      </c>
      <c r="M408" s="608" t="s">
        <v>1208</v>
      </c>
      <c r="N408" s="608" t="s">
        <v>1209</v>
      </c>
      <c r="O408" s="608" t="s">
        <v>1457</v>
      </c>
      <c r="P408" s="608"/>
      <c r="Q408" s="608"/>
      <c r="R408" s="608"/>
      <c r="T408" s="751"/>
      <c r="V408" s="609">
        <f t="shared" si="65"/>
        <v>0</v>
      </c>
      <c r="W408" s="692"/>
    </row>
    <row r="409" spans="1:23" outlineLevel="2">
      <c r="A409" s="376"/>
      <c r="B409" s="684" t="s">
        <v>281</v>
      </c>
      <c r="C409" s="684" t="s">
        <v>70</v>
      </c>
      <c r="D409" s="684" t="s">
        <v>58</v>
      </c>
      <c r="E409" s="684"/>
      <c r="F409" s="685" t="s">
        <v>1455</v>
      </c>
      <c r="G409" s="686">
        <f>SUBTOTAL(9,G410:G411)</f>
        <v>0</v>
      </c>
      <c r="H409" s="691">
        <f>SUBTOTAL(9,H410:H411)</f>
        <v>0</v>
      </c>
      <c r="I409" s="626"/>
      <c r="J409" s="751"/>
      <c r="L409" s="685"/>
      <c r="M409" s="685"/>
      <c r="N409" s="685"/>
      <c r="O409" s="685"/>
      <c r="P409" s="685"/>
      <c r="Q409" s="685"/>
      <c r="R409" s="685"/>
      <c r="T409" s="751"/>
      <c r="V409" s="686">
        <f>SUBTOTAL(9,V410:V411)</f>
        <v>0</v>
      </c>
      <c r="W409" s="691">
        <f>SUBTOTAL(9,W410:W411)</f>
        <v>0</v>
      </c>
    </row>
    <row r="410" spans="1:23" outlineLevel="4">
      <c r="A410" s="376"/>
      <c r="B410" s="376" t="s">
        <v>281</v>
      </c>
      <c r="C410" s="376" t="s">
        <v>70</v>
      </c>
      <c r="D410" s="376" t="s">
        <v>58</v>
      </c>
      <c r="E410" s="376" t="s">
        <v>28</v>
      </c>
      <c r="F410" s="759" t="s">
        <v>236</v>
      </c>
      <c r="G410" s="609"/>
      <c r="H410" s="692"/>
      <c r="I410" s="626"/>
      <c r="J410" s="751"/>
      <c r="L410" s="608" t="s">
        <v>28</v>
      </c>
      <c r="M410" s="608" t="s">
        <v>1236</v>
      </c>
      <c r="N410" s="608" t="s">
        <v>1282</v>
      </c>
      <c r="O410" s="608"/>
      <c r="P410" s="608"/>
      <c r="Q410" s="608"/>
      <c r="R410" s="608"/>
      <c r="T410" s="751"/>
      <c r="V410" s="609">
        <f t="shared" ref="V410:V411" si="66">IF(W410=1,G410,0)</f>
        <v>0</v>
      </c>
      <c r="W410" s="692"/>
    </row>
    <row r="411" spans="1:23" outlineLevel="4">
      <c r="A411" s="376"/>
      <c r="B411" s="376" t="s">
        <v>281</v>
      </c>
      <c r="C411" s="376" t="s">
        <v>70</v>
      </c>
      <c r="D411" s="376" t="s">
        <v>58</v>
      </c>
      <c r="E411" s="376" t="s">
        <v>28</v>
      </c>
      <c r="F411" s="759" t="s">
        <v>32</v>
      </c>
      <c r="G411" s="609"/>
      <c r="H411" s="692"/>
      <c r="I411" s="626"/>
      <c r="J411" s="751"/>
      <c r="L411" s="608" t="s">
        <v>28</v>
      </c>
      <c r="M411" s="608" t="s">
        <v>1236</v>
      </c>
      <c r="N411" s="608" t="s">
        <v>1282</v>
      </c>
      <c r="O411" s="608"/>
      <c r="P411" s="608"/>
      <c r="Q411" s="608"/>
      <c r="R411" s="608"/>
      <c r="T411" s="751"/>
      <c r="V411" s="609">
        <f t="shared" si="66"/>
        <v>0</v>
      </c>
      <c r="W411" s="692"/>
    </row>
    <row r="412" spans="1:23" outlineLevel="1">
      <c r="A412" s="376"/>
      <c r="B412" s="665" t="s">
        <v>289</v>
      </c>
      <c r="C412" s="665" t="s">
        <v>29</v>
      </c>
      <c r="D412" s="665"/>
      <c r="E412" s="665"/>
      <c r="F412" s="681" t="s">
        <v>262</v>
      </c>
      <c r="G412" s="724">
        <f>SUBTOTAL(9,G413:G421)</f>
        <v>0.24728000000000006</v>
      </c>
      <c r="H412" s="725">
        <f>SUBTOTAL(9,H413:H421)</f>
        <v>1</v>
      </c>
      <c r="I412" s="626"/>
      <c r="J412" s="751"/>
      <c r="L412" s="681"/>
      <c r="M412" s="681"/>
      <c r="N412" s="681"/>
      <c r="O412" s="681"/>
      <c r="P412" s="681"/>
      <c r="Q412" s="681"/>
      <c r="R412" s="681"/>
      <c r="T412" s="751"/>
      <c r="V412" s="724">
        <f>SUBTOTAL(9,V413:V421)</f>
        <v>0</v>
      </c>
      <c r="W412" s="725">
        <f>SUBTOTAL(9,W413:W421)</f>
        <v>0</v>
      </c>
    </row>
    <row r="413" spans="1:23" ht="79.2" outlineLevel="2">
      <c r="A413" s="376"/>
      <c r="B413" s="684" t="s">
        <v>289</v>
      </c>
      <c r="C413" s="684" t="s">
        <v>29</v>
      </c>
      <c r="D413" s="684" t="s">
        <v>17</v>
      </c>
      <c r="E413" s="684"/>
      <c r="F413" s="685" t="s">
        <v>1458</v>
      </c>
      <c r="G413" s="686">
        <f>SUBTOTAL(9,G414:G415)</f>
        <v>0.24728000000000006</v>
      </c>
      <c r="H413" s="691">
        <f>SUBTOTAL(9,H414:H415)</f>
        <v>1</v>
      </c>
      <c r="I413" s="626"/>
      <c r="J413" s="751"/>
      <c r="L413" s="685"/>
      <c r="M413" s="685" t="s">
        <v>1459</v>
      </c>
      <c r="N413" s="685"/>
      <c r="O413" s="685"/>
      <c r="P413" s="685"/>
      <c r="Q413" s="685"/>
      <c r="R413" s="685"/>
      <c r="T413" s="751"/>
      <c r="V413" s="686">
        <f>SUBTOTAL(9,V414:V415)</f>
        <v>0</v>
      </c>
      <c r="W413" s="691">
        <f>SUBTOTAL(9,W414:W415)</f>
        <v>0</v>
      </c>
    </row>
    <row r="414" spans="1:23" outlineLevel="3">
      <c r="A414" s="376"/>
      <c r="B414" s="376" t="s">
        <v>289</v>
      </c>
      <c r="C414" s="376" t="s">
        <v>29</v>
      </c>
      <c r="D414" s="376" t="s">
        <v>17</v>
      </c>
      <c r="E414" s="376" t="s">
        <v>64</v>
      </c>
      <c r="F414" s="608" t="s">
        <v>418</v>
      </c>
      <c r="G414" s="609">
        <v>0.24728000000000006</v>
      </c>
      <c r="H414" s="692">
        <v>1</v>
      </c>
      <c r="I414" s="626"/>
      <c r="J414" s="751"/>
      <c r="L414" s="608" t="s">
        <v>177</v>
      </c>
      <c r="M414" s="608"/>
      <c r="N414" s="608"/>
      <c r="O414" s="608"/>
      <c r="P414" s="608"/>
      <c r="Q414" s="608"/>
      <c r="R414" s="608"/>
      <c r="T414" s="751"/>
      <c r="V414" s="609">
        <f t="shared" ref="V414:V415" si="67">IF(W414=1,G414,0)</f>
        <v>0</v>
      </c>
      <c r="W414" s="692"/>
    </row>
    <row r="415" spans="1:23" outlineLevel="3">
      <c r="A415" s="376"/>
      <c r="B415" s="376" t="s">
        <v>289</v>
      </c>
      <c r="C415" s="376" t="s">
        <v>29</v>
      </c>
      <c r="D415" s="376" t="s">
        <v>17</v>
      </c>
      <c r="E415" s="376" t="s">
        <v>64</v>
      </c>
      <c r="F415" s="759" t="s">
        <v>236</v>
      </c>
      <c r="G415" s="609"/>
      <c r="H415" s="692"/>
      <c r="I415" s="626"/>
      <c r="J415" s="751"/>
      <c r="L415" s="608" t="s">
        <v>177</v>
      </c>
      <c r="M415" s="608"/>
      <c r="N415" s="608"/>
      <c r="O415" s="608"/>
      <c r="P415" s="608"/>
      <c r="Q415" s="608"/>
      <c r="R415" s="608"/>
      <c r="T415" s="751"/>
      <c r="V415" s="609">
        <f t="shared" si="67"/>
        <v>0</v>
      </c>
      <c r="W415" s="692"/>
    </row>
    <row r="416" spans="1:23" outlineLevel="2">
      <c r="A416" s="376"/>
      <c r="B416" s="684" t="s">
        <v>289</v>
      </c>
      <c r="C416" s="684" t="s">
        <v>29</v>
      </c>
      <c r="D416" s="684" t="s">
        <v>25</v>
      </c>
      <c r="E416" s="684"/>
      <c r="F416" s="685" t="s">
        <v>1460</v>
      </c>
      <c r="G416" s="686">
        <f>SUBTOTAL(9,G417)</f>
        <v>0</v>
      </c>
      <c r="H416" s="691">
        <f>SUBTOTAL(9,H417)</f>
        <v>0</v>
      </c>
      <c r="I416" s="626"/>
      <c r="J416" s="751"/>
      <c r="L416" s="685"/>
      <c r="M416" s="685"/>
      <c r="N416" s="685"/>
      <c r="O416" s="685"/>
      <c r="P416" s="685"/>
      <c r="Q416" s="685"/>
      <c r="R416" s="685"/>
      <c r="T416" s="751"/>
      <c r="V416" s="686">
        <f>SUBTOTAL(9,V417)</f>
        <v>0</v>
      </c>
      <c r="W416" s="691">
        <f>SUBTOTAL(9,W417)</f>
        <v>0</v>
      </c>
    </row>
    <row r="417" spans="1:23" outlineLevel="3">
      <c r="A417" s="376"/>
      <c r="B417" s="376" t="s">
        <v>289</v>
      </c>
      <c r="C417" s="376" t="s">
        <v>29</v>
      </c>
      <c r="D417" s="376" t="s">
        <v>25</v>
      </c>
      <c r="E417" s="376" t="s">
        <v>26</v>
      </c>
      <c r="F417" s="759" t="s">
        <v>236</v>
      </c>
      <c r="G417" s="609"/>
      <c r="H417" s="692"/>
      <c r="I417" s="626"/>
      <c r="J417" s="751"/>
      <c r="L417" s="608" t="s">
        <v>26</v>
      </c>
      <c r="M417" s="608" t="s">
        <v>1246</v>
      </c>
      <c r="N417" s="608" t="s">
        <v>1461</v>
      </c>
      <c r="O417" s="608" t="s">
        <v>1248</v>
      </c>
      <c r="P417" s="608" t="s">
        <v>1462</v>
      </c>
      <c r="Q417" s="608"/>
      <c r="R417" s="608">
        <v>0</v>
      </c>
      <c r="T417" s="751"/>
      <c r="V417" s="609">
        <f t="shared" ref="V417" si="68">IF(W417=1,G417,0)</f>
        <v>0</v>
      </c>
      <c r="W417" s="692"/>
    </row>
    <row r="418" spans="1:23" ht="92.4" outlineLevel="2">
      <c r="A418" s="376"/>
      <c r="B418" s="684" t="s">
        <v>289</v>
      </c>
      <c r="C418" s="684" t="s">
        <v>29</v>
      </c>
      <c r="D418" s="684" t="s">
        <v>27</v>
      </c>
      <c r="E418" s="684"/>
      <c r="F418" s="685" t="s">
        <v>1463</v>
      </c>
      <c r="G418" s="686">
        <f>SUBTOTAL(9,G419)</f>
        <v>0</v>
      </c>
      <c r="H418" s="691">
        <f>SUBTOTAL(9,H419)</f>
        <v>0</v>
      </c>
      <c r="I418" s="626"/>
      <c r="J418" s="751"/>
      <c r="L418" s="685"/>
      <c r="M418" s="685" t="s">
        <v>1425</v>
      </c>
      <c r="N418" s="685"/>
      <c r="O418" s="685"/>
      <c r="P418" s="685"/>
      <c r="Q418" s="685"/>
      <c r="R418" s="685"/>
      <c r="T418" s="751"/>
      <c r="V418" s="686">
        <f>SUBTOTAL(9,V419)</f>
        <v>0</v>
      </c>
      <c r="W418" s="691">
        <f>SUBTOTAL(9,W419)</f>
        <v>0</v>
      </c>
    </row>
    <row r="419" spans="1:23" ht="39.6" outlineLevel="3" collapsed="1">
      <c r="A419" s="376"/>
      <c r="B419" s="376" t="s">
        <v>289</v>
      </c>
      <c r="C419" s="376" t="s">
        <v>29</v>
      </c>
      <c r="D419" s="376" t="s">
        <v>27</v>
      </c>
      <c r="E419" s="376" t="s">
        <v>28</v>
      </c>
      <c r="F419" s="759" t="s">
        <v>236</v>
      </c>
      <c r="G419" s="609"/>
      <c r="H419" s="692"/>
      <c r="I419" s="626"/>
      <c r="J419" s="751"/>
      <c r="L419" s="608" t="s">
        <v>28</v>
      </c>
      <c r="M419" s="608" t="s">
        <v>1208</v>
      </c>
      <c r="N419" s="608" t="s">
        <v>1393</v>
      </c>
      <c r="O419" s="608" t="s">
        <v>1464</v>
      </c>
      <c r="P419" s="608"/>
      <c r="Q419" s="608"/>
      <c r="R419" s="608"/>
      <c r="T419" s="751"/>
      <c r="V419" s="609">
        <f t="shared" ref="V419" si="69">IF(W419=1,G419,0)</f>
        <v>0</v>
      </c>
      <c r="W419" s="692"/>
    </row>
    <row r="420" spans="1:23" ht="92.4" outlineLevel="2">
      <c r="A420" s="376"/>
      <c r="B420" s="684" t="s">
        <v>289</v>
      </c>
      <c r="C420" s="684" t="s">
        <v>29</v>
      </c>
      <c r="D420" s="684" t="s">
        <v>58</v>
      </c>
      <c r="E420" s="684"/>
      <c r="F420" s="685" t="s">
        <v>1465</v>
      </c>
      <c r="G420" s="686">
        <f>SUBTOTAL(9,G421)</f>
        <v>0</v>
      </c>
      <c r="H420" s="691">
        <f>SUBTOTAL(9,H421)</f>
        <v>0</v>
      </c>
      <c r="I420" s="626"/>
      <c r="J420" s="751"/>
      <c r="L420" s="685"/>
      <c r="M420" s="685" t="s">
        <v>1425</v>
      </c>
      <c r="N420" s="685"/>
      <c r="O420" s="685"/>
      <c r="P420" s="685"/>
      <c r="Q420" s="685"/>
      <c r="R420" s="685"/>
      <c r="T420" s="751"/>
      <c r="V420" s="686">
        <f>SUBTOTAL(9,V421)</f>
        <v>0</v>
      </c>
      <c r="W420" s="691">
        <f>SUBTOTAL(9,W421)</f>
        <v>0</v>
      </c>
    </row>
    <row r="421" spans="1:23" outlineLevel="3">
      <c r="A421" s="376"/>
      <c r="B421" s="376" t="s">
        <v>289</v>
      </c>
      <c r="C421" s="376" t="s">
        <v>29</v>
      </c>
      <c r="D421" s="376" t="s">
        <v>58</v>
      </c>
      <c r="E421" s="376" t="s">
        <v>28</v>
      </c>
      <c r="F421" s="759" t="s">
        <v>236</v>
      </c>
      <c r="G421" s="609"/>
      <c r="H421" s="692"/>
      <c r="I421" s="626"/>
      <c r="J421" s="751"/>
      <c r="L421" s="608" t="s">
        <v>28</v>
      </c>
      <c r="M421" s="608" t="s">
        <v>1236</v>
      </c>
      <c r="N421" s="608" t="s">
        <v>1433</v>
      </c>
      <c r="O421" s="608"/>
      <c r="P421" s="608"/>
      <c r="Q421" s="608"/>
      <c r="R421" s="608"/>
      <c r="T421" s="751"/>
      <c r="V421" s="609">
        <f t="shared" ref="V421" si="70">IF(W421=1,G421,0)</f>
        <v>0</v>
      </c>
      <c r="W421" s="692"/>
    </row>
    <row r="422" spans="1:23" s="612" customFormat="1" outlineLevel="1">
      <c r="A422" s="380"/>
      <c r="B422" s="666" t="s">
        <v>296</v>
      </c>
      <c r="C422" s="666" t="s">
        <v>297</v>
      </c>
      <c r="D422" s="666"/>
      <c r="E422" s="666"/>
      <c r="F422" s="681" t="s">
        <v>262</v>
      </c>
      <c r="G422" s="724">
        <f>SUBTOTAL(9,G423:G433)</f>
        <v>12.816445667435737</v>
      </c>
      <c r="H422" s="725">
        <f>SUBTOTAL(9,H423:H433)</f>
        <v>7</v>
      </c>
      <c r="I422" s="627"/>
      <c r="J422" s="753"/>
      <c r="L422" s="760"/>
      <c r="M422" s="760"/>
      <c r="N422" s="760"/>
      <c r="O422" s="760"/>
      <c r="P422" s="760"/>
      <c r="Q422" s="760"/>
      <c r="R422" s="760"/>
      <c r="T422" s="753"/>
      <c r="V422" s="724">
        <f>SUBTOTAL(9,V423:V433)</f>
        <v>0</v>
      </c>
      <c r="W422" s="725">
        <f>SUBTOTAL(9,W423:W433)</f>
        <v>0</v>
      </c>
    </row>
    <row r="423" spans="1:23" ht="26.4" outlineLevel="2">
      <c r="A423" s="376"/>
      <c r="B423" s="684" t="s">
        <v>296</v>
      </c>
      <c r="C423" s="684" t="s">
        <v>297</v>
      </c>
      <c r="D423" s="684" t="s">
        <v>17</v>
      </c>
      <c r="E423" s="684"/>
      <c r="F423" s="685" t="s">
        <v>1466</v>
      </c>
      <c r="G423" s="686">
        <f>SUBTOTAL(9,G424:G426)</f>
        <v>8.7813947704253064</v>
      </c>
      <c r="H423" s="691">
        <f>SUBTOTAL(9,H424:H426)</f>
        <v>3</v>
      </c>
      <c r="I423" s="626"/>
      <c r="J423" s="751"/>
      <c r="L423" s="685"/>
      <c r="M423" s="685"/>
      <c r="N423" s="685"/>
      <c r="O423" s="685"/>
      <c r="P423" s="685"/>
      <c r="Q423" s="685"/>
      <c r="R423" s="685"/>
      <c r="T423" s="751"/>
      <c r="V423" s="686">
        <f>SUBTOTAL(9,V424:V426)</f>
        <v>0</v>
      </c>
      <c r="W423" s="691">
        <f>SUBTOTAL(9,W424:W426)</f>
        <v>0</v>
      </c>
    </row>
    <row r="424" spans="1:23" ht="26.4" outlineLevel="3">
      <c r="A424" s="376"/>
      <c r="B424" s="376" t="s">
        <v>296</v>
      </c>
      <c r="C424" s="376" t="s">
        <v>297</v>
      </c>
      <c r="D424" s="376" t="s">
        <v>17</v>
      </c>
      <c r="E424" s="376" t="s">
        <v>127</v>
      </c>
      <c r="F424" s="608" t="s">
        <v>1212</v>
      </c>
      <c r="G424" s="609">
        <v>4.3906973852126532</v>
      </c>
      <c r="H424" s="692">
        <v>1</v>
      </c>
      <c r="I424" s="626"/>
      <c r="J424" s="751"/>
      <c r="L424" s="608" t="s">
        <v>127</v>
      </c>
      <c r="M424" s="608" t="s">
        <v>1320</v>
      </c>
      <c r="N424" s="608" t="s">
        <v>1337</v>
      </c>
      <c r="O424" s="608" t="s">
        <v>1467</v>
      </c>
      <c r="P424" s="608" t="s">
        <v>1338</v>
      </c>
      <c r="Q424" s="608"/>
      <c r="R424" s="608"/>
      <c r="T424" s="751"/>
      <c r="V424" s="609">
        <f t="shared" ref="V424:V426" si="71">IF(W424=1,G424,0)</f>
        <v>0</v>
      </c>
      <c r="W424" s="692"/>
    </row>
    <row r="425" spans="1:23" ht="26.4" outlineLevel="3">
      <c r="A425" s="376"/>
      <c r="B425" s="376" t="s">
        <v>296</v>
      </c>
      <c r="C425" s="376" t="s">
        <v>297</v>
      </c>
      <c r="D425" s="376" t="s">
        <v>17</v>
      </c>
      <c r="E425" s="376" t="s">
        <v>127</v>
      </c>
      <c r="F425" s="608" t="s">
        <v>1468</v>
      </c>
      <c r="G425" s="609">
        <v>2.1953486926063266</v>
      </c>
      <c r="H425" s="692">
        <v>1</v>
      </c>
      <c r="I425" s="626"/>
      <c r="J425" s="751"/>
      <c r="L425" s="608" t="s">
        <v>127</v>
      </c>
      <c r="M425" s="608" t="s">
        <v>1320</v>
      </c>
      <c r="N425" s="608" t="s">
        <v>1337</v>
      </c>
      <c r="O425" s="608" t="s">
        <v>1467</v>
      </c>
      <c r="P425" s="608" t="s">
        <v>1338</v>
      </c>
      <c r="Q425" s="608"/>
      <c r="R425" s="608"/>
      <c r="T425" s="751"/>
      <c r="V425" s="609">
        <f t="shared" si="71"/>
        <v>0</v>
      </c>
      <c r="W425" s="692"/>
    </row>
    <row r="426" spans="1:23" ht="26.4" outlineLevel="3">
      <c r="A426" s="376"/>
      <c r="B426" s="376" t="s">
        <v>296</v>
      </c>
      <c r="C426" s="376" t="s">
        <v>297</v>
      </c>
      <c r="D426" s="376" t="s">
        <v>17</v>
      </c>
      <c r="E426" s="376" t="s">
        <v>127</v>
      </c>
      <c r="F426" s="608" t="s">
        <v>1469</v>
      </c>
      <c r="G426" s="609">
        <v>2.1953486926063266</v>
      </c>
      <c r="H426" s="692">
        <v>1</v>
      </c>
      <c r="I426" s="626"/>
      <c r="J426" s="751"/>
      <c r="L426" s="608" t="s">
        <v>127</v>
      </c>
      <c r="M426" s="608" t="s">
        <v>1320</v>
      </c>
      <c r="N426" s="608" t="s">
        <v>1337</v>
      </c>
      <c r="O426" s="608" t="s">
        <v>1467</v>
      </c>
      <c r="P426" s="608" t="s">
        <v>1338</v>
      </c>
      <c r="Q426" s="608"/>
      <c r="R426" s="608"/>
      <c r="T426" s="751"/>
      <c r="V426" s="609">
        <f t="shared" si="71"/>
        <v>0</v>
      </c>
      <c r="W426" s="692"/>
    </row>
    <row r="427" spans="1:23" ht="26.4" outlineLevel="2">
      <c r="A427" s="376"/>
      <c r="B427" s="684" t="s">
        <v>296</v>
      </c>
      <c r="C427" s="684" t="s">
        <v>297</v>
      </c>
      <c r="D427" s="684" t="s">
        <v>25</v>
      </c>
      <c r="E427" s="684"/>
      <c r="F427" s="685" t="s">
        <v>1470</v>
      </c>
      <c r="G427" s="686">
        <f>SUBTOTAL(9,G428:G429)</f>
        <v>3.257897459827789</v>
      </c>
      <c r="H427" s="691">
        <f>SUBTOTAL(9,H428:H429)</f>
        <v>2</v>
      </c>
      <c r="I427" s="626"/>
      <c r="J427" s="751"/>
      <c r="L427" s="685"/>
      <c r="M427" s="685"/>
      <c r="N427" s="685"/>
      <c r="O427" s="685"/>
      <c r="P427" s="685"/>
      <c r="Q427" s="685"/>
      <c r="R427" s="685"/>
      <c r="T427" s="751"/>
      <c r="V427" s="686">
        <f>SUBTOTAL(9,V428:V429)</f>
        <v>0</v>
      </c>
      <c r="W427" s="691">
        <f>SUBTOTAL(9,W428:W429)</f>
        <v>0</v>
      </c>
    </row>
    <row r="428" spans="1:23" ht="26.4" outlineLevel="3">
      <c r="A428" s="376"/>
      <c r="B428" s="376" t="s">
        <v>296</v>
      </c>
      <c r="C428" s="376" t="s">
        <v>297</v>
      </c>
      <c r="D428" s="376" t="s">
        <v>25</v>
      </c>
      <c r="E428" s="376" t="s">
        <v>26</v>
      </c>
      <c r="F428" s="608" t="s">
        <v>236</v>
      </c>
      <c r="G428" s="609">
        <v>1.3962417684976238</v>
      </c>
      <c r="H428" s="692">
        <v>1</v>
      </c>
      <c r="I428" s="626"/>
      <c r="J428" s="751"/>
      <c r="L428" s="608" t="s">
        <v>26</v>
      </c>
      <c r="M428" s="608" t="s">
        <v>1454</v>
      </c>
      <c r="N428" s="608" t="s">
        <v>1471</v>
      </c>
      <c r="O428" s="608"/>
      <c r="P428" s="608" t="s">
        <v>1326</v>
      </c>
      <c r="Q428" s="608"/>
      <c r="R428" s="608">
        <v>0</v>
      </c>
      <c r="T428" s="751"/>
      <c r="V428" s="609">
        <f t="shared" ref="V428:V429" si="72">IF(W428=1,G428,0)</f>
        <v>0</v>
      </c>
      <c r="W428" s="692"/>
    </row>
    <row r="429" spans="1:23" ht="26.4" outlineLevel="3">
      <c r="A429" s="376"/>
      <c r="B429" s="376" t="s">
        <v>296</v>
      </c>
      <c r="C429" s="376" t="s">
        <v>297</v>
      </c>
      <c r="D429" s="376" t="s">
        <v>25</v>
      </c>
      <c r="E429" s="376" t="s">
        <v>26</v>
      </c>
      <c r="F429" s="608" t="s">
        <v>1212</v>
      </c>
      <c r="G429" s="609">
        <v>1.8616556913301652</v>
      </c>
      <c r="H429" s="692">
        <v>1</v>
      </c>
      <c r="I429" s="626"/>
      <c r="J429" s="751"/>
      <c r="L429" s="608" t="s">
        <v>26</v>
      </c>
      <c r="M429" s="608" t="s">
        <v>1454</v>
      </c>
      <c r="N429" s="608" t="s">
        <v>1471</v>
      </c>
      <c r="O429" s="608"/>
      <c r="P429" s="608" t="s">
        <v>1326</v>
      </c>
      <c r="Q429" s="608"/>
      <c r="R429" s="608">
        <v>0</v>
      </c>
      <c r="T429" s="751"/>
      <c r="V429" s="609">
        <f t="shared" si="72"/>
        <v>0</v>
      </c>
      <c r="W429" s="692"/>
    </row>
    <row r="430" spans="1:23" ht="39.6" outlineLevel="2">
      <c r="A430" s="376"/>
      <c r="B430" s="684" t="s">
        <v>296</v>
      </c>
      <c r="C430" s="684" t="s">
        <v>297</v>
      </c>
      <c r="D430" s="684" t="s">
        <v>27</v>
      </c>
      <c r="E430" s="684"/>
      <c r="F430" s="685" t="s">
        <v>1472</v>
      </c>
      <c r="G430" s="686">
        <f>SUBTOTAL(9,G431:G433)</f>
        <v>0.77715343718264007</v>
      </c>
      <c r="H430" s="691">
        <f>SUBTOTAL(9,H431:H433)</f>
        <v>2</v>
      </c>
      <c r="I430" s="626"/>
      <c r="J430" s="751"/>
      <c r="L430" s="685"/>
      <c r="M430" s="685"/>
      <c r="N430" s="685"/>
      <c r="O430" s="685"/>
      <c r="P430" s="685"/>
      <c r="Q430" s="685"/>
      <c r="R430" s="685"/>
      <c r="T430" s="751"/>
      <c r="V430" s="686">
        <f>SUBTOTAL(9,V431:V433)</f>
        <v>0</v>
      </c>
      <c r="W430" s="691">
        <f>SUBTOTAL(9,W431:W433)</f>
        <v>0</v>
      </c>
    </row>
    <row r="431" spans="1:23" ht="39.6" outlineLevel="3">
      <c r="A431" s="376"/>
      <c r="B431" s="376" t="s">
        <v>296</v>
      </c>
      <c r="C431" s="376" t="s">
        <v>297</v>
      </c>
      <c r="D431" s="376" t="s">
        <v>27</v>
      </c>
      <c r="E431" s="376" t="s">
        <v>28</v>
      </c>
      <c r="F431" s="608" t="s">
        <v>236</v>
      </c>
      <c r="G431" s="609">
        <v>0.51810229145509312</v>
      </c>
      <c r="H431" s="692">
        <v>1</v>
      </c>
      <c r="I431" s="626"/>
      <c r="J431" s="751"/>
      <c r="L431" s="608" t="s">
        <v>28</v>
      </c>
      <c r="M431" s="608" t="s">
        <v>1208</v>
      </c>
      <c r="N431" s="608" t="s">
        <v>1400</v>
      </c>
      <c r="O431" s="608" t="s">
        <v>1473</v>
      </c>
      <c r="P431" s="608"/>
      <c r="Q431" s="608"/>
      <c r="R431" s="608"/>
      <c r="T431" s="751"/>
      <c r="V431" s="609">
        <f t="shared" ref="V431:V433" si="73">IF(W431=1,G431,0)</f>
        <v>0</v>
      </c>
      <c r="W431" s="692"/>
    </row>
    <row r="432" spans="1:23" ht="39.6" outlineLevel="3">
      <c r="A432" s="376"/>
      <c r="B432" s="376" t="s">
        <v>296</v>
      </c>
      <c r="C432" s="376" t="s">
        <v>297</v>
      </c>
      <c r="D432" s="376" t="s">
        <v>27</v>
      </c>
      <c r="E432" s="376" t="s">
        <v>28</v>
      </c>
      <c r="F432" s="759" t="s">
        <v>1212</v>
      </c>
      <c r="G432" s="609"/>
      <c r="H432" s="692"/>
      <c r="I432" s="626"/>
      <c r="J432" s="751"/>
      <c r="L432" s="608" t="s">
        <v>28</v>
      </c>
      <c r="M432" s="608" t="s">
        <v>1208</v>
      </c>
      <c r="N432" s="608" t="s">
        <v>1400</v>
      </c>
      <c r="O432" s="608" t="s">
        <v>1473</v>
      </c>
      <c r="P432" s="608"/>
      <c r="Q432" s="608"/>
      <c r="R432" s="608"/>
      <c r="T432" s="751"/>
      <c r="V432" s="609">
        <f t="shared" si="73"/>
        <v>0</v>
      </c>
      <c r="W432" s="692"/>
    </row>
    <row r="433" spans="1:23" ht="39.6" outlineLevel="3">
      <c r="A433" s="376"/>
      <c r="B433" s="376" t="s">
        <v>296</v>
      </c>
      <c r="C433" s="376" t="s">
        <v>297</v>
      </c>
      <c r="D433" s="376" t="s">
        <v>27</v>
      </c>
      <c r="E433" s="376" t="s">
        <v>28</v>
      </c>
      <c r="F433" s="608" t="s">
        <v>1468</v>
      </c>
      <c r="G433" s="609">
        <v>0.25905114572754701</v>
      </c>
      <c r="H433" s="692">
        <v>1</v>
      </c>
      <c r="I433" s="626"/>
      <c r="J433" s="751"/>
      <c r="L433" s="608" t="s">
        <v>28</v>
      </c>
      <c r="M433" s="608" t="s">
        <v>1208</v>
      </c>
      <c r="N433" s="608" t="s">
        <v>1400</v>
      </c>
      <c r="O433" s="608" t="s">
        <v>1473</v>
      </c>
      <c r="P433" s="608"/>
      <c r="Q433" s="608"/>
      <c r="R433" s="608"/>
      <c r="T433" s="751"/>
      <c r="V433" s="609">
        <f t="shared" si="73"/>
        <v>0</v>
      </c>
      <c r="W433" s="692"/>
    </row>
    <row r="434" spans="1:23" s="741" customFormat="1" outlineLevel="1">
      <c r="A434" s="392"/>
      <c r="B434" s="666" t="s">
        <v>300</v>
      </c>
      <c r="C434" s="666" t="s">
        <v>301</v>
      </c>
      <c r="D434" s="666"/>
      <c r="E434" s="666"/>
      <c r="F434" s="681" t="s">
        <v>262</v>
      </c>
      <c r="G434" s="724">
        <f>SUBTOTAL(9,G435:G451)</f>
        <v>17.475036000000003</v>
      </c>
      <c r="H434" s="725">
        <f>SUBTOTAL(9,H435:H451)</f>
        <v>11</v>
      </c>
      <c r="I434" s="740"/>
      <c r="J434" s="757"/>
      <c r="K434" s="748"/>
      <c r="L434" s="760"/>
      <c r="M434" s="760"/>
      <c r="N434" s="760"/>
      <c r="O434" s="760"/>
      <c r="P434" s="760"/>
      <c r="Q434" s="760"/>
      <c r="R434" s="760"/>
      <c r="S434" s="748"/>
      <c r="T434" s="757"/>
      <c r="U434" s="748"/>
      <c r="V434" s="724">
        <f>SUBTOTAL(9,V435:V451)</f>
        <v>0</v>
      </c>
      <c r="W434" s="725">
        <f>SUBTOTAL(9,W435:W451)</f>
        <v>0</v>
      </c>
    </row>
    <row r="435" spans="1:23" s="741" customFormat="1" ht="26.4" outlineLevel="2">
      <c r="A435" s="392"/>
      <c r="B435" s="687" t="s">
        <v>301</v>
      </c>
      <c r="C435" s="687" t="s">
        <v>301</v>
      </c>
      <c r="D435" s="687" t="s">
        <v>17</v>
      </c>
      <c r="E435" s="687"/>
      <c r="F435" s="717" t="s">
        <v>1474</v>
      </c>
      <c r="G435" s="742">
        <f>SUBTOTAL(9,G436:G441)</f>
        <v>14.323800000000004</v>
      </c>
      <c r="H435" s="743">
        <f>SUBTOTAL(9,H436:H441)</f>
        <v>6</v>
      </c>
      <c r="I435" s="740"/>
      <c r="J435" s="757"/>
      <c r="K435" s="748"/>
      <c r="L435" s="717"/>
      <c r="M435" s="717" t="s">
        <v>1475</v>
      </c>
      <c r="N435" s="717"/>
      <c r="O435" s="717"/>
      <c r="P435" s="717"/>
      <c r="Q435" s="717"/>
      <c r="R435" s="717"/>
      <c r="S435" s="748"/>
      <c r="T435" s="757"/>
      <c r="U435" s="748"/>
      <c r="V435" s="742">
        <f>SUBTOTAL(9,V436:V441)</f>
        <v>0</v>
      </c>
      <c r="W435" s="743">
        <f>SUBTOTAL(9,W436:W441)</f>
        <v>0</v>
      </c>
    </row>
    <row r="436" spans="1:23" s="741" customFormat="1" ht="26.4" outlineLevel="3">
      <c r="A436" s="392"/>
      <c r="B436" s="387" t="s">
        <v>301</v>
      </c>
      <c r="C436" s="387" t="s">
        <v>301</v>
      </c>
      <c r="D436" s="387" t="s">
        <v>17</v>
      </c>
      <c r="E436" s="387" t="s">
        <v>127</v>
      </c>
      <c r="F436" s="705" t="s">
        <v>418</v>
      </c>
      <c r="G436" s="706">
        <v>4.7746000000000013</v>
      </c>
      <c r="H436" s="707">
        <v>1</v>
      </c>
      <c r="I436" s="740"/>
      <c r="J436" s="757"/>
      <c r="K436" s="748"/>
      <c r="L436" s="705" t="s">
        <v>127</v>
      </c>
      <c r="M436" s="705" t="s">
        <v>1331</v>
      </c>
      <c r="N436" s="705" t="s">
        <v>1476</v>
      </c>
      <c r="O436" s="705" t="s">
        <v>1477</v>
      </c>
      <c r="P436" s="705"/>
      <c r="Q436" s="705"/>
      <c r="R436" s="705"/>
      <c r="S436" s="748"/>
      <c r="T436" s="757"/>
      <c r="U436" s="748"/>
      <c r="V436" s="609">
        <f t="shared" ref="V436:V441" si="74">IF(W436=1,G436,0)</f>
        <v>0</v>
      </c>
      <c r="W436" s="707"/>
    </row>
    <row r="437" spans="1:23" s="741" customFormat="1" ht="26.4" outlineLevel="3">
      <c r="A437" s="392"/>
      <c r="B437" s="387" t="s">
        <v>301</v>
      </c>
      <c r="C437" s="387" t="s">
        <v>301</v>
      </c>
      <c r="D437" s="387" t="s">
        <v>17</v>
      </c>
      <c r="E437" s="387" t="s">
        <v>127</v>
      </c>
      <c r="F437" s="705" t="s">
        <v>236</v>
      </c>
      <c r="G437" s="706">
        <v>4.3640000000000008</v>
      </c>
      <c r="H437" s="707">
        <v>1</v>
      </c>
      <c r="I437" s="740"/>
      <c r="J437" s="757"/>
      <c r="K437" s="748"/>
      <c r="L437" s="705" t="s">
        <v>127</v>
      </c>
      <c r="M437" s="705" t="s">
        <v>1331</v>
      </c>
      <c r="N437" s="705" t="s">
        <v>1476</v>
      </c>
      <c r="O437" s="705" t="s">
        <v>1477</v>
      </c>
      <c r="P437" s="705"/>
      <c r="Q437" s="705"/>
      <c r="R437" s="705"/>
      <c r="S437" s="748"/>
      <c r="T437" s="757"/>
      <c r="U437" s="748"/>
      <c r="V437" s="609">
        <f t="shared" si="74"/>
        <v>0</v>
      </c>
      <c r="W437" s="707"/>
    </row>
    <row r="438" spans="1:23" s="741" customFormat="1" ht="26.4" outlineLevel="3">
      <c r="A438" s="392"/>
      <c r="B438" s="387" t="s">
        <v>301</v>
      </c>
      <c r="C438" s="387" t="s">
        <v>301</v>
      </c>
      <c r="D438" s="387" t="s">
        <v>17</v>
      </c>
      <c r="E438" s="387" t="s">
        <v>127</v>
      </c>
      <c r="F438" s="705" t="s">
        <v>1427</v>
      </c>
      <c r="G438" s="706">
        <v>2.2846500000000005</v>
      </c>
      <c r="H438" s="707">
        <v>1</v>
      </c>
      <c r="I438" s="740"/>
      <c r="J438" s="757"/>
      <c r="K438" s="748"/>
      <c r="L438" s="705" t="s">
        <v>127</v>
      </c>
      <c r="M438" s="705" t="s">
        <v>1331</v>
      </c>
      <c r="N438" s="705" t="s">
        <v>1476</v>
      </c>
      <c r="O438" s="705" t="s">
        <v>1477</v>
      </c>
      <c r="P438" s="705"/>
      <c r="Q438" s="705"/>
      <c r="R438" s="705"/>
      <c r="S438" s="748"/>
      <c r="T438" s="757"/>
      <c r="U438" s="748"/>
      <c r="V438" s="609">
        <f t="shared" si="74"/>
        <v>0</v>
      </c>
      <c r="W438" s="707"/>
    </row>
    <row r="439" spans="1:23" s="741" customFormat="1" ht="26.4" outlineLevel="3">
      <c r="A439" s="392"/>
      <c r="B439" s="387" t="s">
        <v>301</v>
      </c>
      <c r="C439" s="387" t="s">
        <v>301</v>
      </c>
      <c r="D439" s="387" t="s">
        <v>17</v>
      </c>
      <c r="E439" s="387" t="s">
        <v>127</v>
      </c>
      <c r="F439" s="705" t="s">
        <v>1468</v>
      </c>
      <c r="G439" s="706">
        <v>2.3873000000000006</v>
      </c>
      <c r="H439" s="707">
        <v>1</v>
      </c>
      <c r="I439" s="740"/>
      <c r="J439" s="757"/>
      <c r="K439" s="748"/>
      <c r="L439" s="705" t="s">
        <v>127</v>
      </c>
      <c r="M439" s="705" t="s">
        <v>1331</v>
      </c>
      <c r="N439" s="705" t="s">
        <v>1476</v>
      </c>
      <c r="O439" s="705" t="s">
        <v>1477</v>
      </c>
      <c r="P439" s="705"/>
      <c r="Q439" s="705"/>
      <c r="R439" s="705"/>
      <c r="S439" s="748"/>
      <c r="T439" s="757"/>
      <c r="U439" s="748"/>
      <c r="V439" s="609">
        <f t="shared" si="74"/>
        <v>0</v>
      </c>
      <c r="W439" s="707"/>
    </row>
    <row r="440" spans="1:23" s="741" customFormat="1" outlineLevel="3">
      <c r="A440" s="392"/>
      <c r="B440" s="387" t="s">
        <v>301</v>
      </c>
      <c r="C440" s="387" t="s">
        <v>301</v>
      </c>
      <c r="D440" s="387" t="s">
        <v>17</v>
      </c>
      <c r="E440" s="387" t="s">
        <v>177</v>
      </c>
      <c r="F440" s="705" t="s">
        <v>1478</v>
      </c>
      <c r="G440" s="706">
        <v>0.41060000000000008</v>
      </c>
      <c r="H440" s="707">
        <v>1</v>
      </c>
      <c r="I440" s="740"/>
      <c r="J440" s="757"/>
      <c r="K440" s="748"/>
      <c r="L440" s="705" t="s">
        <v>177</v>
      </c>
      <c r="M440" s="705"/>
      <c r="N440" s="705"/>
      <c r="O440" s="705"/>
      <c r="P440" s="705"/>
      <c r="Q440" s="705"/>
      <c r="R440" s="705"/>
      <c r="S440" s="748"/>
      <c r="T440" s="757"/>
      <c r="U440" s="748"/>
      <c r="V440" s="609">
        <f t="shared" si="74"/>
        <v>0</v>
      </c>
      <c r="W440" s="707"/>
    </row>
    <row r="441" spans="1:23" s="741" customFormat="1" outlineLevel="3">
      <c r="A441" s="392"/>
      <c r="B441" s="387" t="s">
        <v>301</v>
      </c>
      <c r="C441" s="387" t="s">
        <v>301</v>
      </c>
      <c r="D441" s="387" t="s">
        <v>17</v>
      </c>
      <c r="E441" s="387" t="s">
        <v>177</v>
      </c>
      <c r="F441" s="705" t="s">
        <v>1479</v>
      </c>
      <c r="G441" s="706">
        <v>0.10265000000000002</v>
      </c>
      <c r="H441" s="707">
        <v>1</v>
      </c>
      <c r="I441" s="740"/>
      <c r="J441" s="757"/>
      <c r="K441" s="748"/>
      <c r="L441" s="705" t="s">
        <v>177</v>
      </c>
      <c r="M441" s="705"/>
      <c r="N441" s="705"/>
      <c r="O441" s="705"/>
      <c r="P441" s="705"/>
      <c r="Q441" s="705"/>
      <c r="R441" s="705"/>
      <c r="S441" s="748"/>
      <c r="T441" s="757"/>
      <c r="U441" s="748"/>
      <c r="V441" s="609">
        <f t="shared" si="74"/>
        <v>0</v>
      </c>
      <c r="W441" s="707"/>
    </row>
    <row r="442" spans="1:23" s="741" customFormat="1" outlineLevel="2">
      <c r="A442" s="392"/>
      <c r="B442" s="687" t="s">
        <v>301</v>
      </c>
      <c r="C442" s="687" t="s">
        <v>301</v>
      </c>
      <c r="D442" s="687" t="s">
        <v>25</v>
      </c>
      <c r="E442" s="687"/>
      <c r="F442" s="717" t="s">
        <v>1480</v>
      </c>
      <c r="G442" s="742">
        <f>SUBTOTAL(9,G443:G444)</f>
        <v>2.0244304000000004</v>
      </c>
      <c r="H442" s="743">
        <f>SUBTOTAL(9,H443:H444)</f>
        <v>2</v>
      </c>
      <c r="I442" s="740"/>
      <c r="J442" s="757"/>
      <c r="K442" s="748"/>
      <c r="L442" s="717"/>
      <c r="M442" s="717"/>
      <c r="N442" s="717"/>
      <c r="O442" s="717"/>
      <c r="P442" s="717"/>
      <c r="Q442" s="717"/>
      <c r="R442" s="717"/>
      <c r="S442" s="748"/>
      <c r="T442" s="757"/>
      <c r="U442" s="748"/>
      <c r="V442" s="742">
        <f>SUBTOTAL(9,V443:V444)</f>
        <v>0</v>
      </c>
      <c r="W442" s="743">
        <f>SUBTOTAL(9,W443:W444)</f>
        <v>0</v>
      </c>
    </row>
    <row r="443" spans="1:23" s="741" customFormat="1" outlineLevel="3">
      <c r="A443" s="392"/>
      <c r="B443" s="387" t="s">
        <v>301</v>
      </c>
      <c r="C443" s="387" t="s">
        <v>301</v>
      </c>
      <c r="D443" s="387" t="s">
        <v>25</v>
      </c>
      <c r="E443" s="387" t="s">
        <v>26</v>
      </c>
      <c r="F443" s="705" t="s">
        <v>236</v>
      </c>
      <c r="G443" s="706">
        <v>1.5183228000000002</v>
      </c>
      <c r="H443" s="707">
        <v>1</v>
      </c>
      <c r="I443" s="740"/>
      <c r="J443" s="757"/>
      <c r="K443" s="748"/>
      <c r="L443" s="705" t="s">
        <v>26</v>
      </c>
      <c r="M443" s="705" t="s">
        <v>1272</v>
      </c>
      <c r="N443" s="705" t="s">
        <v>1307</v>
      </c>
      <c r="O443" s="705" t="s">
        <v>1452</v>
      </c>
      <c r="P443" s="705" t="s">
        <v>1274</v>
      </c>
      <c r="Q443" s="705"/>
      <c r="R443" s="705">
        <v>0</v>
      </c>
      <c r="S443" s="748"/>
      <c r="T443" s="757"/>
      <c r="U443" s="748"/>
      <c r="V443" s="609">
        <f t="shared" ref="V443:V444" si="75">IF(W443=1,G443,0)</f>
        <v>0</v>
      </c>
      <c r="W443" s="707"/>
    </row>
    <row r="444" spans="1:23" s="741" customFormat="1" outlineLevel="3">
      <c r="A444" s="392"/>
      <c r="B444" s="387" t="s">
        <v>301</v>
      </c>
      <c r="C444" s="387" t="s">
        <v>301</v>
      </c>
      <c r="D444" s="387" t="s">
        <v>25</v>
      </c>
      <c r="E444" s="387" t="s">
        <v>26</v>
      </c>
      <c r="F444" s="705" t="s">
        <v>1468</v>
      </c>
      <c r="G444" s="706">
        <v>0.5061076000000001</v>
      </c>
      <c r="H444" s="707">
        <v>1</v>
      </c>
      <c r="I444" s="740"/>
      <c r="J444" s="757"/>
      <c r="K444" s="748"/>
      <c r="L444" s="705" t="s">
        <v>26</v>
      </c>
      <c r="M444" s="705" t="s">
        <v>1272</v>
      </c>
      <c r="N444" s="705" t="s">
        <v>1307</v>
      </c>
      <c r="O444" s="705" t="s">
        <v>1452</v>
      </c>
      <c r="P444" s="705" t="s">
        <v>1274</v>
      </c>
      <c r="Q444" s="705"/>
      <c r="R444" s="705">
        <v>0</v>
      </c>
      <c r="S444" s="748"/>
      <c r="T444" s="757"/>
      <c r="U444" s="748"/>
      <c r="V444" s="609">
        <f t="shared" si="75"/>
        <v>0</v>
      </c>
      <c r="W444" s="707"/>
    </row>
    <row r="445" spans="1:23" s="741" customFormat="1" ht="26.4" outlineLevel="2">
      <c r="A445" s="392"/>
      <c r="B445" s="687" t="s">
        <v>301</v>
      </c>
      <c r="C445" s="687" t="s">
        <v>301</v>
      </c>
      <c r="D445" s="687" t="s">
        <v>27</v>
      </c>
      <c r="E445" s="687"/>
      <c r="F445" s="717" t="s">
        <v>1474</v>
      </c>
      <c r="G445" s="742">
        <f>SUBTOTAL(9,G446:G448)</f>
        <v>1.1268056000000002</v>
      </c>
      <c r="H445" s="743">
        <f>SUBTOTAL(9,H446:H448)</f>
        <v>3</v>
      </c>
      <c r="I445" s="740"/>
      <c r="J445" s="757"/>
      <c r="K445" s="748"/>
      <c r="L445" s="717"/>
      <c r="M445" s="717"/>
      <c r="N445" s="717"/>
      <c r="O445" s="717"/>
      <c r="P445" s="717"/>
      <c r="Q445" s="717"/>
      <c r="R445" s="717"/>
      <c r="S445" s="748"/>
      <c r="T445" s="757"/>
      <c r="U445" s="748"/>
      <c r="V445" s="742">
        <f>SUBTOTAL(9,V446:V448)</f>
        <v>0</v>
      </c>
      <c r="W445" s="743">
        <f>SUBTOTAL(9,W446:W448)</f>
        <v>0</v>
      </c>
    </row>
    <row r="446" spans="1:23" s="741" customFormat="1" ht="66" outlineLevel="3">
      <c r="A446" s="392"/>
      <c r="B446" s="387" t="s">
        <v>301</v>
      </c>
      <c r="C446" s="387" t="s">
        <v>301</v>
      </c>
      <c r="D446" s="387" t="s">
        <v>27</v>
      </c>
      <c r="E446" s="387" t="s">
        <v>28</v>
      </c>
      <c r="F446" s="705" t="s">
        <v>236</v>
      </c>
      <c r="G446" s="706">
        <v>0.56340280000000009</v>
      </c>
      <c r="H446" s="707">
        <v>1</v>
      </c>
      <c r="I446" s="740"/>
      <c r="J446" s="757"/>
      <c r="K446" s="748"/>
      <c r="L446" s="705" t="s">
        <v>28</v>
      </c>
      <c r="M446" s="705" t="s">
        <v>1208</v>
      </c>
      <c r="N446" s="705" t="s">
        <v>1481</v>
      </c>
      <c r="O446" s="705" t="s">
        <v>1482</v>
      </c>
      <c r="P446" s="705"/>
      <c r="Q446" s="705"/>
      <c r="R446" s="705"/>
      <c r="S446" s="748"/>
      <c r="T446" s="757"/>
      <c r="U446" s="748"/>
      <c r="V446" s="609">
        <f t="shared" ref="V446:V448" si="76">IF(W446=1,G446,0)</f>
        <v>0</v>
      </c>
      <c r="W446" s="707"/>
    </row>
    <row r="447" spans="1:23" s="741" customFormat="1" ht="66" outlineLevel="3">
      <c r="A447" s="392"/>
      <c r="B447" s="387" t="s">
        <v>301</v>
      </c>
      <c r="C447" s="387" t="s">
        <v>301</v>
      </c>
      <c r="D447" s="387" t="s">
        <v>27</v>
      </c>
      <c r="E447" s="387" t="s">
        <v>28</v>
      </c>
      <c r="F447" s="705" t="s">
        <v>1427</v>
      </c>
      <c r="G447" s="706">
        <v>0.28170140000000005</v>
      </c>
      <c r="H447" s="707">
        <v>1</v>
      </c>
      <c r="I447" s="740"/>
      <c r="J447" s="757"/>
      <c r="K447" s="748"/>
      <c r="L447" s="705" t="s">
        <v>28</v>
      </c>
      <c r="M447" s="705" t="s">
        <v>1208</v>
      </c>
      <c r="N447" s="705" t="s">
        <v>1481</v>
      </c>
      <c r="O447" s="705" t="s">
        <v>1482</v>
      </c>
      <c r="P447" s="705"/>
      <c r="Q447" s="705"/>
      <c r="R447" s="705"/>
      <c r="S447" s="748"/>
      <c r="T447" s="757"/>
      <c r="U447" s="748"/>
      <c r="V447" s="609">
        <f t="shared" si="76"/>
        <v>0</v>
      </c>
      <c r="W447" s="707"/>
    </row>
    <row r="448" spans="1:23" s="741" customFormat="1" ht="66" outlineLevel="3">
      <c r="A448" s="392"/>
      <c r="B448" s="387" t="s">
        <v>301</v>
      </c>
      <c r="C448" s="387" t="s">
        <v>301</v>
      </c>
      <c r="D448" s="387" t="s">
        <v>27</v>
      </c>
      <c r="E448" s="387" t="s">
        <v>28</v>
      </c>
      <c r="F448" s="705" t="s">
        <v>1468</v>
      </c>
      <c r="G448" s="706">
        <v>0.28170140000000005</v>
      </c>
      <c r="H448" s="707">
        <v>1</v>
      </c>
      <c r="I448" s="740"/>
      <c r="J448" s="757"/>
      <c r="K448" s="748"/>
      <c r="L448" s="705" t="s">
        <v>28</v>
      </c>
      <c r="M448" s="705" t="s">
        <v>1208</v>
      </c>
      <c r="N448" s="705" t="s">
        <v>1481</v>
      </c>
      <c r="O448" s="705" t="s">
        <v>1482</v>
      </c>
      <c r="P448" s="705"/>
      <c r="Q448" s="705"/>
      <c r="R448" s="705"/>
      <c r="S448" s="748"/>
      <c r="T448" s="757"/>
      <c r="U448" s="748"/>
      <c r="V448" s="609">
        <f t="shared" si="76"/>
        <v>0</v>
      </c>
      <c r="W448" s="707"/>
    </row>
    <row r="449" spans="1:23" s="741" customFormat="1" outlineLevel="2">
      <c r="A449" s="392">
        <v>2</v>
      </c>
      <c r="B449" s="687" t="s">
        <v>301</v>
      </c>
      <c r="C449" s="687" t="s">
        <v>301</v>
      </c>
      <c r="D449" s="687" t="s">
        <v>58</v>
      </c>
      <c r="E449" s="687"/>
      <c r="F449" s="717" t="s">
        <v>1480</v>
      </c>
      <c r="G449" s="742">
        <f>SUBTOTAL(9,G450:G451)</f>
        <v>0</v>
      </c>
      <c r="H449" s="743">
        <f>SUBTOTAL(9,H450:H451)</f>
        <v>0</v>
      </c>
      <c r="I449" s="740"/>
      <c r="J449" s="757"/>
      <c r="K449" s="748"/>
      <c r="L449" s="717"/>
      <c r="M449" s="717"/>
      <c r="N449" s="717"/>
      <c r="O449" s="717"/>
      <c r="P449" s="717"/>
      <c r="Q449" s="717"/>
      <c r="R449" s="717"/>
      <c r="S449" s="748"/>
      <c r="T449" s="757"/>
      <c r="U449" s="748"/>
      <c r="V449" s="742">
        <f>SUBTOTAL(9,V450:V451)</f>
        <v>0</v>
      </c>
      <c r="W449" s="743">
        <f>SUBTOTAL(9,W450:W451)</f>
        <v>0</v>
      </c>
    </row>
    <row r="450" spans="1:23" s="741" customFormat="1" outlineLevel="3">
      <c r="A450" s="392"/>
      <c r="B450" s="387" t="s">
        <v>301</v>
      </c>
      <c r="C450" s="387" t="s">
        <v>301</v>
      </c>
      <c r="D450" s="387" t="s">
        <v>58</v>
      </c>
      <c r="E450" s="387" t="s">
        <v>28</v>
      </c>
      <c r="F450" s="759" t="s">
        <v>236</v>
      </c>
      <c r="G450" s="706"/>
      <c r="H450" s="707"/>
      <c r="I450" s="740"/>
      <c r="J450" s="757"/>
      <c r="K450" s="748"/>
      <c r="L450" s="705" t="s">
        <v>28</v>
      </c>
      <c r="M450" s="705" t="s">
        <v>1236</v>
      </c>
      <c r="N450" s="705" t="s">
        <v>1282</v>
      </c>
      <c r="O450" s="705" t="s">
        <v>1433</v>
      </c>
      <c r="P450" s="705"/>
      <c r="Q450" s="705"/>
      <c r="R450" s="705"/>
      <c r="S450" s="748"/>
      <c r="T450" s="757"/>
      <c r="U450" s="748"/>
      <c r="V450" s="609">
        <f t="shared" ref="V450:V451" si="77">IF(W450=1,G450,0)</f>
        <v>0</v>
      </c>
      <c r="W450" s="707"/>
    </row>
    <row r="451" spans="1:23" s="741" customFormat="1" outlineLevel="3">
      <c r="A451" s="392"/>
      <c r="B451" s="387" t="s">
        <v>301</v>
      </c>
      <c r="C451" s="387" t="s">
        <v>301</v>
      </c>
      <c r="D451" s="387" t="s">
        <v>58</v>
      </c>
      <c r="E451" s="387" t="s">
        <v>28</v>
      </c>
      <c r="F451" s="759" t="s">
        <v>1468</v>
      </c>
      <c r="G451" s="706"/>
      <c r="H451" s="707"/>
      <c r="I451" s="740"/>
      <c r="J451" s="757"/>
      <c r="K451" s="748"/>
      <c r="L451" s="705" t="s">
        <v>28</v>
      </c>
      <c r="M451" s="705" t="s">
        <v>1236</v>
      </c>
      <c r="N451" s="705" t="s">
        <v>1282</v>
      </c>
      <c r="O451" s="705" t="s">
        <v>1433</v>
      </c>
      <c r="P451" s="705"/>
      <c r="Q451" s="705"/>
      <c r="R451" s="705"/>
      <c r="S451" s="748"/>
      <c r="T451" s="757"/>
      <c r="U451" s="748"/>
      <c r="V451" s="609">
        <f t="shared" si="77"/>
        <v>0</v>
      </c>
      <c r="W451" s="707"/>
    </row>
    <row r="452" spans="1:23" s="741" customFormat="1" outlineLevel="1">
      <c r="A452" s="392"/>
      <c r="B452" s="666" t="s">
        <v>307</v>
      </c>
      <c r="C452" s="666" t="s">
        <v>308</v>
      </c>
      <c r="D452" s="666"/>
      <c r="E452" s="666"/>
      <c r="F452" s="681" t="s">
        <v>262</v>
      </c>
      <c r="G452" s="724">
        <f>SUBTOTAL(9,G453:G464)</f>
        <v>14.457493385999999</v>
      </c>
      <c r="H452" s="725">
        <f>SUBTOTAL(9,H453:H464)</f>
        <v>5</v>
      </c>
      <c r="I452" s="740"/>
      <c r="J452" s="757"/>
      <c r="K452" s="748"/>
      <c r="L452" s="760"/>
      <c r="M452" s="760"/>
      <c r="N452" s="760"/>
      <c r="O452" s="760"/>
      <c r="P452" s="760"/>
      <c r="Q452" s="760"/>
      <c r="R452" s="760"/>
      <c r="S452" s="748"/>
      <c r="T452" s="757"/>
      <c r="U452" s="748"/>
      <c r="V452" s="724">
        <f>SUBTOTAL(9,V453:V464)</f>
        <v>0</v>
      </c>
      <c r="W452" s="725">
        <f>SUBTOTAL(9,W453:W464)</f>
        <v>0</v>
      </c>
    </row>
    <row r="453" spans="1:23" s="741" customFormat="1" ht="26.4" outlineLevel="2">
      <c r="A453" s="392"/>
      <c r="B453" s="687" t="s">
        <v>308</v>
      </c>
      <c r="C453" s="687" t="s">
        <v>308</v>
      </c>
      <c r="D453" s="687" t="s">
        <v>17</v>
      </c>
      <c r="E453" s="687"/>
      <c r="F453" s="717" t="s">
        <v>1483</v>
      </c>
      <c r="G453" s="742">
        <f>SUBTOTAL(9,G454:G457)</f>
        <v>12.89531775</v>
      </c>
      <c r="H453" s="743">
        <f>SUBTOTAL(9,H454:H457)</f>
        <v>4</v>
      </c>
      <c r="I453" s="740"/>
      <c r="J453" s="757"/>
      <c r="K453" s="748"/>
      <c r="L453" s="717"/>
      <c r="M453" s="717"/>
      <c r="N453" s="717"/>
      <c r="O453" s="717"/>
      <c r="P453" s="717"/>
      <c r="Q453" s="717"/>
      <c r="R453" s="717"/>
      <c r="S453" s="748"/>
      <c r="T453" s="757"/>
      <c r="U453" s="748"/>
      <c r="V453" s="742">
        <f>SUBTOTAL(9,V454:V457)</f>
        <v>0</v>
      </c>
      <c r="W453" s="743">
        <f>SUBTOTAL(9,W454:W457)</f>
        <v>0</v>
      </c>
    </row>
    <row r="454" spans="1:23" s="741" customFormat="1" outlineLevel="3" collapsed="1">
      <c r="A454" s="392"/>
      <c r="B454" s="387" t="s">
        <v>308</v>
      </c>
      <c r="C454" s="387" t="s">
        <v>308</v>
      </c>
      <c r="D454" s="387" t="s">
        <v>17</v>
      </c>
      <c r="E454" s="387" t="s">
        <v>64</v>
      </c>
      <c r="F454" s="705" t="s">
        <v>418</v>
      </c>
      <c r="G454" s="706">
        <v>3.6843765000000008</v>
      </c>
      <c r="H454" s="707">
        <v>1</v>
      </c>
      <c r="I454" s="740"/>
      <c r="J454" s="757"/>
      <c r="K454" s="748"/>
      <c r="L454" s="705" t="s">
        <v>64</v>
      </c>
      <c r="M454" s="705" t="s">
        <v>64</v>
      </c>
      <c r="N454" s="705" t="s">
        <v>1484</v>
      </c>
      <c r="O454" s="705"/>
      <c r="P454" s="705"/>
      <c r="Q454" s="705"/>
      <c r="R454" s="705"/>
      <c r="S454" s="748"/>
      <c r="T454" s="757"/>
      <c r="U454" s="748"/>
      <c r="V454" s="609">
        <f t="shared" ref="V454:V457" si="78">IF(W454=1,G454,0)</f>
        <v>0</v>
      </c>
      <c r="W454" s="707"/>
    </row>
    <row r="455" spans="1:23" s="741" customFormat="1" outlineLevel="3">
      <c r="A455" s="392"/>
      <c r="B455" s="387" t="s">
        <v>308</v>
      </c>
      <c r="C455" s="387" t="s">
        <v>308</v>
      </c>
      <c r="D455" s="387" t="s">
        <v>17</v>
      </c>
      <c r="E455" s="387" t="s">
        <v>64</v>
      </c>
      <c r="F455" s="705" t="s">
        <v>236</v>
      </c>
      <c r="G455" s="706">
        <v>3.6843765000000008</v>
      </c>
      <c r="H455" s="707">
        <v>1</v>
      </c>
      <c r="I455" s="740"/>
      <c r="J455" s="757"/>
      <c r="K455" s="748"/>
      <c r="L455" s="705" t="s">
        <v>64</v>
      </c>
      <c r="M455" s="705" t="s">
        <v>64</v>
      </c>
      <c r="N455" s="705" t="s">
        <v>1484</v>
      </c>
      <c r="O455" s="705"/>
      <c r="P455" s="705"/>
      <c r="Q455" s="705"/>
      <c r="R455" s="705"/>
      <c r="S455" s="748"/>
      <c r="T455" s="757"/>
      <c r="U455" s="748"/>
      <c r="V455" s="609">
        <f t="shared" si="78"/>
        <v>0</v>
      </c>
      <c r="W455" s="707"/>
    </row>
    <row r="456" spans="1:23" s="741" customFormat="1" outlineLevel="3">
      <c r="A456" s="392"/>
      <c r="B456" s="387" t="s">
        <v>308</v>
      </c>
      <c r="C456" s="387" t="s">
        <v>308</v>
      </c>
      <c r="D456" s="387" t="s">
        <v>17</v>
      </c>
      <c r="E456" s="387" t="s">
        <v>64</v>
      </c>
      <c r="F456" s="705" t="s">
        <v>1427</v>
      </c>
      <c r="G456" s="706">
        <v>3.6843764999999999</v>
      </c>
      <c r="H456" s="707">
        <v>1</v>
      </c>
      <c r="I456" s="740"/>
      <c r="J456" s="757"/>
      <c r="K456" s="748"/>
      <c r="L456" s="705" t="s">
        <v>64</v>
      </c>
      <c r="M456" s="705" t="s">
        <v>1485</v>
      </c>
      <c r="N456" s="705" t="s">
        <v>1484</v>
      </c>
      <c r="O456" s="705" t="s">
        <v>1486</v>
      </c>
      <c r="P456" s="705"/>
      <c r="Q456" s="705"/>
      <c r="R456" s="705"/>
      <c r="S456" s="748"/>
      <c r="T456" s="757"/>
      <c r="U456" s="748"/>
      <c r="V456" s="609">
        <f t="shared" si="78"/>
        <v>0</v>
      </c>
      <c r="W456" s="707"/>
    </row>
    <row r="457" spans="1:23" s="741" customFormat="1" outlineLevel="3">
      <c r="A457" s="392"/>
      <c r="B457" s="387" t="s">
        <v>308</v>
      </c>
      <c r="C457" s="387" t="s">
        <v>308</v>
      </c>
      <c r="D457" s="387" t="s">
        <v>17</v>
      </c>
      <c r="E457" s="387" t="s">
        <v>64</v>
      </c>
      <c r="F457" s="705" t="s">
        <v>1487</v>
      </c>
      <c r="G457" s="706">
        <v>1.8421882500000004</v>
      </c>
      <c r="H457" s="707">
        <v>1</v>
      </c>
      <c r="I457" s="740"/>
      <c r="J457" s="757"/>
      <c r="K457" s="748"/>
      <c r="L457" s="705" t="s">
        <v>64</v>
      </c>
      <c r="M457" s="705" t="s">
        <v>1485</v>
      </c>
      <c r="N457" s="705" t="s">
        <v>1484</v>
      </c>
      <c r="O457" s="705" t="s">
        <v>1486</v>
      </c>
      <c r="P457" s="705"/>
      <c r="Q457" s="705"/>
      <c r="R457" s="705"/>
      <c r="S457" s="748"/>
      <c r="T457" s="757"/>
      <c r="U457" s="748"/>
      <c r="V457" s="609">
        <f t="shared" si="78"/>
        <v>0</v>
      </c>
      <c r="W457" s="707"/>
    </row>
    <row r="458" spans="1:23" s="741" customFormat="1" outlineLevel="2">
      <c r="A458" s="392"/>
      <c r="B458" s="687" t="s">
        <v>308</v>
      </c>
      <c r="C458" s="687" t="s">
        <v>308</v>
      </c>
      <c r="D458" s="687" t="s">
        <v>25</v>
      </c>
      <c r="E458" s="687"/>
      <c r="F458" s="717" t="s">
        <v>1421</v>
      </c>
      <c r="G458" s="742">
        <f>SUBTOTAL(9,G459)</f>
        <v>1.5621756360000001</v>
      </c>
      <c r="H458" s="743">
        <f>SUBTOTAL(9,H459)</f>
        <v>1</v>
      </c>
      <c r="I458" s="740"/>
      <c r="J458" s="757"/>
      <c r="K458" s="748"/>
      <c r="L458" s="717"/>
      <c r="M458" s="717"/>
      <c r="N458" s="717"/>
      <c r="O458" s="717"/>
      <c r="P458" s="717"/>
      <c r="Q458" s="717"/>
      <c r="R458" s="717"/>
      <c r="S458" s="748"/>
      <c r="T458" s="757"/>
      <c r="U458" s="748"/>
      <c r="V458" s="742">
        <f>SUBTOTAL(9,V459)</f>
        <v>0</v>
      </c>
      <c r="W458" s="743">
        <f>SUBTOTAL(9,W459)</f>
        <v>0</v>
      </c>
    </row>
    <row r="459" spans="1:23" s="741" customFormat="1" outlineLevel="3">
      <c r="A459" s="392"/>
      <c r="B459" s="387" t="s">
        <v>308</v>
      </c>
      <c r="C459" s="387" t="s">
        <v>308</v>
      </c>
      <c r="D459" s="387" t="s">
        <v>25</v>
      </c>
      <c r="E459" s="387" t="s">
        <v>26</v>
      </c>
      <c r="F459" s="705" t="s">
        <v>236</v>
      </c>
      <c r="G459" s="706">
        <v>1.5621756360000001</v>
      </c>
      <c r="H459" s="707">
        <v>1</v>
      </c>
      <c r="I459" s="740"/>
      <c r="J459" s="757"/>
      <c r="K459" s="748"/>
      <c r="L459" s="705" t="s">
        <v>26</v>
      </c>
      <c r="M459" s="705" t="s">
        <v>1272</v>
      </c>
      <c r="N459" s="705" t="s">
        <v>72</v>
      </c>
      <c r="O459" s="705" t="s">
        <v>72</v>
      </c>
      <c r="P459" s="705" t="s">
        <v>1274</v>
      </c>
      <c r="Q459" s="705"/>
      <c r="R459" s="705">
        <v>0</v>
      </c>
      <c r="S459" s="748"/>
      <c r="T459" s="757"/>
      <c r="U459" s="748"/>
      <c r="V459" s="609">
        <f t="shared" ref="V459" si="79">IF(W459=1,G459,0)</f>
        <v>0</v>
      </c>
      <c r="W459" s="707"/>
    </row>
    <row r="460" spans="1:23" s="741" customFormat="1" outlineLevel="2">
      <c r="A460" s="392"/>
      <c r="B460" s="687" t="s">
        <v>308</v>
      </c>
      <c r="C460" s="687" t="s">
        <v>308</v>
      </c>
      <c r="D460" s="687" t="s">
        <v>27</v>
      </c>
      <c r="E460" s="687"/>
      <c r="F460" s="717" t="s">
        <v>1488</v>
      </c>
      <c r="G460" s="742">
        <f>SUBTOTAL(9,G461:G462)</f>
        <v>0</v>
      </c>
      <c r="H460" s="743">
        <f>SUBTOTAL(9,H461:H462)</f>
        <v>0</v>
      </c>
      <c r="I460" s="740"/>
      <c r="J460" s="757"/>
      <c r="K460" s="748"/>
      <c r="L460" s="717"/>
      <c r="M460" s="717"/>
      <c r="N460" s="717"/>
      <c r="O460" s="717"/>
      <c r="P460" s="717"/>
      <c r="Q460" s="717"/>
      <c r="R460" s="717"/>
      <c r="S460" s="748"/>
      <c r="T460" s="757"/>
      <c r="U460" s="748"/>
      <c r="V460" s="742">
        <f>SUBTOTAL(9,V461:V462)</f>
        <v>0</v>
      </c>
      <c r="W460" s="743">
        <f>SUBTOTAL(9,W461:W462)</f>
        <v>0</v>
      </c>
    </row>
    <row r="461" spans="1:23" s="741" customFormat="1" ht="39.6" outlineLevel="3">
      <c r="A461" s="392"/>
      <c r="B461" s="387" t="s">
        <v>308</v>
      </c>
      <c r="C461" s="387" t="s">
        <v>308</v>
      </c>
      <c r="D461" s="387" t="s">
        <v>27</v>
      </c>
      <c r="E461" s="387" t="s">
        <v>28</v>
      </c>
      <c r="F461" s="759" t="s">
        <v>236</v>
      </c>
      <c r="G461" s="706"/>
      <c r="H461" s="707"/>
      <c r="I461" s="740"/>
      <c r="J461" s="757"/>
      <c r="K461" s="748"/>
      <c r="L461" s="705" t="s">
        <v>28</v>
      </c>
      <c r="M461" s="705" t="s">
        <v>1208</v>
      </c>
      <c r="N461" s="705" t="s">
        <v>1481</v>
      </c>
      <c r="O461" s="705" t="s">
        <v>1489</v>
      </c>
      <c r="P461" s="705"/>
      <c r="Q461" s="705"/>
      <c r="R461" s="705"/>
      <c r="S461" s="748"/>
      <c r="T461" s="757"/>
      <c r="U461" s="748"/>
      <c r="V461" s="609">
        <f t="shared" ref="V461:V462" si="80">IF(W461=1,G461,0)</f>
        <v>0</v>
      </c>
      <c r="W461" s="707"/>
    </row>
    <row r="462" spans="1:23" s="741" customFormat="1" ht="39.6" outlineLevel="3">
      <c r="A462" s="392"/>
      <c r="B462" s="387" t="s">
        <v>308</v>
      </c>
      <c r="C462" s="387" t="s">
        <v>308</v>
      </c>
      <c r="D462" s="387" t="s">
        <v>27</v>
      </c>
      <c r="E462" s="387" t="s">
        <v>28</v>
      </c>
      <c r="F462" s="759" t="s">
        <v>1427</v>
      </c>
      <c r="G462" s="706"/>
      <c r="H462" s="707"/>
      <c r="I462" s="740"/>
      <c r="J462" s="757"/>
      <c r="K462" s="748"/>
      <c r="L462" s="705" t="s">
        <v>28</v>
      </c>
      <c r="M462" s="705" t="s">
        <v>1208</v>
      </c>
      <c r="N462" s="705" t="s">
        <v>1481</v>
      </c>
      <c r="O462" s="705" t="s">
        <v>1489</v>
      </c>
      <c r="P462" s="705"/>
      <c r="Q462" s="705"/>
      <c r="R462" s="705"/>
      <c r="S462" s="748"/>
      <c r="T462" s="757"/>
      <c r="U462" s="748"/>
      <c r="V462" s="609">
        <f t="shared" si="80"/>
        <v>0</v>
      </c>
      <c r="W462" s="707"/>
    </row>
    <row r="463" spans="1:23" s="741" customFormat="1" outlineLevel="2">
      <c r="A463" s="392"/>
      <c r="B463" s="687" t="s">
        <v>308</v>
      </c>
      <c r="C463" s="687" t="s">
        <v>308</v>
      </c>
      <c r="D463" s="687" t="s">
        <v>58</v>
      </c>
      <c r="E463" s="687"/>
      <c r="F463" s="717" t="s">
        <v>1421</v>
      </c>
      <c r="G463" s="742">
        <f>SUBTOTAL(9,G464)</f>
        <v>0</v>
      </c>
      <c r="H463" s="743">
        <f>SUBTOTAL(9,H464)</f>
        <v>0</v>
      </c>
      <c r="I463" s="740"/>
      <c r="J463" s="757"/>
      <c r="K463" s="748"/>
      <c r="L463" s="717"/>
      <c r="M463" s="717"/>
      <c r="N463" s="717"/>
      <c r="O463" s="717"/>
      <c r="P463" s="717"/>
      <c r="Q463" s="717"/>
      <c r="R463" s="717"/>
      <c r="S463" s="748"/>
      <c r="T463" s="757"/>
      <c r="U463" s="748"/>
      <c r="V463" s="742">
        <f>SUBTOTAL(9,V464)</f>
        <v>0</v>
      </c>
      <c r="W463" s="743">
        <f>SUBTOTAL(9,W464)</f>
        <v>0</v>
      </c>
    </row>
    <row r="464" spans="1:23" s="741" customFormat="1" outlineLevel="3">
      <c r="A464" s="392"/>
      <c r="B464" s="387" t="s">
        <v>308</v>
      </c>
      <c r="C464" s="387" t="s">
        <v>308</v>
      </c>
      <c r="D464" s="387" t="s">
        <v>58</v>
      </c>
      <c r="E464" s="387" t="s">
        <v>28</v>
      </c>
      <c r="F464" s="759" t="s">
        <v>236</v>
      </c>
      <c r="G464" s="706"/>
      <c r="H464" s="707"/>
      <c r="I464" s="740"/>
      <c r="J464" s="757"/>
      <c r="K464" s="748"/>
      <c r="L464" s="705" t="s">
        <v>28</v>
      </c>
      <c r="M464" s="705"/>
      <c r="N464" s="705"/>
      <c r="O464" s="705"/>
      <c r="P464" s="705"/>
      <c r="Q464" s="705"/>
      <c r="R464" s="705"/>
      <c r="S464" s="748"/>
      <c r="T464" s="757"/>
      <c r="U464" s="748"/>
      <c r="V464" s="609">
        <f t="shared" ref="V464" si="81">IF(W464=1,G464,0)</f>
        <v>0</v>
      </c>
      <c r="W464" s="707"/>
    </row>
    <row r="465" spans="1:23" s="741" customFormat="1" outlineLevel="1">
      <c r="A465" s="392"/>
      <c r="B465" s="666" t="s">
        <v>311</v>
      </c>
      <c r="C465" s="666" t="s">
        <v>312</v>
      </c>
      <c r="D465" s="666"/>
      <c r="E465" s="666"/>
      <c r="F465" s="681" t="s">
        <v>262</v>
      </c>
      <c r="G465" s="724">
        <f>SUBTOTAL(9,G466:G477)</f>
        <v>5.1090020800000007</v>
      </c>
      <c r="H465" s="725">
        <f>SUBTOTAL(9,H466:H477)</f>
        <v>7</v>
      </c>
      <c r="I465" s="740"/>
      <c r="J465" s="757"/>
      <c r="K465" s="748"/>
      <c r="L465" s="760"/>
      <c r="M465" s="760"/>
      <c r="N465" s="760"/>
      <c r="O465" s="760"/>
      <c r="P465" s="760"/>
      <c r="Q465" s="760"/>
      <c r="R465" s="760"/>
      <c r="S465" s="748"/>
      <c r="T465" s="757"/>
      <c r="U465" s="748"/>
      <c r="V465" s="724">
        <f>SUBTOTAL(9,V466:V477)</f>
        <v>0</v>
      </c>
      <c r="W465" s="725">
        <f>SUBTOTAL(9,W466:W477)</f>
        <v>0</v>
      </c>
    </row>
    <row r="466" spans="1:23" ht="26.4" outlineLevel="2">
      <c r="A466" s="376"/>
      <c r="B466" s="687" t="s">
        <v>312</v>
      </c>
      <c r="C466" s="687" t="s">
        <v>312</v>
      </c>
      <c r="D466" s="684" t="s">
        <v>17</v>
      </c>
      <c r="E466" s="687"/>
      <c r="F466" s="717" t="s">
        <v>1483</v>
      </c>
      <c r="G466" s="742">
        <f>SUBTOTAL(9,G467:G470)</f>
        <v>4.2984392500000004</v>
      </c>
      <c r="H466" s="743">
        <f>SUBTOTAL(9,H467:H470)</f>
        <v>4</v>
      </c>
      <c r="I466" s="626"/>
      <c r="J466" s="751"/>
      <c r="L466" s="717"/>
      <c r="M466" s="717"/>
      <c r="N466" s="717"/>
      <c r="O466" s="717"/>
      <c r="P466" s="717"/>
      <c r="Q466" s="717"/>
      <c r="R466" s="717"/>
      <c r="T466" s="751"/>
      <c r="V466" s="742">
        <f>SUBTOTAL(9,V467:V470)</f>
        <v>0</v>
      </c>
      <c r="W466" s="743">
        <f>SUBTOTAL(9,W467:W470)</f>
        <v>0</v>
      </c>
    </row>
    <row r="467" spans="1:23" outlineLevel="3" collapsed="1">
      <c r="A467" s="376"/>
      <c r="B467" s="387" t="s">
        <v>312</v>
      </c>
      <c r="C467" s="387" t="s">
        <v>312</v>
      </c>
      <c r="D467" s="376" t="s">
        <v>17</v>
      </c>
      <c r="E467" s="387" t="s">
        <v>64</v>
      </c>
      <c r="F467" s="705" t="s">
        <v>418</v>
      </c>
      <c r="G467" s="706">
        <v>1.2281255000000002</v>
      </c>
      <c r="H467" s="707">
        <v>1</v>
      </c>
      <c r="I467" s="626"/>
      <c r="J467" s="751"/>
      <c r="L467" s="705" t="s">
        <v>64</v>
      </c>
      <c r="M467" s="705" t="s">
        <v>64</v>
      </c>
      <c r="N467" s="705" t="s">
        <v>1490</v>
      </c>
      <c r="O467" s="705"/>
      <c r="P467" s="705"/>
      <c r="Q467" s="705"/>
      <c r="R467" s="705"/>
      <c r="T467" s="751"/>
      <c r="V467" s="609">
        <f t="shared" ref="V467:V470" si="82">IF(W467=1,G467,0)</f>
        <v>0</v>
      </c>
      <c r="W467" s="707"/>
    </row>
    <row r="468" spans="1:23" outlineLevel="3">
      <c r="A468" s="376"/>
      <c r="B468" s="387" t="s">
        <v>312</v>
      </c>
      <c r="C468" s="387" t="s">
        <v>312</v>
      </c>
      <c r="D468" s="376" t="s">
        <v>17</v>
      </c>
      <c r="E468" s="387" t="s">
        <v>64</v>
      </c>
      <c r="F468" s="705" t="s">
        <v>236</v>
      </c>
      <c r="G468" s="706">
        <v>1.2281255000000002</v>
      </c>
      <c r="H468" s="707">
        <v>1</v>
      </c>
      <c r="I468" s="626"/>
      <c r="J468" s="751"/>
      <c r="L468" s="705" t="s">
        <v>64</v>
      </c>
      <c r="M468" s="705" t="s">
        <v>64</v>
      </c>
      <c r="N468" s="705" t="s">
        <v>1490</v>
      </c>
      <c r="O468" s="705"/>
      <c r="P468" s="705"/>
      <c r="Q468" s="705"/>
      <c r="R468" s="705"/>
      <c r="T468" s="751"/>
      <c r="V468" s="609">
        <f t="shared" si="82"/>
        <v>0</v>
      </c>
      <c r="W468" s="707"/>
    </row>
    <row r="469" spans="1:23" outlineLevel="3">
      <c r="A469" s="376"/>
      <c r="B469" s="387" t="s">
        <v>312</v>
      </c>
      <c r="C469" s="387" t="s">
        <v>312</v>
      </c>
      <c r="D469" s="376" t="s">
        <v>17</v>
      </c>
      <c r="E469" s="387" t="s">
        <v>64</v>
      </c>
      <c r="F469" s="705" t="s">
        <v>1427</v>
      </c>
      <c r="G469" s="706">
        <v>1.2281255</v>
      </c>
      <c r="H469" s="707">
        <v>1</v>
      </c>
      <c r="I469" s="626"/>
      <c r="J469" s="751"/>
      <c r="L469" s="705" t="s">
        <v>64</v>
      </c>
      <c r="M469" s="705" t="s">
        <v>1485</v>
      </c>
      <c r="N469" s="705" t="s">
        <v>1490</v>
      </c>
      <c r="O469" s="705" t="s">
        <v>1491</v>
      </c>
      <c r="P469" s="705"/>
      <c r="Q469" s="705"/>
      <c r="R469" s="705"/>
      <c r="T469" s="751"/>
      <c r="V469" s="609">
        <f t="shared" si="82"/>
        <v>0</v>
      </c>
      <c r="W469" s="707"/>
    </row>
    <row r="470" spans="1:23" outlineLevel="3">
      <c r="A470" s="376"/>
      <c r="B470" s="387" t="s">
        <v>312</v>
      </c>
      <c r="C470" s="387" t="s">
        <v>312</v>
      </c>
      <c r="D470" s="376" t="s">
        <v>17</v>
      </c>
      <c r="E470" s="387" t="s">
        <v>64</v>
      </c>
      <c r="F470" s="705" t="s">
        <v>1487</v>
      </c>
      <c r="G470" s="706">
        <v>0.6140627500000001</v>
      </c>
      <c r="H470" s="707">
        <v>1</v>
      </c>
      <c r="I470" s="626"/>
      <c r="J470" s="751"/>
      <c r="L470" s="705" t="s">
        <v>64</v>
      </c>
      <c r="M470" s="705" t="s">
        <v>1485</v>
      </c>
      <c r="N470" s="705" t="s">
        <v>1490</v>
      </c>
      <c r="O470" s="705" t="s">
        <v>1491</v>
      </c>
      <c r="P470" s="705"/>
      <c r="Q470" s="705"/>
      <c r="R470" s="705"/>
      <c r="T470" s="751"/>
      <c r="V470" s="609">
        <f t="shared" si="82"/>
        <v>0</v>
      </c>
      <c r="W470" s="707"/>
    </row>
    <row r="471" spans="1:23" outlineLevel="2">
      <c r="A471" s="376"/>
      <c r="B471" s="687" t="s">
        <v>312</v>
      </c>
      <c r="C471" s="687" t="s">
        <v>312</v>
      </c>
      <c r="D471" s="684" t="s">
        <v>25</v>
      </c>
      <c r="E471" s="684"/>
      <c r="F471" s="717" t="s">
        <v>1421</v>
      </c>
      <c r="G471" s="742">
        <f>SUBTOTAL(9,G472)</f>
        <v>0.52072521199999999</v>
      </c>
      <c r="H471" s="743">
        <f>SUBTOTAL(9,H472)</f>
        <v>1</v>
      </c>
      <c r="I471" s="626"/>
      <c r="J471" s="751"/>
      <c r="L471" s="685"/>
      <c r="M471" s="685"/>
      <c r="N471" s="685"/>
      <c r="O471" s="685"/>
      <c r="P471" s="685"/>
      <c r="Q471" s="685"/>
      <c r="R471" s="685"/>
      <c r="T471" s="751"/>
      <c r="V471" s="742">
        <f>SUBTOTAL(9,V472)</f>
        <v>0</v>
      </c>
      <c r="W471" s="743">
        <f>SUBTOTAL(9,W472)</f>
        <v>0</v>
      </c>
    </row>
    <row r="472" spans="1:23" outlineLevel="3">
      <c r="A472" s="376"/>
      <c r="B472" s="387" t="s">
        <v>312</v>
      </c>
      <c r="C472" s="387" t="s">
        <v>312</v>
      </c>
      <c r="D472" s="376" t="s">
        <v>25</v>
      </c>
      <c r="E472" s="376" t="s">
        <v>26</v>
      </c>
      <c r="F472" s="705" t="s">
        <v>236</v>
      </c>
      <c r="G472" s="706">
        <v>0.52072521199999999</v>
      </c>
      <c r="H472" s="707">
        <v>1</v>
      </c>
      <c r="I472" s="626"/>
      <c r="J472" s="751"/>
      <c r="L472" s="608" t="s">
        <v>26</v>
      </c>
      <c r="M472" s="608" t="s">
        <v>1272</v>
      </c>
      <c r="N472" s="608" t="s">
        <v>1492</v>
      </c>
      <c r="O472" s="608" t="s">
        <v>72</v>
      </c>
      <c r="P472" s="608" t="s">
        <v>1274</v>
      </c>
      <c r="Q472" s="608"/>
      <c r="R472" s="608">
        <v>0</v>
      </c>
      <c r="T472" s="751"/>
      <c r="V472" s="609">
        <f t="shared" ref="V472" si="83">IF(W472=1,G472,0)</f>
        <v>0</v>
      </c>
      <c r="W472" s="707"/>
    </row>
    <row r="473" spans="1:23" outlineLevel="2">
      <c r="A473" s="376"/>
      <c r="B473" s="687" t="s">
        <v>312</v>
      </c>
      <c r="C473" s="687" t="s">
        <v>312</v>
      </c>
      <c r="D473" s="684" t="s">
        <v>27</v>
      </c>
      <c r="E473" s="684"/>
      <c r="F473" s="717" t="s">
        <v>1488</v>
      </c>
      <c r="G473" s="742">
        <f>SUBTOTAL(9,G474:G475)</f>
        <v>0.28983761800000002</v>
      </c>
      <c r="H473" s="743">
        <f>SUBTOTAL(9,H474:H475)</f>
        <v>2</v>
      </c>
      <c r="I473" s="626"/>
      <c r="J473" s="751"/>
      <c r="L473" s="685"/>
      <c r="M473" s="685"/>
      <c r="N473" s="685"/>
      <c r="O473" s="685"/>
      <c r="P473" s="685"/>
      <c r="Q473" s="685"/>
      <c r="R473" s="685"/>
      <c r="T473" s="751"/>
      <c r="V473" s="742">
        <f>SUBTOTAL(9,V474:V475)</f>
        <v>0</v>
      </c>
      <c r="W473" s="743">
        <f>SUBTOTAL(9,W474:W475)</f>
        <v>0</v>
      </c>
    </row>
    <row r="474" spans="1:23" ht="39.6" outlineLevel="3">
      <c r="A474" s="376"/>
      <c r="B474" s="387" t="s">
        <v>312</v>
      </c>
      <c r="C474" s="387" t="s">
        <v>312</v>
      </c>
      <c r="D474" s="376" t="s">
        <v>27</v>
      </c>
      <c r="E474" s="376" t="s">
        <v>28</v>
      </c>
      <c r="F474" s="705" t="s">
        <v>236</v>
      </c>
      <c r="G474" s="706">
        <v>0.14491880900000001</v>
      </c>
      <c r="H474" s="707">
        <v>1</v>
      </c>
      <c r="I474" s="626"/>
      <c r="J474" s="751"/>
      <c r="L474" s="608" t="s">
        <v>28</v>
      </c>
      <c r="M474" s="608" t="s">
        <v>1208</v>
      </c>
      <c r="N474" s="608" t="s">
        <v>1481</v>
      </c>
      <c r="O474" s="608" t="s">
        <v>1493</v>
      </c>
      <c r="P474" s="608"/>
      <c r="Q474" s="608"/>
      <c r="R474" s="608"/>
      <c r="T474" s="751"/>
      <c r="V474" s="609">
        <f t="shared" ref="V474:V475" si="84">IF(W474=1,G474,0)</f>
        <v>0</v>
      </c>
      <c r="W474" s="707"/>
    </row>
    <row r="475" spans="1:23" ht="39.6" outlineLevel="3">
      <c r="A475" s="376"/>
      <c r="B475" s="387" t="s">
        <v>312</v>
      </c>
      <c r="C475" s="387" t="s">
        <v>312</v>
      </c>
      <c r="D475" s="376" t="s">
        <v>27</v>
      </c>
      <c r="E475" s="376" t="s">
        <v>28</v>
      </c>
      <c r="F475" s="705" t="s">
        <v>1427</v>
      </c>
      <c r="G475" s="706">
        <v>0.14491880900000001</v>
      </c>
      <c r="H475" s="707">
        <v>1</v>
      </c>
      <c r="I475" s="626"/>
      <c r="J475" s="751"/>
      <c r="L475" s="608" t="s">
        <v>28</v>
      </c>
      <c r="M475" s="608" t="s">
        <v>1208</v>
      </c>
      <c r="N475" s="608" t="s">
        <v>1481</v>
      </c>
      <c r="O475" s="608" t="s">
        <v>1493</v>
      </c>
      <c r="P475" s="608"/>
      <c r="Q475" s="608"/>
      <c r="R475" s="608"/>
      <c r="T475" s="751"/>
      <c r="V475" s="609">
        <f t="shared" si="84"/>
        <v>0</v>
      </c>
      <c r="W475" s="707"/>
    </row>
    <row r="476" spans="1:23" outlineLevel="2">
      <c r="A476" s="376"/>
      <c r="B476" s="687" t="s">
        <v>312</v>
      </c>
      <c r="C476" s="687" t="s">
        <v>312</v>
      </c>
      <c r="D476" s="684" t="s">
        <v>58</v>
      </c>
      <c r="E476" s="684"/>
      <c r="F476" s="717" t="s">
        <v>1421</v>
      </c>
      <c r="G476" s="742">
        <f>SUBTOTAL(9,G477)</f>
        <v>0</v>
      </c>
      <c r="H476" s="743">
        <f>SUBTOTAL(9,H477)</f>
        <v>0</v>
      </c>
      <c r="I476" s="626"/>
      <c r="J476" s="751"/>
      <c r="L476" s="685"/>
      <c r="M476" s="685"/>
      <c r="N476" s="685"/>
      <c r="O476" s="685"/>
      <c r="P476" s="685"/>
      <c r="Q476" s="685"/>
      <c r="R476" s="685"/>
      <c r="T476" s="751"/>
      <c r="V476" s="742">
        <f>SUBTOTAL(9,V477)</f>
        <v>0</v>
      </c>
      <c r="W476" s="743">
        <f>SUBTOTAL(9,W477)</f>
        <v>0</v>
      </c>
    </row>
    <row r="477" spans="1:23" outlineLevel="3">
      <c r="A477" s="376"/>
      <c r="B477" s="387" t="s">
        <v>312</v>
      </c>
      <c r="C477" s="387" t="s">
        <v>312</v>
      </c>
      <c r="D477" s="376" t="s">
        <v>58</v>
      </c>
      <c r="E477" s="376" t="s">
        <v>28</v>
      </c>
      <c r="F477" s="759" t="s">
        <v>236</v>
      </c>
      <c r="G477" s="706"/>
      <c r="H477" s="707"/>
      <c r="I477" s="626"/>
      <c r="J477" s="751"/>
      <c r="L477" s="608" t="s">
        <v>28</v>
      </c>
      <c r="M477" s="608"/>
      <c r="N477" s="608"/>
      <c r="O477" s="608"/>
      <c r="P477" s="608"/>
      <c r="Q477" s="608"/>
      <c r="R477" s="608"/>
      <c r="T477" s="751"/>
      <c r="V477" s="609">
        <f t="shared" ref="V477" si="85">IF(W477=1,G477,0)</f>
        <v>0</v>
      </c>
      <c r="W477" s="707"/>
    </row>
    <row r="478" spans="1:23" ht="26.4" outlineLevel="1">
      <c r="A478" s="376"/>
      <c r="B478" s="665" t="s">
        <v>271</v>
      </c>
      <c r="C478" s="665" t="s">
        <v>271</v>
      </c>
      <c r="D478" s="665"/>
      <c r="E478" s="665"/>
      <c r="F478" s="681" t="s">
        <v>262</v>
      </c>
      <c r="G478" s="724">
        <f>SUBTOTAL(9,G479:G501)</f>
        <v>3.6990000000000007</v>
      </c>
      <c r="H478" s="725">
        <f>SUBTOTAL(9,H479:H501)</f>
        <v>15</v>
      </c>
      <c r="I478" s="626"/>
      <c r="J478" s="751"/>
      <c r="L478" s="681"/>
      <c r="M478" s="681" t="s">
        <v>1475</v>
      </c>
      <c r="N478" s="681"/>
      <c r="O478" s="681"/>
      <c r="P478" s="681"/>
      <c r="Q478" s="681"/>
      <c r="R478" s="681"/>
      <c r="T478" s="751"/>
      <c r="V478" s="724">
        <f>SUBTOTAL(9,V479:V501)</f>
        <v>0</v>
      </c>
      <c r="W478" s="725">
        <f>SUBTOTAL(9,W479:W501)</f>
        <v>0</v>
      </c>
    </row>
    <row r="479" spans="1:23" outlineLevel="2">
      <c r="A479" s="376"/>
      <c r="B479" s="684" t="s">
        <v>271</v>
      </c>
      <c r="C479" s="684" t="s">
        <v>271</v>
      </c>
      <c r="D479" s="684" t="s">
        <v>175</v>
      </c>
      <c r="E479" s="684"/>
      <c r="F479" s="685" t="s">
        <v>1494</v>
      </c>
      <c r="G479" s="686">
        <f>SUBTOTAL(9,G480:G485)</f>
        <v>2.7524999999999999</v>
      </c>
      <c r="H479" s="691">
        <f>SUBTOTAL(9,H480:H485)</f>
        <v>6</v>
      </c>
      <c r="I479" s="626"/>
      <c r="J479" s="751"/>
      <c r="L479" s="685"/>
      <c r="M479" s="685"/>
      <c r="N479" s="685"/>
      <c r="O479" s="685"/>
      <c r="P479" s="685"/>
      <c r="Q479" s="685"/>
      <c r="R479" s="685"/>
      <c r="T479" s="751"/>
      <c r="V479" s="686">
        <f>SUBTOTAL(9,V480:V485)</f>
        <v>0</v>
      </c>
      <c r="W479" s="691">
        <f>SUBTOTAL(9,W480:W485)</f>
        <v>0</v>
      </c>
    </row>
    <row r="480" spans="1:23" outlineLevel="3">
      <c r="A480" s="376"/>
      <c r="B480" s="376" t="s">
        <v>271</v>
      </c>
      <c r="C480" s="376" t="s">
        <v>271</v>
      </c>
      <c r="D480" s="376" t="s">
        <v>175</v>
      </c>
      <c r="E480" s="376" t="s">
        <v>64</v>
      </c>
      <c r="F480" s="608" t="s">
        <v>1495</v>
      </c>
      <c r="G480" s="609">
        <v>0.33750000000000002</v>
      </c>
      <c r="H480" s="692">
        <v>1</v>
      </c>
      <c r="I480" s="626"/>
      <c r="J480" s="751"/>
      <c r="L480" s="608" t="s">
        <v>64</v>
      </c>
      <c r="M480" s="608" t="s">
        <v>64</v>
      </c>
      <c r="N480" s="608" t="s">
        <v>1496</v>
      </c>
      <c r="O480" s="608"/>
      <c r="P480" s="608"/>
      <c r="Q480" s="608"/>
      <c r="R480" s="608"/>
      <c r="T480" s="751"/>
      <c r="V480" s="609">
        <f t="shared" ref="V480:V485" si="86">IF(W480=1,G480,0)</f>
        <v>0</v>
      </c>
      <c r="W480" s="692"/>
    </row>
    <row r="481" spans="1:23" outlineLevel="3">
      <c r="A481" s="376"/>
      <c r="B481" s="376" t="s">
        <v>271</v>
      </c>
      <c r="C481" s="376" t="s">
        <v>271</v>
      </c>
      <c r="D481" s="376" t="s">
        <v>175</v>
      </c>
      <c r="E481" s="376" t="s">
        <v>64</v>
      </c>
      <c r="F481" s="608" t="s">
        <v>236</v>
      </c>
      <c r="G481" s="609">
        <v>0.58000000000000007</v>
      </c>
      <c r="H481" s="692">
        <v>1</v>
      </c>
      <c r="I481" s="626"/>
      <c r="J481" s="751"/>
      <c r="L481" s="608" t="s">
        <v>64</v>
      </c>
      <c r="M481" s="608" t="s">
        <v>64</v>
      </c>
      <c r="N481" s="608" t="s">
        <v>1496</v>
      </c>
      <c r="O481" s="608"/>
      <c r="P481" s="608"/>
      <c r="Q481" s="608"/>
      <c r="R481" s="608"/>
      <c r="T481" s="751"/>
      <c r="V481" s="609">
        <f t="shared" si="86"/>
        <v>0</v>
      </c>
      <c r="W481" s="692"/>
    </row>
    <row r="482" spans="1:23" outlineLevel="3">
      <c r="A482" s="376"/>
      <c r="B482" s="376" t="s">
        <v>271</v>
      </c>
      <c r="C482" s="376" t="s">
        <v>271</v>
      </c>
      <c r="D482" s="376" t="s">
        <v>175</v>
      </c>
      <c r="E482" s="376" t="s">
        <v>64</v>
      </c>
      <c r="F482" s="608" t="s">
        <v>317</v>
      </c>
      <c r="G482" s="609">
        <v>0.58000000000000007</v>
      </c>
      <c r="H482" s="692">
        <v>1</v>
      </c>
      <c r="I482" s="626"/>
      <c r="J482" s="751"/>
      <c r="L482" s="608" t="s">
        <v>64</v>
      </c>
      <c r="M482" s="608" t="s">
        <v>1496</v>
      </c>
      <c r="N482" s="608" t="s">
        <v>1497</v>
      </c>
      <c r="O482" s="608"/>
      <c r="P482" s="608"/>
      <c r="Q482" s="608"/>
      <c r="R482" s="608"/>
      <c r="T482" s="751"/>
      <c r="V482" s="609">
        <f t="shared" si="86"/>
        <v>0</v>
      </c>
      <c r="W482" s="692"/>
    </row>
    <row r="483" spans="1:23" outlineLevel="3">
      <c r="A483" s="376"/>
      <c r="B483" s="376" t="s">
        <v>271</v>
      </c>
      <c r="C483" s="376" t="s">
        <v>271</v>
      </c>
      <c r="D483" s="376" t="s">
        <v>175</v>
      </c>
      <c r="E483" s="376" t="s">
        <v>64</v>
      </c>
      <c r="F483" s="608" t="s">
        <v>1498</v>
      </c>
      <c r="G483" s="609">
        <v>0.58000000000000007</v>
      </c>
      <c r="H483" s="692">
        <v>1</v>
      </c>
      <c r="I483" s="626"/>
      <c r="J483" s="751"/>
      <c r="L483" s="608" t="s">
        <v>64</v>
      </c>
      <c r="M483" s="608" t="s">
        <v>1496</v>
      </c>
      <c r="N483" s="608" t="s">
        <v>1497</v>
      </c>
      <c r="O483" s="608"/>
      <c r="P483" s="608"/>
      <c r="Q483" s="608"/>
      <c r="R483" s="608"/>
      <c r="T483" s="751"/>
      <c r="V483" s="609">
        <f t="shared" si="86"/>
        <v>0</v>
      </c>
      <c r="W483" s="692"/>
    </row>
    <row r="484" spans="1:23" outlineLevel="3">
      <c r="A484" s="376"/>
      <c r="B484" s="376" t="s">
        <v>271</v>
      </c>
      <c r="C484" s="376" t="s">
        <v>271</v>
      </c>
      <c r="D484" s="376" t="s">
        <v>175</v>
      </c>
      <c r="E484" s="376" t="s">
        <v>64</v>
      </c>
      <c r="F484" s="608" t="s">
        <v>1487</v>
      </c>
      <c r="G484" s="609">
        <v>0.33750000000000002</v>
      </c>
      <c r="H484" s="692">
        <v>1</v>
      </c>
      <c r="I484" s="626"/>
      <c r="J484" s="751"/>
      <c r="L484" s="608" t="s">
        <v>64</v>
      </c>
      <c r="M484" s="608" t="s">
        <v>1496</v>
      </c>
      <c r="N484" s="608" t="s">
        <v>1497</v>
      </c>
      <c r="O484" s="608"/>
      <c r="P484" s="608"/>
      <c r="Q484" s="608"/>
      <c r="R484" s="608"/>
      <c r="T484" s="751"/>
      <c r="V484" s="609">
        <f t="shared" si="86"/>
        <v>0</v>
      </c>
      <c r="W484" s="692"/>
    </row>
    <row r="485" spans="1:23" outlineLevel="3">
      <c r="A485" s="376"/>
      <c r="B485" s="376" t="s">
        <v>271</v>
      </c>
      <c r="C485" s="376" t="s">
        <v>271</v>
      </c>
      <c r="D485" s="376" t="s">
        <v>175</v>
      </c>
      <c r="E485" s="376" t="s">
        <v>64</v>
      </c>
      <c r="F485" s="608" t="s">
        <v>1499</v>
      </c>
      <c r="G485" s="609">
        <v>0.33750000000000002</v>
      </c>
      <c r="H485" s="692">
        <v>1</v>
      </c>
      <c r="I485" s="626"/>
      <c r="J485" s="751"/>
      <c r="L485" s="608" t="s">
        <v>64</v>
      </c>
      <c r="M485" s="608" t="s">
        <v>1496</v>
      </c>
      <c r="N485" s="608" t="s">
        <v>1497</v>
      </c>
      <c r="O485" s="608"/>
      <c r="P485" s="608"/>
      <c r="Q485" s="608"/>
      <c r="R485" s="608"/>
      <c r="T485" s="751"/>
      <c r="V485" s="609">
        <f t="shared" si="86"/>
        <v>0</v>
      </c>
      <c r="W485" s="692"/>
    </row>
    <row r="486" spans="1:23" outlineLevel="2">
      <c r="A486" s="376"/>
      <c r="B486" s="684" t="s">
        <v>271</v>
      </c>
      <c r="C486" s="684" t="s">
        <v>271</v>
      </c>
      <c r="D486" s="684" t="s">
        <v>17</v>
      </c>
      <c r="E486" s="684"/>
      <c r="F486" s="685" t="s">
        <v>1494</v>
      </c>
      <c r="G486" s="686">
        <f>SUBTOTAL(9,G487:G489)</f>
        <v>0.28500000000000003</v>
      </c>
      <c r="H486" s="691">
        <f>SUBTOTAL(9,H487:H489)</f>
        <v>3</v>
      </c>
      <c r="I486" s="626"/>
      <c r="J486" s="751"/>
      <c r="L486" s="685"/>
      <c r="M486" s="685"/>
      <c r="N486" s="685"/>
      <c r="O486" s="685"/>
      <c r="P486" s="685"/>
      <c r="Q486" s="685"/>
      <c r="R486" s="685"/>
      <c r="T486" s="751"/>
      <c r="V486" s="686">
        <f>SUBTOTAL(9,V487:V489)</f>
        <v>0</v>
      </c>
      <c r="W486" s="691">
        <f>SUBTOTAL(9,W487:W489)</f>
        <v>0</v>
      </c>
    </row>
    <row r="487" spans="1:23" outlineLevel="3">
      <c r="A487" s="376"/>
      <c r="B487" s="376" t="s">
        <v>271</v>
      </c>
      <c r="C487" s="376" t="s">
        <v>271</v>
      </c>
      <c r="D487" s="376" t="s">
        <v>17</v>
      </c>
      <c r="E487" s="376" t="s">
        <v>177</v>
      </c>
      <c r="F487" s="628" t="s">
        <v>370</v>
      </c>
      <c r="G487" s="609">
        <v>9.5000000000000015E-2</v>
      </c>
      <c r="H487" s="692">
        <v>1</v>
      </c>
      <c r="I487" s="626"/>
      <c r="J487" s="751"/>
      <c r="L487" s="608" t="s">
        <v>177</v>
      </c>
      <c r="M487" s="608"/>
      <c r="N487" s="608"/>
      <c r="O487" s="608"/>
      <c r="P487" s="608"/>
      <c r="Q487" s="608"/>
      <c r="R487" s="608"/>
      <c r="T487" s="751"/>
      <c r="V487" s="609">
        <f t="shared" ref="V487:V489" si="87">IF(W487=1,G487,0)</f>
        <v>0</v>
      </c>
      <c r="W487" s="692"/>
    </row>
    <row r="488" spans="1:23" outlineLevel="3">
      <c r="A488" s="376"/>
      <c r="B488" s="376" t="s">
        <v>271</v>
      </c>
      <c r="C488" s="376" t="s">
        <v>271</v>
      </c>
      <c r="D488" s="376" t="s">
        <v>17</v>
      </c>
      <c r="E488" s="376" t="s">
        <v>177</v>
      </c>
      <c r="F488" s="628" t="s">
        <v>287</v>
      </c>
      <c r="G488" s="609">
        <v>9.5000000000000015E-2</v>
      </c>
      <c r="H488" s="692">
        <v>1</v>
      </c>
      <c r="I488" s="626"/>
      <c r="J488" s="751"/>
      <c r="L488" s="608" t="s">
        <v>177</v>
      </c>
      <c r="M488" s="608"/>
      <c r="N488" s="608"/>
      <c r="O488" s="608"/>
      <c r="P488" s="608"/>
      <c r="Q488" s="608"/>
      <c r="R488" s="608"/>
      <c r="T488" s="751"/>
      <c r="V488" s="609">
        <f t="shared" si="87"/>
        <v>0</v>
      </c>
      <c r="W488" s="692"/>
    </row>
    <row r="489" spans="1:23" outlineLevel="3">
      <c r="A489" s="376"/>
      <c r="B489" s="376" t="s">
        <v>271</v>
      </c>
      <c r="C489" s="376" t="s">
        <v>271</v>
      </c>
      <c r="D489" s="376" t="s">
        <v>17</v>
      </c>
      <c r="E489" s="376" t="s">
        <v>177</v>
      </c>
      <c r="F489" s="628" t="s">
        <v>371</v>
      </c>
      <c r="G489" s="609">
        <v>9.5000000000000015E-2</v>
      </c>
      <c r="H489" s="692">
        <v>1</v>
      </c>
      <c r="I489" s="626"/>
      <c r="J489" s="751"/>
      <c r="L489" s="608" t="s">
        <v>177</v>
      </c>
      <c r="M489" s="608"/>
      <c r="N489" s="608"/>
      <c r="O489" s="608"/>
      <c r="P489" s="608"/>
      <c r="Q489" s="608"/>
      <c r="R489" s="608"/>
      <c r="T489" s="751"/>
      <c r="V489" s="609">
        <f t="shared" si="87"/>
        <v>0</v>
      </c>
      <c r="W489" s="692"/>
    </row>
    <row r="490" spans="1:23" outlineLevel="2">
      <c r="A490" s="376"/>
      <c r="B490" s="684" t="s">
        <v>271</v>
      </c>
      <c r="C490" s="684" t="s">
        <v>271</v>
      </c>
      <c r="D490" s="684" t="s">
        <v>25</v>
      </c>
      <c r="E490" s="684"/>
      <c r="F490" s="685" t="s">
        <v>1494</v>
      </c>
      <c r="G490" s="686">
        <f>SUBTOTAL(9,G491:G493)</f>
        <v>0.57240000000000002</v>
      </c>
      <c r="H490" s="691">
        <f>SUBTOTAL(9,H491:H493)</f>
        <v>3</v>
      </c>
      <c r="I490" s="626"/>
      <c r="J490" s="751"/>
      <c r="L490" s="685"/>
      <c r="M490" s="685"/>
      <c r="N490" s="685"/>
      <c r="O490" s="685"/>
      <c r="P490" s="685"/>
      <c r="Q490" s="685"/>
      <c r="R490" s="685"/>
      <c r="T490" s="751"/>
      <c r="V490" s="686">
        <f>SUBTOTAL(9,V491:V493)</f>
        <v>0</v>
      </c>
      <c r="W490" s="691">
        <f>SUBTOTAL(9,W491:W493)</f>
        <v>0</v>
      </c>
    </row>
    <row r="491" spans="1:23" outlineLevel="3">
      <c r="A491" s="376"/>
      <c r="B491" s="376" t="s">
        <v>271</v>
      </c>
      <c r="C491" s="376" t="s">
        <v>271</v>
      </c>
      <c r="D491" s="376" t="s">
        <v>25</v>
      </c>
      <c r="E491" s="376" t="s">
        <v>26</v>
      </c>
      <c r="F491" s="608" t="s">
        <v>236</v>
      </c>
      <c r="G491" s="609">
        <v>0.1431</v>
      </c>
      <c r="H491" s="692">
        <v>1</v>
      </c>
      <c r="I491" s="626"/>
      <c r="J491" s="751"/>
      <c r="L491" s="608" t="s">
        <v>26</v>
      </c>
      <c r="M491" s="608" t="s">
        <v>1454</v>
      </c>
      <c r="N491" s="608" t="s">
        <v>1202</v>
      </c>
      <c r="O491" s="608" t="s">
        <v>1500</v>
      </c>
      <c r="P491" s="608" t="s">
        <v>1274</v>
      </c>
      <c r="Q491" s="608"/>
      <c r="R491" s="608">
        <v>0</v>
      </c>
      <c r="T491" s="751"/>
      <c r="V491" s="609">
        <f t="shared" ref="V491:V493" si="88">IF(W491=1,G491,0)</f>
        <v>0</v>
      </c>
      <c r="W491" s="692"/>
    </row>
    <row r="492" spans="1:23" outlineLevel="3">
      <c r="A492" s="376"/>
      <c r="B492" s="376" t="s">
        <v>271</v>
      </c>
      <c r="C492" s="376" t="s">
        <v>271</v>
      </c>
      <c r="D492" s="376" t="s">
        <v>25</v>
      </c>
      <c r="E492" s="376" t="s">
        <v>26</v>
      </c>
      <c r="F492" s="608" t="s">
        <v>1212</v>
      </c>
      <c r="G492" s="609">
        <v>0.28620000000000001</v>
      </c>
      <c r="H492" s="692">
        <v>1</v>
      </c>
      <c r="I492" s="626"/>
      <c r="J492" s="751"/>
      <c r="L492" s="608" t="s">
        <v>26</v>
      </c>
      <c r="M492" s="608" t="s">
        <v>1454</v>
      </c>
      <c r="N492" s="608" t="s">
        <v>1202</v>
      </c>
      <c r="O492" s="608" t="s">
        <v>1500</v>
      </c>
      <c r="P492" s="608" t="s">
        <v>1274</v>
      </c>
      <c r="Q492" s="608"/>
      <c r="R492" s="608">
        <v>0</v>
      </c>
      <c r="T492" s="751"/>
      <c r="V492" s="609">
        <f t="shared" si="88"/>
        <v>0</v>
      </c>
      <c r="W492" s="692"/>
    </row>
    <row r="493" spans="1:23" outlineLevel="3">
      <c r="A493" s="376"/>
      <c r="B493" s="376" t="s">
        <v>271</v>
      </c>
      <c r="C493" s="376" t="s">
        <v>271</v>
      </c>
      <c r="D493" s="376" t="s">
        <v>25</v>
      </c>
      <c r="E493" s="376" t="s">
        <v>26</v>
      </c>
      <c r="F493" s="608" t="s">
        <v>1499</v>
      </c>
      <c r="G493" s="609">
        <v>0.1431</v>
      </c>
      <c r="H493" s="692">
        <v>1</v>
      </c>
      <c r="I493" s="626"/>
      <c r="J493" s="751"/>
      <c r="L493" s="608" t="s">
        <v>26</v>
      </c>
      <c r="M493" s="608" t="s">
        <v>1454</v>
      </c>
      <c r="N493" s="608" t="s">
        <v>1202</v>
      </c>
      <c r="O493" s="608" t="s">
        <v>1500</v>
      </c>
      <c r="P493" s="608" t="s">
        <v>1274</v>
      </c>
      <c r="Q493" s="608"/>
      <c r="R493" s="608">
        <v>0</v>
      </c>
      <c r="T493" s="751"/>
      <c r="V493" s="609">
        <f t="shared" si="88"/>
        <v>0</v>
      </c>
      <c r="W493" s="692"/>
    </row>
    <row r="494" spans="1:23" outlineLevel="2">
      <c r="A494" s="376"/>
      <c r="B494" s="684" t="s">
        <v>271</v>
      </c>
      <c r="C494" s="684" t="s">
        <v>271</v>
      </c>
      <c r="D494" s="684" t="s">
        <v>27</v>
      </c>
      <c r="E494" s="684"/>
      <c r="F494" s="685" t="s">
        <v>1494</v>
      </c>
      <c r="G494" s="686">
        <f>SUBTOTAL(9,G495:G497)</f>
        <v>0</v>
      </c>
      <c r="H494" s="691">
        <f>SUBTOTAL(9,H495:H497)</f>
        <v>0</v>
      </c>
      <c r="I494" s="626"/>
      <c r="J494" s="751"/>
      <c r="L494" s="685"/>
      <c r="M494" s="685"/>
      <c r="N494" s="685"/>
      <c r="O494" s="685"/>
      <c r="P494" s="685"/>
      <c r="Q494" s="685"/>
      <c r="R494" s="685"/>
      <c r="T494" s="751"/>
      <c r="V494" s="686">
        <f>SUBTOTAL(9,V495:V497)</f>
        <v>0</v>
      </c>
      <c r="W494" s="691">
        <f>SUBTOTAL(9,W495:W497)</f>
        <v>0</v>
      </c>
    </row>
    <row r="495" spans="1:23" ht="39.6" outlineLevel="3">
      <c r="A495" s="376"/>
      <c r="B495" s="376" t="s">
        <v>271</v>
      </c>
      <c r="C495" s="376" t="s">
        <v>271</v>
      </c>
      <c r="D495" s="376" t="s">
        <v>27</v>
      </c>
      <c r="E495" s="376" t="s">
        <v>28</v>
      </c>
      <c r="F495" s="759" t="s">
        <v>236</v>
      </c>
      <c r="G495" s="609"/>
      <c r="H495" s="692"/>
      <c r="I495" s="626"/>
      <c r="J495" s="751"/>
      <c r="L495" s="608" t="s">
        <v>28</v>
      </c>
      <c r="M495" s="608" t="s">
        <v>1208</v>
      </c>
      <c r="N495" s="608" t="s">
        <v>1393</v>
      </c>
      <c r="O495" s="608" t="s">
        <v>1501</v>
      </c>
      <c r="P495" s="608"/>
      <c r="Q495" s="608"/>
      <c r="R495" s="608"/>
      <c r="T495" s="751"/>
      <c r="V495" s="609">
        <f t="shared" ref="V495:V497" si="89">IF(W495=1,G495,0)</f>
        <v>0</v>
      </c>
      <c r="W495" s="692"/>
    </row>
    <row r="496" spans="1:23" ht="39.6" outlineLevel="3">
      <c r="A496" s="376"/>
      <c r="B496" s="376" t="s">
        <v>271</v>
      </c>
      <c r="C496" s="376" t="s">
        <v>271</v>
      </c>
      <c r="D496" s="376" t="s">
        <v>27</v>
      </c>
      <c r="E496" s="376" t="s">
        <v>28</v>
      </c>
      <c r="F496" s="759" t="s">
        <v>1212</v>
      </c>
      <c r="G496" s="609"/>
      <c r="H496" s="692"/>
      <c r="I496" s="626"/>
      <c r="J496" s="751"/>
      <c r="L496" s="608" t="s">
        <v>28</v>
      </c>
      <c r="M496" s="608" t="s">
        <v>1208</v>
      </c>
      <c r="N496" s="608" t="s">
        <v>1393</v>
      </c>
      <c r="O496" s="608" t="s">
        <v>1501</v>
      </c>
      <c r="P496" s="608"/>
      <c r="Q496" s="608"/>
      <c r="R496" s="608"/>
      <c r="T496" s="751"/>
      <c r="V496" s="609">
        <f t="shared" si="89"/>
        <v>0</v>
      </c>
      <c r="W496" s="692"/>
    </row>
    <row r="497" spans="1:23" ht="39.6" outlineLevel="3" collapsed="1">
      <c r="A497" s="376"/>
      <c r="B497" s="376" t="s">
        <v>271</v>
      </c>
      <c r="C497" s="376" t="s">
        <v>271</v>
      </c>
      <c r="D497" s="376" t="s">
        <v>27</v>
      </c>
      <c r="E497" s="376" t="s">
        <v>28</v>
      </c>
      <c r="F497" s="759" t="s">
        <v>1499</v>
      </c>
      <c r="G497" s="609"/>
      <c r="H497" s="692"/>
      <c r="I497" s="626"/>
      <c r="J497" s="751"/>
      <c r="L497" s="608" t="s">
        <v>28</v>
      </c>
      <c r="M497" s="608" t="s">
        <v>1208</v>
      </c>
      <c r="N497" s="608" t="s">
        <v>1393</v>
      </c>
      <c r="O497" s="608" t="s">
        <v>1501</v>
      </c>
      <c r="P497" s="608"/>
      <c r="Q497" s="608"/>
      <c r="R497" s="608"/>
      <c r="T497" s="751"/>
      <c r="V497" s="609">
        <f t="shared" si="89"/>
        <v>0</v>
      </c>
      <c r="W497" s="692"/>
    </row>
    <row r="498" spans="1:23" outlineLevel="2">
      <c r="A498" s="376"/>
      <c r="B498" s="684" t="s">
        <v>271</v>
      </c>
      <c r="C498" s="684" t="s">
        <v>271</v>
      </c>
      <c r="D498" s="684" t="s">
        <v>58</v>
      </c>
      <c r="E498" s="684"/>
      <c r="F498" s="685" t="s">
        <v>1494</v>
      </c>
      <c r="G498" s="686">
        <f>SUBTOTAL(9,G499:G501)</f>
        <v>8.9100000000000013E-2</v>
      </c>
      <c r="H498" s="691">
        <f>SUBTOTAL(9,H499:H501)</f>
        <v>3</v>
      </c>
      <c r="I498" s="626"/>
      <c r="J498" s="751"/>
      <c r="L498" s="685"/>
      <c r="M498" s="685"/>
      <c r="N498" s="685"/>
      <c r="O498" s="685"/>
      <c r="P498" s="685"/>
      <c r="Q498" s="685"/>
      <c r="R498" s="685"/>
      <c r="T498" s="751"/>
      <c r="V498" s="686">
        <f>SUBTOTAL(9,V499:V501)</f>
        <v>0</v>
      </c>
      <c r="W498" s="691">
        <f>SUBTOTAL(9,W499:W501)</f>
        <v>0</v>
      </c>
    </row>
    <row r="499" spans="1:23" outlineLevel="3" collapsed="1">
      <c r="A499" s="376"/>
      <c r="B499" s="376" t="s">
        <v>271</v>
      </c>
      <c r="C499" s="376" t="s">
        <v>271</v>
      </c>
      <c r="D499" s="376" t="s">
        <v>58</v>
      </c>
      <c r="E499" s="376" t="s">
        <v>28</v>
      </c>
      <c r="F499" s="629" t="s">
        <v>236</v>
      </c>
      <c r="G499" s="609">
        <v>4.4550000000000006E-2</v>
      </c>
      <c r="H499" s="692">
        <v>1</v>
      </c>
      <c r="I499" s="626"/>
      <c r="J499" s="751"/>
      <c r="L499" s="608" t="s">
        <v>28</v>
      </c>
      <c r="M499" s="608" t="s">
        <v>1236</v>
      </c>
      <c r="N499" s="608" t="s">
        <v>1502</v>
      </c>
      <c r="O499" s="608" t="s">
        <v>1433</v>
      </c>
      <c r="P499" s="608"/>
      <c r="Q499" s="608"/>
      <c r="R499" s="608"/>
      <c r="T499" s="751"/>
      <c r="V499" s="609">
        <f t="shared" ref="V499:V501" si="90">IF(W499=1,G499,0)</f>
        <v>0</v>
      </c>
      <c r="W499" s="692"/>
    </row>
    <row r="500" spans="1:23" outlineLevel="3">
      <c r="A500" s="376"/>
      <c r="B500" s="376" t="s">
        <v>271</v>
      </c>
      <c r="C500" s="376" t="s">
        <v>271</v>
      </c>
      <c r="D500" s="376" t="s">
        <v>58</v>
      </c>
      <c r="E500" s="376" t="s">
        <v>28</v>
      </c>
      <c r="F500" s="608" t="s">
        <v>1212</v>
      </c>
      <c r="G500" s="609">
        <v>2.2275000000000003E-2</v>
      </c>
      <c r="H500" s="692">
        <v>1</v>
      </c>
      <c r="I500" s="626"/>
      <c r="J500" s="751"/>
      <c r="L500" s="608" t="s">
        <v>28</v>
      </c>
      <c r="M500" s="608" t="s">
        <v>1236</v>
      </c>
      <c r="N500" s="608" t="s">
        <v>1502</v>
      </c>
      <c r="O500" s="608" t="s">
        <v>1433</v>
      </c>
      <c r="P500" s="608"/>
      <c r="Q500" s="608"/>
      <c r="R500" s="608"/>
      <c r="T500" s="751"/>
      <c r="V500" s="609">
        <f t="shared" si="90"/>
        <v>0</v>
      </c>
      <c r="W500" s="692"/>
    </row>
    <row r="501" spans="1:23" outlineLevel="3">
      <c r="A501" s="376"/>
      <c r="B501" s="376" t="s">
        <v>271</v>
      </c>
      <c r="C501" s="376" t="s">
        <v>271</v>
      </c>
      <c r="D501" s="376" t="s">
        <v>58</v>
      </c>
      <c r="E501" s="376" t="s">
        <v>28</v>
      </c>
      <c r="F501" s="608" t="s">
        <v>1499</v>
      </c>
      <c r="G501" s="609">
        <v>2.2275000000000003E-2</v>
      </c>
      <c r="H501" s="692">
        <v>1</v>
      </c>
      <c r="I501" s="626"/>
      <c r="J501" s="751"/>
      <c r="L501" s="608" t="s">
        <v>28</v>
      </c>
      <c r="M501" s="608" t="s">
        <v>1236</v>
      </c>
      <c r="N501" s="608" t="s">
        <v>1502</v>
      </c>
      <c r="O501" s="608" t="s">
        <v>1433</v>
      </c>
      <c r="P501" s="608"/>
      <c r="Q501" s="608"/>
      <c r="R501" s="608"/>
      <c r="T501" s="751"/>
      <c r="V501" s="609">
        <f t="shared" si="90"/>
        <v>0</v>
      </c>
      <c r="W501" s="692"/>
    </row>
    <row r="502" spans="1:23" outlineLevel="1">
      <c r="A502" s="376"/>
      <c r="B502" s="665" t="s">
        <v>328</v>
      </c>
      <c r="C502" s="665" t="s">
        <v>265</v>
      </c>
      <c r="D502" s="665"/>
      <c r="E502" s="665"/>
      <c r="F502" s="681" t="s">
        <v>262</v>
      </c>
      <c r="G502" s="724">
        <f>SUBTOTAL(9,G503:G521)</f>
        <v>6.27508</v>
      </c>
      <c r="H502" s="725">
        <f>SUBTOTAL(9,H503:H521)</f>
        <v>8</v>
      </c>
      <c r="I502" s="626"/>
      <c r="J502" s="751"/>
      <c r="L502" s="681"/>
      <c r="M502" s="681"/>
      <c r="N502" s="681"/>
      <c r="O502" s="681"/>
      <c r="P502" s="681"/>
      <c r="Q502" s="681"/>
      <c r="R502" s="681"/>
      <c r="T502" s="751"/>
      <c r="V502" s="724">
        <f>SUBTOTAL(9,V503:V521)</f>
        <v>0</v>
      </c>
      <c r="W502" s="725">
        <f>SUBTOTAL(9,W503:W521)</f>
        <v>0</v>
      </c>
    </row>
    <row r="503" spans="1:23" ht="26.4" outlineLevel="2">
      <c r="A503" s="376"/>
      <c r="B503" s="684" t="s">
        <v>328</v>
      </c>
      <c r="C503" s="684" t="s">
        <v>121</v>
      </c>
      <c r="D503" s="684" t="s">
        <v>175</v>
      </c>
      <c r="E503" s="684"/>
      <c r="F503" s="685" t="s">
        <v>1503</v>
      </c>
      <c r="G503" s="686">
        <f>SUBTOTAL(9,G504:G507)</f>
        <v>4.5200000000000005</v>
      </c>
      <c r="H503" s="691">
        <f>SUBTOTAL(9,H504:H507)</f>
        <v>4</v>
      </c>
      <c r="I503" s="626"/>
      <c r="J503" s="751"/>
      <c r="L503" s="685"/>
      <c r="M503" s="685"/>
      <c r="N503" s="685"/>
      <c r="O503" s="685"/>
      <c r="P503" s="685"/>
      <c r="Q503" s="685"/>
      <c r="R503" s="685"/>
      <c r="T503" s="751"/>
      <c r="V503" s="686">
        <f>SUBTOTAL(9,V504:V507)</f>
        <v>0</v>
      </c>
      <c r="W503" s="691">
        <f>SUBTOTAL(9,W504:W507)</f>
        <v>0</v>
      </c>
    </row>
    <row r="504" spans="1:23" outlineLevel="3">
      <c r="A504" s="376"/>
      <c r="B504" s="376" t="s">
        <v>328</v>
      </c>
      <c r="C504" s="376" t="s">
        <v>121</v>
      </c>
      <c r="D504" s="376" t="s">
        <v>175</v>
      </c>
      <c r="E504" s="376" t="s">
        <v>28</v>
      </c>
      <c r="F504" s="608" t="s">
        <v>418</v>
      </c>
      <c r="G504" s="609">
        <v>0.85500000000000009</v>
      </c>
      <c r="H504" s="692">
        <v>1</v>
      </c>
      <c r="I504" s="626"/>
      <c r="J504" s="751"/>
      <c r="L504" s="608" t="s">
        <v>28</v>
      </c>
      <c r="M504" s="608" t="s">
        <v>1504</v>
      </c>
      <c r="N504" s="608" t="s">
        <v>1505</v>
      </c>
      <c r="O504" s="608"/>
      <c r="P504" s="608"/>
      <c r="Q504" s="608"/>
      <c r="R504" s="608"/>
      <c r="T504" s="751"/>
      <c r="V504" s="609">
        <f t="shared" ref="V504:V507" si="91">IF(W504=1,G504,0)</f>
        <v>0</v>
      </c>
      <c r="W504" s="692"/>
    </row>
    <row r="505" spans="1:23" outlineLevel="3">
      <c r="A505" s="376"/>
      <c r="B505" s="376" t="s">
        <v>328</v>
      </c>
      <c r="C505" s="376" t="s">
        <v>121</v>
      </c>
      <c r="D505" s="376" t="s">
        <v>175</v>
      </c>
      <c r="E505" s="376" t="s">
        <v>28</v>
      </c>
      <c r="F505" s="608" t="s">
        <v>236</v>
      </c>
      <c r="G505" s="609">
        <v>1.4050000000000002</v>
      </c>
      <c r="H505" s="692">
        <v>1</v>
      </c>
      <c r="I505" s="626"/>
      <c r="J505" s="751"/>
      <c r="L505" s="608" t="s">
        <v>28</v>
      </c>
      <c r="M505" s="608" t="s">
        <v>1504</v>
      </c>
      <c r="N505" s="608" t="s">
        <v>1505</v>
      </c>
      <c r="O505" s="608"/>
      <c r="P505" s="608"/>
      <c r="Q505" s="608"/>
      <c r="R505" s="608"/>
      <c r="T505" s="751"/>
      <c r="V505" s="609">
        <f t="shared" si="91"/>
        <v>0</v>
      </c>
      <c r="W505" s="692"/>
    </row>
    <row r="506" spans="1:23" outlineLevel="3">
      <c r="A506" s="376"/>
      <c r="B506" s="376" t="s">
        <v>328</v>
      </c>
      <c r="C506" s="376" t="s">
        <v>121</v>
      </c>
      <c r="D506" s="376" t="s">
        <v>175</v>
      </c>
      <c r="E506" s="376" t="s">
        <v>28</v>
      </c>
      <c r="F506" s="608" t="s">
        <v>32</v>
      </c>
      <c r="G506" s="609">
        <v>1.4050000000000002</v>
      </c>
      <c r="H506" s="692">
        <v>1</v>
      </c>
      <c r="I506" s="626"/>
      <c r="J506" s="751"/>
      <c r="L506" s="608" t="s">
        <v>28</v>
      </c>
      <c r="M506" s="608" t="s">
        <v>1504</v>
      </c>
      <c r="N506" s="608" t="s">
        <v>1505</v>
      </c>
      <c r="O506" s="608"/>
      <c r="P506" s="608"/>
      <c r="Q506" s="608"/>
      <c r="R506" s="608"/>
      <c r="T506" s="751"/>
      <c r="V506" s="609">
        <f t="shared" si="91"/>
        <v>0</v>
      </c>
      <c r="W506" s="692"/>
    </row>
    <row r="507" spans="1:23" outlineLevel="3">
      <c r="A507" s="376"/>
      <c r="B507" s="376" t="s">
        <v>328</v>
      </c>
      <c r="C507" s="376" t="s">
        <v>121</v>
      </c>
      <c r="D507" s="376" t="s">
        <v>175</v>
      </c>
      <c r="E507" s="376" t="s">
        <v>28</v>
      </c>
      <c r="F507" s="608" t="s">
        <v>1506</v>
      </c>
      <c r="G507" s="609">
        <v>0.85500000000000009</v>
      </c>
      <c r="H507" s="692">
        <v>1</v>
      </c>
      <c r="I507" s="626"/>
      <c r="J507" s="751"/>
      <c r="L507" s="608" t="s">
        <v>28</v>
      </c>
      <c r="M507" s="608" t="s">
        <v>1504</v>
      </c>
      <c r="N507" s="608" t="s">
        <v>1505</v>
      </c>
      <c r="O507" s="608"/>
      <c r="P507" s="608"/>
      <c r="Q507" s="608"/>
      <c r="R507" s="608"/>
      <c r="T507" s="751"/>
      <c r="V507" s="609">
        <f t="shared" si="91"/>
        <v>0</v>
      </c>
      <c r="W507" s="692"/>
    </row>
    <row r="508" spans="1:23" ht="26.4" outlineLevel="2">
      <c r="A508" s="376"/>
      <c r="B508" s="684" t="s">
        <v>328</v>
      </c>
      <c r="C508" s="684" t="s">
        <v>121</v>
      </c>
      <c r="D508" s="684" t="s">
        <v>17</v>
      </c>
      <c r="E508" s="684"/>
      <c r="F508" s="685" t="s">
        <v>1507</v>
      </c>
      <c r="G508" s="686">
        <f>SUBTOTAL(9,G509)</f>
        <v>0.30500000000000005</v>
      </c>
      <c r="H508" s="691">
        <f>SUBTOTAL(9,H509)</f>
        <v>1</v>
      </c>
      <c r="I508" s="626"/>
      <c r="J508" s="751"/>
      <c r="L508" s="685"/>
      <c r="M508" s="685" t="s">
        <v>1475</v>
      </c>
      <c r="N508" s="685"/>
      <c r="O508" s="685"/>
      <c r="P508" s="685"/>
      <c r="Q508" s="685"/>
      <c r="R508" s="685"/>
      <c r="T508" s="751"/>
      <c r="V508" s="686">
        <f>SUBTOTAL(9,V509)</f>
        <v>0</v>
      </c>
      <c r="W508" s="691">
        <f>SUBTOTAL(9,W509)</f>
        <v>0</v>
      </c>
    </row>
    <row r="509" spans="1:23" outlineLevel="3">
      <c r="A509" s="376"/>
      <c r="B509" s="376" t="s">
        <v>328</v>
      </c>
      <c r="C509" s="376" t="s">
        <v>121</v>
      </c>
      <c r="D509" s="376" t="s">
        <v>17</v>
      </c>
      <c r="E509" s="376" t="s">
        <v>177</v>
      </c>
      <c r="F509" s="608" t="s">
        <v>236</v>
      </c>
      <c r="G509" s="609">
        <v>0.30500000000000005</v>
      </c>
      <c r="H509" s="692">
        <v>1</v>
      </c>
      <c r="I509" s="626"/>
      <c r="J509" s="751"/>
      <c r="L509" s="608" t="s">
        <v>177</v>
      </c>
      <c r="M509" s="608"/>
      <c r="N509" s="608"/>
      <c r="O509" s="608"/>
      <c r="P509" s="608"/>
      <c r="Q509" s="608"/>
      <c r="R509" s="608"/>
      <c r="T509" s="751"/>
      <c r="V509" s="609">
        <f t="shared" ref="V509" si="92">IF(W509=1,G509,0)</f>
        <v>0</v>
      </c>
      <c r="W509" s="692"/>
    </row>
    <row r="510" spans="1:23" ht="26.4" outlineLevel="2">
      <c r="A510" s="376"/>
      <c r="B510" s="684" t="s">
        <v>328</v>
      </c>
      <c r="C510" s="684" t="s">
        <v>121</v>
      </c>
      <c r="D510" s="684" t="s">
        <v>25</v>
      </c>
      <c r="E510" s="684"/>
      <c r="F510" s="685" t="s">
        <v>1508</v>
      </c>
      <c r="G510" s="686">
        <f>SUBTOTAL(9,G511:G513)</f>
        <v>1.45008</v>
      </c>
      <c r="H510" s="691">
        <f>SUBTOTAL(9,H511:H513)</f>
        <v>3</v>
      </c>
      <c r="I510" s="626"/>
      <c r="J510" s="751"/>
      <c r="L510" s="685"/>
      <c r="M510" s="685"/>
      <c r="N510" s="685"/>
      <c r="O510" s="685"/>
      <c r="P510" s="685"/>
      <c r="Q510" s="685"/>
      <c r="R510" s="685"/>
      <c r="T510" s="751"/>
      <c r="V510" s="686">
        <f>SUBTOTAL(9,V511:V513)</f>
        <v>0</v>
      </c>
      <c r="W510" s="691">
        <f>SUBTOTAL(9,W511:W513)</f>
        <v>0</v>
      </c>
    </row>
    <row r="511" spans="1:23" outlineLevel="3">
      <c r="A511" s="376"/>
      <c r="B511" s="376" t="s">
        <v>328</v>
      </c>
      <c r="C511" s="376" t="s">
        <v>121</v>
      </c>
      <c r="D511" s="376" t="s">
        <v>25</v>
      </c>
      <c r="E511" s="376" t="s">
        <v>26</v>
      </c>
      <c r="F511" s="608" t="s">
        <v>236</v>
      </c>
      <c r="G511" s="609">
        <v>0.36252000000000001</v>
      </c>
      <c r="H511" s="692">
        <v>1</v>
      </c>
      <c r="I511" s="626"/>
      <c r="J511" s="751"/>
      <c r="L511" s="608" t="s">
        <v>26</v>
      </c>
      <c r="M511" s="608" t="s">
        <v>1454</v>
      </c>
      <c r="N511" s="608" t="s">
        <v>1202</v>
      </c>
      <c r="O511" s="608" t="s">
        <v>1500</v>
      </c>
      <c r="P511" s="608" t="s">
        <v>1207</v>
      </c>
      <c r="Q511" s="608"/>
      <c r="R511" s="608">
        <v>0</v>
      </c>
      <c r="T511" s="751"/>
      <c r="V511" s="609">
        <f t="shared" ref="V511:V513" si="93">IF(W511=1,G511,0)</f>
        <v>0</v>
      </c>
      <c r="W511" s="692"/>
    </row>
    <row r="512" spans="1:23" outlineLevel="3">
      <c r="A512" s="376"/>
      <c r="B512" s="376" t="s">
        <v>328</v>
      </c>
      <c r="C512" s="376" t="s">
        <v>121</v>
      </c>
      <c r="D512" s="376" t="s">
        <v>25</v>
      </c>
      <c r="E512" s="376" t="s">
        <v>26</v>
      </c>
      <c r="F512" s="608" t="s">
        <v>1509</v>
      </c>
      <c r="G512" s="609">
        <v>0.72504000000000002</v>
      </c>
      <c r="H512" s="692">
        <v>1</v>
      </c>
      <c r="I512" s="626"/>
      <c r="J512" s="751"/>
      <c r="L512" s="608" t="s">
        <v>26</v>
      </c>
      <c r="M512" s="608" t="s">
        <v>1454</v>
      </c>
      <c r="N512" s="608" t="s">
        <v>1202</v>
      </c>
      <c r="O512" s="608" t="s">
        <v>1500</v>
      </c>
      <c r="P512" s="608" t="s">
        <v>1207</v>
      </c>
      <c r="Q512" s="608"/>
      <c r="R512" s="608">
        <v>0</v>
      </c>
      <c r="T512" s="751"/>
      <c r="V512" s="609">
        <f t="shared" si="93"/>
        <v>0</v>
      </c>
      <c r="W512" s="692"/>
    </row>
    <row r="513" spans="1:23" outlineLevel="3">
      <c r="A513" s="376"/>
      <c r="B513" s="376" t="s">
        <v>328</v>
      </c>
      <c r="C513" s="376" t="s">
        <v>121</v>
      </c>
      <c r="D513" s="376" t="s">
        <v>25</v>
      </c>
      <c r="E513" s="376" t="s">
        <v>26</v>
      </c>
      <c r="F513" s="608" t="s">
        <v>1506</v>
      </c>
      <c r="G513" s="609">
        <v>0.36252000000000001</v>
      </c>
      <c r="H513" s="692">
        <v>1</v>
      </c>
      <c r="I513" s="626"/>
      <c r="J513" s="751"/>
      <c r="L513" s="608" t="s">
        <v>26</v>
      </c>
      <c r="M513" s="608" t="s">
        <v>1454</v>
      </c>
      <c r="N513" s="608" t="s">
        <v>1202</v>
      </c>
      <c r="O513" s="608" t="s">
        <v>1500</v>
      </c>
      <c r="P513" s="608" t="s">
        <v>1207</v>
      </c>
      <c r="Q513" s="608"/>
      <c r="R513" s="608">
        <v>0</v>
      </c>
      <c r="T513" s="751"/>
      <c r="V513" s="609">
        <f t="shared" si="93"/>
        <v>0</v>
      </c>
      <c r="W513" s="692"/>
    </row>
    <row r="514" spans="1:23" ht="26.4" outlineLevel="2">
      <c r="A514" s="376"/>
      <c r="B514" s="684" t="s">
        <v>328</v>
      </c>
      <c r="C514" s="684" t="s">
        <v>121</v>
      </c>
      <c r="D514" s="684" t="s">
        <v>27</v>
      </c>
      <c r="E514" s="684"/>
      <c r="F514" s="685" t="s">
        <v>1510</v>
      </c>
      <c r="G514" s="686">
        <f>SUBTOTAL(9,G515:G517)</f>
        <v>0</v>
      </c>
      <c r="H514" s="691">
        <f>SUBTOTAL(9,H515:H517)</f>
        <v>0</v>
      </c>
      <c r="I514" s="626"/>
      <c r="J514" s="751"/>
      <c r="L514" s="685"/>
      <c r="M514" s="685"/>
      <c r="N514" s="685"/>
      <c r="O514" s="685"/>
      <c r="P514" s="685"/>
      <c r="Q514" s="685"/>
      <c r="R514" s="685"/>
      <c r="T514" s="751"/>
      <c r="V514" s="686">
        <f>SUBTOTAL(9,V515:V517)</f>
        <v>0</v>
      </c>
      <c r="W514" s="691">
        <f>SUBTOTAL(9,W515:W517)</f>
        <v>0</v>
      </c>
    </row>
    <row r="515" spans="1:23" ht="39.6" outlineLevel="3">
      <c r="A515" s="376"/>
      <c r="B515" s="376" t="s">
        <v>328</v>
      </c>
      <c r="C515" s="376" t="s">
        <v>121</v>
      </c>
      <c r="D515" s="376" t="s">
        <v>27</v>
      </c>
      <c r="E515" s="376" t="s">
        <v>28</v>
      </c>
      <c r="F515" s="759" t="s">
        <v>236</v>
      </c>
      <c r="G515" s="609"/>
      <c r="H515" s="692"/>
      <c r="I515" s="626"/>
      <c r="J515" s="751"/>
      <c r="L515" s="608" t="s">
        <v>28</v>
      </c>
      <c r="M515" s="608" t="s">
        <v>1208</v>
      </c>
      <c r="N515" s="608" t="s">
        <v>1511</v>
      </c>
      <c r="O515" s="608" t="s">
        <v>1512</v>
      </c>
      <c r="P515" s="608"/>
      <c r="Q515" s="608"/>
      <c r="R515" s="608"/>
      <c r="T515" s="751"/>
      <c r="V515" s="609">
        <f t="shared" ref="V515:V517" si="94">IF(W515=1,G515,0)</f>
        <v>0</v>
      </c>
      <c r="W515" s="692"/>
    </row>
    <row r="516" spans="1:23" ht="39.6" outlineLevel="3">
      <c r="A516" s="376"/>
      <c r="B516" s="376" t="s">
        <v>328</v>
      </c>
      <c r="C516" s="376" t="s">
        <v>121</v>
      </c>
      <c r="D516" s="376" t="s">
        <v>27</v>
      </c>
      <c r="E516" s="376" t="s">
        <v>28</v>
      </c>
      <c r="F516" s="759" t="s">
        <v>32</v>
      </c>
      <c r="G516" s="609"/>
      <c r="H516" s="692"/>
      <c r="I516" s="626"/>
      <c r="J516" s="751"/>
      <c r="L516" s="608" t="s">
        <v>28</v>
      </c>
      <c r="M516" s="608" t="s">
        <v>1208</v>
      </c>
      <c r="N516" s="608" t="s">
        <v>1511</v>
      </c>
      <c r="O516" s="608" t="s">
        <v>1512</v>
      </c>
      <c r="P516" s="608"/>
      <c r="Q516" s="608"/>
      <c r="R516" s="608"/>
      <c r="T516" s="751"/>
      <c r="V516" s="609">
        <f t="shared" si="94"/>
        <v>0</v>
      </c>
      <c r="W516" s="692"/>
    </row>
    <row r="517" spans="1:23" ht="39.6" outlineLevel="3">
      <c r="A517" s="376"/>
      <c r="B517" s="376" t="s">
        <v>328</v>
      </c>
      <c r="C517" s="376" t="s">
        <v>121</v>
      </c>
      <c r="D517" s="376" t="s">
        <v>27</v>
      </c>
      <c r="E517" s="376" t="s">
        <v>28</v>
      </c>
      <c r="F517" s="759" t="s">
        <v>1506</v>
      </c>
      <c r="G517" s="609"/>
      <c r="H517" s="692"/>
      <c r="I517" s="626"/>
      <c r="J517" s="751"/>
      <c r="L517" s="608" t="s">
        <v>28</v>
      </c>
      <c r="M517" s="608" t="s">
        <v>1208</v>
      </c>
      <c r="N517" s="608" t="s">
        <v>1511</v>
      </c>
      <c r="O517" s="608" t="s">
        <v>1512</v>
      </c>
      <c r="P517" s="608"/>
      <c r="Q517" s="608"/>
      <c r="R517" s="608"/>
      <c r="T517" s="751"/>
      <c r="V517" s="609">
        <f t="shared" si="94"/>
        <v>0</v>
      </c>
      <c r="W517" s="692"/>
    </row>
    <row r="518" spans="1:23" ht="26.4" outlineLevel="2">
      <c r="A518" s="376"/>
      <c r="B518" s="684" t="s">
        <v>328</v>
      </c>
      <c r="C518" s="684" t="s">
        <v>121</v>
      </c>
      <c r="D518" s="684" t="s">
        <v>58</v>
      </c>
      <c r="E518" s="684"/>
      <c r="F518" s="685" t="s">
        <v>1510</v>
      </c>
      <c r="G518" s="686">
        <f>SUBTOTAL(9,G519:G521)</f>
        <v>0</v>
      </c>
      <c r="H518" s="691">
        <f>SUBTOTAL(9,H519:H521)</f>
        <v>0</v>
      </c>
      <c r="I518" s="626"/>
      <c r="J518" s="751"/>
      <c r="L518" s="685"/>
      <c r="M518" s="685"/>
      <c r="N518" s="685"/>
      <c r="O518" s="685"/>
      <c r="P518" s="685"/>
      <c r="Q518" s="685"/>
      <c r="R518" s="685"/>
      <c r="T518" s="751"/>
      <c r="V518" s="686">
        <f>SUBTOTAL(9,V519:V521)</f>
        <v>0</v>
      </c>
      <c r="W518" s="691">
        <f>SUBTOTAL(9,W519:W521)</f>
        <v>0</v>
      </c>
    </row>
    <row r="519" spans="1:23" outlineLevel="3">
      <c r="A519" s="376"/>
      <c r="B519" s="376" t="s">
        <v>328</v>
      </c>
      <c r="C519" s="376" t="s">
        <v>121</v>
      </c>
      <c r="D519" s="376" t="s">
        <v>58</v>
      </c>
      <c r="E519" s="376" t="s">
        <v>28</v>
      </c>
      <c r="F519" s="759" t="s">
        <v>236</v>
      </c>
      <c r="G519" s="609"/>
      <c r="H519" s="692"/>
      <c r="I519" s="626"/>
      <c r="J519" s="751"/>
      <c r="L519" s="608" t="s">
        <v>28</v>
      </c>
      <c r="M519" s="608" t="s">
        <v>1236</v>
      </c>
      <c r="N519" s="608" t="s">
        <v>1431</v>
      </c>
      <c r="O519" s="608"/>
      <c r="P519" s="608"/>
      <c r="Q519" s="608"/>
      <c r="R519" s="608"/>
      <c r="T519" s="751"/>
      <c r="V519" s="609">
        <f t="shared" ref="V519:V521" si="95">IF(W519=1,G519,0)</f>
        <v>0</v>
      </c>
      <c r="W519" s="692"/>
    </row>
    <row r="520" spans="1:23" outlineLevel="3">
      <c r="A520" s="376"/>
      <c r="B520" s="376" t="s">
        <v>328</v>
      </c>
      <c r="C520" s="376" t="s">
        <v>121</v>
      </c>
      <c r="D520" s="376" t="s">
        <v>58</v>
      </c>
      <c r="E520" s="376" t="s">
        <v>28</v>
      </c>
      <c r="F520" s="759" t="s">
        <v>32</v>
      </c>
      <c r="G520" s="609"/>
      <c r="H520" s="692"/>
      <c r="I520" s="626"/>
      <c r="J520" s="751"/>
      <c r="L520" s="608" t="s">
        <v>28</v>
      </c>
      <c r="M520" s="608" t="s">
        <v>1236</v>
      </c>
      <c r="N520" s="608" t="s">
        <v>1431</v>
      </c>
      <c r="O520" s="608"/>
      <c r="P520" s="608"/>
      <c r="Q520" s="608"/>
      <c r="R520" s="608"/>
      <c r="T520" s="751"/>
      <c r="V520" s="609">
        <f t="shared" si="95"/>
        <v>0</v>
      </c>
      <c r="W520" s="692"/>
    </row>
    <row r="521" spans="1:23" outlineLevel="3">
      <c r="A521" s="376"/>
      <c r="B521" s="376" t="s">
        <v>328</v>
      </c>
      <c r="C521" s="376" t="s">
        <v>121</v>
      </c>
      <c r="D521" s="376" t="s">
        <v>58</v>
      </c>
      <c r="E521" s="376" t="s">
        <v>28</v>
      </c>
      <c r="F521" s="759" t="s">
        <v>1506</v>
      </c>
      <c r="G521" s="609"/>
      <c r="H521" s="692"/>
      <c r="I521" s="626"/>
      <c r="J521" s="751"/>
      <c r="L521" s="608" t="s">
        <v>28</v>
      </c>
      <c r="M521" s="608" t="s">
        <v>1236</v>
      </c>
      <c r="N521" s="608" t="s">
        <v>1431</v>
      </c>
      <c r="O521" s="608"/>
      <c r="P521" s="608"/>
      <c r="Q521" s="608"/>
      <c r="R521" s="608"/>
      <c r="T521" s="751"/>
      <c r="V521" s="609">
        <f t="shared" si="95"/>
        <v>0</v>
      </c>
      <c r="W521" s="692"/>
    </row>
    <row r="522" spans="1:23" outlineLevel="1">
      <c r="A522" s="376"/>
      <c r="B522" s="666" t="s">
        <v>1513</v>
      </c>
      <c r="C522" s="666" t="s">
        <v>121</v>
      </c>
      <c r="D522" s="667"/>
      <c r="E522" s="665"/>
      <c r="F522" s="681" t="s">
        <v>262</v>
      </c>
      <c r="G522" s="724">
        <f>SUBTOTAL(9,G523:G539)</f>
        <v>2.8743803558767693</v>
      </c>
      <c r="H522" s="725">
        <f>SUBTOTAL(9,H523:H539)</f>
        <v>6</v>
      </c>
      <c r="I522" s="626"/>
      <c r="J522" s="751"/>
      <c r="L522" s="681"/>
      <c r="M522" s="681"/>
      <c r="N522" s="681"/>
      <c r="O522" s="681"/>
      <c r="P522" s="681"/>
      <c r="Q522" s="681"/>
      <c r="R522" s="681"/>
      <c r="T522" s="751"/>
      <c r="V522" s="724">
        <f>SUBTOTAL(9,V523:V539)</f>
        <v>0</v>
      </c>
      <c r="W522" s="725">
        <f>SUBTOTAL(9,W523:W539)</f>
        <v>0</v>
      </c>
    </row>
    <row r="523" spans="1:23" outlineLevel="2">
      <c r="A523" s="376"/>
      <c r="B523" s="684" t="s">
        <v>1513</v>
      </c>
      <c r="C523" s="687" t="s">
        <v>121</v>
      </c>
      <c r="D523" s="684" t="s">
        <v>175</v>
      </c>
      <c r="E523" s="684"/>
      <c r="F523" s="685" t="s">
        <v>1532</v>
      </c>
      <c r="G523" s="686">
        <f>SUBTOTAL(9,G524:G526)</f>
        <v>2.184224765452226</v>
      </c>
      <c r="H523" s="691">
        <f>SUBTOTAL(9,H524:H526)</f>
        <v>3</v>
      </c>
      <c r="I523" s="626"/>
      <c r="J523" s="751"/>
      <c r="L523" s="685"/>
      <c r="M523" s="685"/>
      <c r="N523" s="685"/>
      <c r="O523" s="685"/>
      <c r="P523" s="685"/>
      <c r="Q523" s="685"/>
      <c r="R523" s="685"/>
      <c r="T523" s="751"/>
      <c r="V523" s="686">
        <f>SUBTOTAL(9,V524:V526)</f>
        <v>0</v>
      </c>
      <c r="W523" s="691">
        <f>SUBTOTAL(9,W524:W526)</f>
        <v>0</v>
      </c>
    </row>
    <row r="524" spans="1:23" outlineLevel="3">
      <c r="A524" s="376"/>
      <c r="B524" s="376" t="s">
        <v>1513</v>
      </c>
      <c r="C524" s="387" t="s">
        <v>121</v>
      </c>
      <c r="D524" s="376" t="s">
        <v>175</v>
      </c>
      <c r="E524" s="376" t="s">
        <v>28</v>
      </c>
      <c r="F524" s="608" t="s">
        <v>418</v>
      </c>
      <c r="G524" s="609">
        <v>0.4724994626592407</v>
      </c>
      <c r="H524" s="692">
        <v>1</v>
      </c>
      <c r="I524" s="626"/>
      <c r="J524" s="751"/>
      <c r="L524" s="608" t="s">
        <v>28</v>
      </c>
      <c r="M524" s="608" t="s">
        <v>1504</v>
      </c>
      <c r="N524" s="608" t="s">
        <v>1514</v>
      </c>
      <c r="O524" s="608"/>
      <c r="P524" s="608"/>
      <c r="Q524" s="608"/>
      <c r="R524" s="608"/>
      <c r="T524" s="751"/>
      <c r="V524" s="609">
        <f t="shared" ref="V524:V526" si="96">IF(W524=1,G524,0)</f>
        <v>0</v>
      </c>
      <c r="W524" s="692"/>
    </row>
    <row r="525" spans="1:23" outlineLevel="3">
      <c r="A525" s="376"/>
      <c r="B525" s="376" t="s">
        <v>1513</v>
      </c>
      <c r="C525" s="387" t="s">
        <v>121</v>
      </c>
      <c r="D525" s="376" t="s">
        <v>175</v>
      </c>
      <c r="E525" s="376" t="s">
        <v>28</v>
      </c>
      <c r="F525" s="608" t="s">
        <v>236</v>
      </c>
      <c r="G525" s="609">
        <v>0.85586265139649265</v>
      </c>
      <c r="H525" s="692">
        <v>1</v>
      </c>
      <c r="I525" s="626"/>
      <c r="J525" s="751"/>
      <c r="L525" s="608" t="s">
        <v>28</v>
      </c>
      <c r="M525" s="608" t="s">
        <v>1504</v>
      </c>
      <c r="N525" s="608" t="s">
        <v>1514</v>
      </c>
      <c r="O525" s="608"/>
      <c r="P525" s="608"/>
      <c r="Q525" s="608"/>
      <c r="R525" s="608"/>
      <c r="T525" s="751"/>
      <c r="V525" s="609">
        <f t="shared" si="96"/>
        <v>0</v>
      </c>
      <c r="W525" s="692"/>
    </row>
    <row r="526" spans="1:23" outlineLevel="3">
      <c r="A526" s="376"/>
      <c r="B526" s="376" t="s">
        <v>1513</v>
      </c>
      <c r="C526" s="387" t="s">
        <v>121</v>
      </c>
      <c r="D526" s="376" t="s">
        <v>175</v>
      </c>
      <c r="E526" s="376" t="s">
        <v>28</v>
      </c>
      <c r="F526" s="608" t="s">
        <v>1427</v>
      </c>
      <c r="G526" s="609">
        <v>0.85586265139649265</v>
      </c>
      <c r="H526" s="692">
        <v>1</v>
      </c>
      <c r="I526" s="626"/>
      <c r="J526" s="751"/>
      <c r="L526" s="608" t="s">
        <v>28</v>
      </c>
      <c r="M526" s="608" t="s">
        <v>1504</v>
      </c>
      <c r="N526" s="608" t="s">
        <v>1514</v>
      </c>
      <c r="O526" s="608"/>
      <c r="P526" s="608"/>
      <c r="Q526" s="608"/>
      <c r="R526" s="608"/>
      <c r="T526" s="751"/>
      <c r="V526" s="609">
        <f t="shared" si="96"/>
        <v>0</v>
      </c>
      <c r="W526" s="692"/>
    </row>
    <row r="527" spans="1:23" ht="26.4" outlineLevel="2">
      <c r="A527" s="376"/>
      <c r="B527" s="684" t="s">
        <v>1513</v>
      </c>
      <c r="C527" s="687" t="s">
        <v>121</v>
      </c>
      <c r="D527" s="684" t="s">
        <v>17</v>
      </c>
      <c r="E527" s="684"/>
      <c r="F527" s="685" t="s">
        <v>1515</v>
      </c>
      <c r="G527" s="686">
        <f>SUBTOTAL(9,G528:G528)</f>
        <v>8.9136273921988848E-2</v>
      </c>
      <c r="H527" s="691">
        <f>SUBTOTAL(9,H528:H528)</f>
        <v>1</v>
      </c>
      <c r="I527" s="626"/>
      <c r="J527" s="751"/>
      <c r="L527" s="685"/>
      <c r="M527" s="685" t="s">
        <v>1475</v>
      </c>
      <c r="N527" s="685"/>
      <c r="O527" s="685"/>
      <c r="P527" s="685"/>
      <c r="Q527" s="685"/>
      <c r="R527" s="685"/>
      <c r="T527" s="751"/>
      <c r="V527" s="686">
        <f>SUBTOTAL(9,V528:V528)</f>
        <v>0</v>
      </c>
      <c r="W527" s="691">
        <f>SUBTOTAL(9,W528:W528)</f>
        <v>0</v>
      </c>
    </row>
    <row r="528" spans="1:23" outlineLevel="3">
      <c r="A528" s="376"/>
      <c r="B528" s="376" t="s">
        <v>1513</v>
      </c>
      <c r="C528" s="387" t="s">
        <v>121</v>
      </c>
      <c r="D528" s="376" t="s">
        <v>17</v>
      </c>
      <c r="E528" s="376" t="s">
        <v>177</v>
      </c>
      <c r="F528" s="608" t="s">
        <v>236</v>
      </c>
      <c r="G528" s="609">
        <v>8.9136273921988848E-2</v>
      </c>
      <c r="H528" s="692">
        <v>1</v>
      </c>
      <c r="I528" s="626"/>
      <c r="J528" s="751"/>
      <c r="L528" s="608" t="s">
        <v>177</v>
      </c>
      <c r="M528" s="608"/>
      <c r="N528" s="608"/>
      <c r="O528" s="608"/>
      <c r="P528" s="608"/>
      <c r="Q528" s="608"/>
      <c r="R528" s="608"/>
      <c r="T528" s="751"/>
      <c r="V528" s="609">
        <f t="shared" ref="V528" si="97">IF(W528=1,G528,0)</f>
        <v>0</v>
      </c>
      <c r="W528" s="692"/>
    </row>
    <row r="529" spans="1:23" outlineLevel="2">
      <c r="A529" s="376"/>
      <c r="B529" s="684" t="s">
        <v>1513</v>
      </c>
      <c r="C529" s="687" t="s">
        <v>121</v>
      </c>
      <c r="D529" s="684" t="s">
        <v>25</v>
      </c>
      <c r="E529" s="684"/>
      <c r="F529" s="685" t="s">
        <v>1532</v>
      </c>
      <c r="G529" s="686">
        <f>SUBTOTAL(9,G530:G531)</f>
        <v>0.60101931650255425</v>
      </c>
      <c r="H529" s="691">
        <f>SUBTOTAL(9,H530:H531)</f>
        <v>2</v>
      </c>
      <c r="I529" s="626"/>
      <c r="J529" s="751"/>
      <c r="L529" s="685"/>
      <c r="M529" s="685"/>
      <c r="N529" s="685"/>
      <c r="O529" s="685"/>
      <c r="P529" s="685"/>
      <c r="Q529" s="685"/>
      <c r="R529" s="685"/>
      <c r="T529" s="751"/>
      <c r="V529" s="686">
        <f>SUBTOTAL(9,V530:V531)</f>
        <v>0</v>
      </c>
      <c r="W529" s="691">
        <f>SUBTOTAL(9,W530:W531)</f>
        <v>0</v>
      </c>
    </row>
    <row r="530" spans="1:23" outlineLevel="3">
      <c r="A530" s="376"/>
      <c r="B530" s="376" t="s">
        <v>1513</v>
      </c>
      <c r="C530" s="387" t="s">
        <v>121</v>
      </c>
      <c r="D530" s="376" t="s">
        <v>25</v>
      </c>
      <c r="E530" s="376" t="s">
        <v>26</v>
      </c>
      <c r="F530" s="608" t="s">
        <v>236</v>
      </c>
      <c r="G530" s="609">
        <v>0.20033977216751808</v>
      </c>
      <c r="H530" s="692">
        <v>1</v>
      </c>
      <c r="I530" s="626"/>
      <c r="J530" s="751"/>
      <c r="L530" s="608" t="s">
        <v>26</v>
      </c>
      <c r="M530" s="608" t="s">
        <v>1454</v>
      </c>
      <c r="N530" s="608" t="s">
        <v>1202</v>
      </c>
      <c r="O530" s="608" t="s">
        <v>1500</v>
      </c>
      <c r="P530" s="608" t="s">
        <v>1333</v>
      </c>
      <c r="Q530" s="608"/>
      <c r="R530" s="608">
        <v>0</v>
      </c>
      <c r="T530" s="751"/>
      <c r="V530" s="609">
        <f t="shared" ref="V530:V531" si="98">IF(W530=1,G530,0)</f>
        <v>0</v>
      </c>
      <c r="W530" s="692"/>
    </row>
    <row r="531" spans="1:23" outlineLevel="3">
      <c r="A531" s="376"/>
      <c r="B531" s="376" t="s">
        <v>1513</v>
      </c>
      <c r="C531" s="387" t="s">
        <v>121</v>
      </c>
      <c r="D531" s="376" t="s">
        <v>25</v>
      </c>
      <c r="E531" s="376" t="s">
        <v>26</v>
      </c>
      <c r="F531" s="608" t="s">
        <v>1212</v>
      </c>
      <c r="G531" s="609">
        <v>0.40067954433503616</v>
      </c>
      <c r="H531" s="692">
        <v>1</v>
      </c>
      <c r="I531" s="626"/>
      <c r="J531" s="751"/>
      <c r="L531" s="608" t="s">
        <v>26</v>
      </c>
      <c r="M531" s="608" t="s">
        <v>1454</v>
      </c>
      <c r="N531" s="608" t="s">
        <v>1202</v>
      </c>
      <c r="O531" s="608" t="s">
        <v>1500</v>
      </c>
      <c r="P531" s="608" t="s">
        <v>1333</v>
      </c>
      <c r="Q531" s="608"/>
      <c r="R531" s="608">
        <v>0</v>
      </c>
      <c r="T531" s="751"/>
      <c r="V531" s="609">
        <f t="shared" si="98"/>
        <v>0</v>
      </c>
      <c r="W531" s="692"/>
    </row>
    <row r="532" spans="1:23" outlineLevel="2">
      <c r="A532" s="376"/>
      <c r="B532" s="684" t="s">
        <v>1513</v>
      </c>
      <c r="C532" s="687" t="s">
        <v>121</v>
      </c>
      <c r="D532" s="684" t="s">
        <v>27</v>
      </c>
      <c r="E532" s="684"/>
      <c r="F532" s="685" t="s">
        <v>1532</v>
      </c>
      <c r="G532" s="686">
        <f>SUBTOTAL(9,G533:G535)</f>
        <v>0</v>
      </c>
      <c r="H532" s="691">
        <f>SUBTOTAL(9,H533:H535)</f>
        <v>0</v>
      </c>
      <c r="I532" s="626"/>
      <c r="J532" s="751"/>
      <c r="L532" s="685"/>
      <c r="M532" s="685"/>
      <c r="N532" s="685"/>
      <c r="O532" s="685"/>
      <c r="P532" s="685"/>
      <c r="Q532" s="685"/>
      <c r="R532" s="685"/>
      <c r="T532" s="751"/>
      <c r="V532" s="686">
        <f>SUBTOTAL(9,V533:V535)</f>
        <v>0</v>
      </c>
      <c r="W532" s="691">
        <f>SUBTOTAL(9,W533:W535)</f>
        <v>0</v>
      </c>
    </row>
    <row r="533" spans="1:23" ht="39.6" outlineLevel="3">
      <c r="A533" s="376"/>
      <c r="B533" s="376" t="s">
        <v>1513</v>
      </c>
      <c r="C533" s="387" t="s">
        <v>121</v>
      </c>
      <c r="D533" s="376" t="s">
        <v>27</v>
      </c>
      <c r="E533" s="376" t="s">
        <v>28</v>
      </c>
      <c r="F533" s="759" t="s">
        <v>236</v>
      </c>
      <c r="G533" s="609"/>
      <c r="H533" s="692"/>
      <c r="I533" s="626"/>
      <c r="J533" s="751"/>
      <c r="L533" s="608" t="s">
        <v>28</v>
      </c>
      <c r="M533" s="608" t="s">
        <v>1208</v>
      </c>
      <c r="N533" s="608" t="s">
        <v>1516</v>
      </c>
      <c r="O533" s="608"/>
      <c r="P533" s="608"/>
      <c r="Q533" s="608"/>
      <c r="R533" s="608"/>
      <c r="T533" s="751"/>
      <c r="V533" s="609">
        <f t="shared" ref="V533:V535" si="99">IF(W533=1,G533,0)</f>
        <v>0</v>
      </c>
      <c r="W533" s="692"/>
    </row>
    <row r="534" spans="1:23" ht="39.6" outlineLevel="3">
      <c r="A534" s="376"/>
      <c r="B534" s="376" t="s">
        <v>1513</v>
      </c>
      <c r="C534" s="387" t="s">
        <v>121</v>
      </c>
      <c r="D534" s="376" t="s">
        <v>27</v>
      </c>
      <c r="E534" s="376" t="s">
        <v>28</v>
      </c>
      <c r="F534" s="759" t="s">
        <v>1427</v>
      </c>
      <c r="G534" s="609"/>
      <c r="H534" s="692"/>
      <c r="I534" s="626"/>
      <c r="J534" s="751"/>
      <c r="L534" s="608" t="s">
        <v>28</v>
      </c>
      <c r="M534" s="608" t="s">
        <v>1208</v>
      </c>
      <c r="N534" s="608" t="s">
        <v>1516</v>
      </c>
      <c r="O534" s="608"/>
      <c r="P534" s="608"/>
      <c r="Q534" s="608"/>
      <c r="R534" s="608"/>
      <c r="T534" s="751"/>
      <c r="V534" s="609">
        <f t="shared" si="99"/>
        <v>0</v>
      </c>
      <c r="W534" s="692"/>
    </row>
    <row r="535" spans="1:23" ht="39.6" outlineLevel="3">
      <c r="A535" s="376"/>
      <c r="B535" s="376" t="s">
        <v>1513</v>
      </c>
      <c r="C535" s="387" t="s">
        <v>121</v>
      </c>
      <c r="D535" s="376" t="s">
        <v>27</v>
      </c>
      <c r="E535" s="376" t="s">
        <v>28</v>
      </c>
      <c r="F535" s="759" t="s">
        <v>1212</v>
      </c>
      <c r="G535" s="609"/>
      <c r="H535" s="692"/>
      <c r="I535" s="626"/>
      <c r="J535" s="751"/>
      <c r="L535" s="608" t="s">
        <v>28</v>
      </c>
      <c r="M535" s="608" t="s">
        <v>1208</v>
      </c>
      <c r="N535" s="608" t="s">
        <v>1516</v>
      </c>
      <c r="O535" s="608"/>
      <c r="P535" s="608"/>
      <c r="Q535" s="608"/>
      <c r="R535" s="608"/>
      <c r="T535" s="751"/>
      <c r="V535" s="609">
        <f t="shared" si="99"/>
        <v>0</v>
      </c>
      <c r="W535" s="692"/>
    </row>
    <row r="536" spans="1:23" outlineLevel="2">
      <c r="A536" s="376"/>
      <c r="B536" s="684" t="s">
        <v>1513</v>
      </c>
      <c r="C536" s="687" t="s">
        <v>121</v>
      </c>
      <c r="D536" s="684" t="s">
        <v>58</v>
      </c>
      <c r="E536" s="684"/>
      <c r="F536" s="685" t="s">
        <v>1532</v>
      </c>
      <c r="G536" s="686">
        <f>SUBTOTAL(9,G537:G539)</f>
        <v>0</v>
      </c>
      <c r="H536" s="691">
        <f>SUBTOTAL(9,H537:H539)</f>
        <v>0</v>
      </c>
      <c r="I536" s="626"/>
      <c r="J536" s="751"/>
      <c r="L536" s="685"/>
      <c r="M536" s="685"/>
      <c r="N536" s="685"/>
      <c r="O536" s="685"/>
      <c r="P536" s="685"/>
      <c r="Q536" s="685"/>
      <c r="R536" s="685"/>
      <c r="T536" s="751"/>
      <c r="V536" s="686">
        <f>SUBTOTAL(9,V537:V539)</f>
        <v>0</v>
      </c>
      <c r="W536" s="691">
        <f>SUBTOTAL(9,W537:W539)</f>
        <v>0</v>
      </c>
    </row>
    <row r="537" spans="1:23" outlineLevel="4">
      <c r="A537" s="376"/>
      <c r="B537" s="376" t="s">
        <v>1513</v>
      </c>
      <c r="C537" s="387" t="s">
        <v>121</v>
      </c>
      <c r="D537" s="376" t="s">
        <v>58</v>
      </c>
      <c r="E537" s="376" t="s">
        <v>28</v>
      </c>
      <c r="F537" s="759" t="s">
        <v>236</v>
      </c>
      <c r="G537" s="609"/>
      <c r="H537" s="692"/>
      <c r="I537" s="626"/>
      <c r="J537" s="751"/>
      <c r="L537" s="608" t="s">
        <v>28</v>
      </c>
      <c r="M537" s="608" t="s">
        <v>1236</v>
      </c>
      <c r="N537" s="608" t="s">
        <v>1431</v>
      </c>
      <c r="O537" s="608"/>
      <c r="P537" s="608"/>
      <c r="Q537" s="608"/>
      <c r="R537" s="608"/>
      <c r="T537" s="751"/>
      <c r="V537" s="609">
        <f t="shared" ref="V537:V539" si="100">IF(W537=1,G537,0)</f>
        <v>0</v>
      </c>
      <c r="W537" s="692"/>
    </row>
    <row r="538" spans="1:23" outlineLevel="4">
      <c r="A538" s="376"/>
      <c r="B538" s="376" t="s">
        <v>1513</v>
      </c>
      <c r="C538" s="387" t="s">
        <v>121</v>
      </c>
      <c r="D538" s="376" t="s">
        <v>58</v>
      </c>
      <c r="E538" s="376" t="s">
        <v>28</v>
      </c>
      <c r="F538" s="759" t="s">
        <v>1427</v>
      </c>
      <c r="G538" s="609"/>
      <c r="H538" s="692"/>
      <c r="I538" s="626"/>
      <c r="J538" s="751"/>
      <c r="L538" s="608" t="s">
        <v>28</v>
      </c>
      <c r="M538" s="608" t="s">
        <v>1236</v>
      </c>
      <c r="N538" s="608" t="s">
        <v>1431</v>
      </c>
      <c r="O538" s="608"/>
      <c r="P538" s="608"/>
      <c r="Q538" s="608"/>
      <c r="R538" s="608"/>
      <c r="T538" s="751"/>
      <c r="V538" s="609">
        <f t="shared" si="100"/>
        <v>0</v>
      </c>
      <c r="W538" s="692"/>
    </row>
    <row r="539" spans="1:23" outlineLevel="4">
      <c r="A539" s="376"/>
      <c r="B539" s="376" t="s">
        <v>1513</v>
      </c>
      <c r="C539" s="387" t="s">
        <v>121</v>
      </c>
      <c r="D539" s="376" t="s">
        <v>58</v>
      </c>
      <c r="E539" s="376" t="s">
        <v>28</v>
      </c>
      <c r="F539" s="759" t="s">
        <v>1212</v>
      </c>
      <c r="G539" s="609"/>
      <c r="H539" s="692"/>
      <c r="I539" s="626"/>
      <c r="J539" s="751"/>
      <c r="L539" s="608" t="s">
        <v>28</v>
      </c>
      <c r="M539" s="608" t="s">
        <v>1236</v>
      </c>
      <c r="N539" s="608" t="s">
        <v>1431</v>
      </c>
      <c r="O539" s="608"/>
      <c r="P539" s="608"/>
      <c r="Q539" s="608"/>
      <c r="R539" s="608"/>
      <c r="T539" s="751"/>
      <c r="V539" s="609">
        <f t="shared" si="100"/>
        <v>0</v>
      </c>
      <c r="W539" s="692"/>
    </row>
    <row r="540" spans="1:23" outlineLevel="1">
      <c r="A540" s="376"/>
      <c r="B540" s="666" t="s">
        <v>1517</v>
      </c>
      <c r="C540" s="666" t="s">
        <v>121</v>
      </c>
      <c r="D540" s="667" t="s">
        <v>12</v>
      </c>
      <c r="E540" s="665"/>
      <c r="F540" s="681" t="s">
        <v>262</v>
      </c>
      <c r="G540" s="724">
        <f>SUBTOTAL(9,G541:G567)</f>
        <v>1.3347879239757054</v>
      </c>
      <c r="H540" s="725">
        <f>SUBTOTAL(9,H541:H567)</f>
        <v>15</v>
      </c>
      <c r="I540" s="626"/>
      <c r="J540" s="751"/>
      <c r="L540" s="681"/>
      <c r="M540" s="681"/>
      <c r="N540" s="681"/>
      <c r="O540" s="681"/>
      <c r="P540" s="681"/>
      <c r="Q540" s="681"/>
      <c r="R540" s="681"/>
      <c r="T540" s="751"/>
      <c r="V540" s="724">
        <f>SUBTOTAL(9,V541:V567)</f>
        <v>0</v>
      </c>
      <c r="W540" s="725">
        <f>SUBTOTAL(9,W541:W567)</f>
        <v>0</v>
      </c>
    </row>
    <row r="541" spans="1:23" ht="26.4" outlineLevel="2">
      <c r="A541" s="376"/>
      <c r="B541" s="684" t="s">
        <v>1517</v>
      </c>
      <c r="C541" s="687" t="s">
        <v>121</v>
      </c>
      <c r="D541" s="684" t="s">
        <v>175</v>
      </c>
      <c r="E541" s="684"/>
      <c r="F541" s="685" t="s">
        <v>1518</v>
      </c>
      <c r="G541" s="686">
        <f>SUBTOTAL(9,G542:G546)</f>
        <v>0.81524885590352736</v>
      </c>
      <c r="H541" s="691">
        <f>SUBTOTAL(9,H542:H546)</f>
        <v>5</v>
      </c>
      <c r="I541" s="626"/>
      <c r="J541" s="751"/>
      <c r="L541" s="685"/>
      <c r="M541" s="685"/>
      <c r="N541" s="685"/>
      <c r="O541" s="685"/>
      <c r="P541" s="685"/>
      <c r="Q541" s="685"/>
      <c r="R541" s="685"/>
      <c r="T541" s="751"/>
      <c r="V541" s="686">
        <f>SUBTOTAL(9,V542:V546)</f>
        <v>0</v>
      </c>
      <c r="W541" s="691">
        <f>SUBTOTAL(9,W542:W546)</f>
        <v>0</v>
      </c>
    </row>
    <row r="542" spans="1:23" outlineLevel="3">
      <c r="A542" s="376"/>
      <c r="B542" s="376" t="s">
        <v>1517</v>
      </c>
      <c r="C542" s="387" t="s">
        <v>121</v>
      </c>
      <c r="D542" s="376" t="s">
        <v>175</v>
      </c>
      <c r="E542" s="376" t="s">
        <v>28</v>
      </c>
      <c r="F542" s="608" t="s">
        <v>1519</v>
      </c>
      <c r="G542" s="609">
        <v>0.13427418761072726</v>
      </c>
      <c r="H542" s="692">
        <v>1</v>
      </c>
      <c r="I542" s="626"/>
      <c r="J542" s="751"/>
      <c r="L542" s="608" t="s">
        <v>28</v>
      </c>
      <c r="M542" s="608" t="s">
        <v>1504</v>
      </c>
      <c r="N542" s="608" t="s">
        <v>1514</v>
      </c>
      <c r="O542" s="608"/>
      <c r="P542" s="608"/>
      <c r="Q542" s="608"/>
      <c r="R542" s="608"/>
      <c r="T542" s="751"/>
      <c r="V542" s="609">
        <f t="shared" ref="V542:V546" si="101">IF(W542=1,G542,0)</f>
        <v>0</v>
      </c>
      <c r="W542" s="692"/>
    </row>
    <row r="543" spans="1:23" outlineLevel="3">
      <c r="A543" s="376"/>
      <c r="B543" s="376" t="s">
        <v>1517</v>
      </c>
      <c r="C543" s="387" t="s">
        <v>121</v>
      </c>
      <c r="D543" s="376" t="s">
        <v>175</v>
      </c>
      <c r="E543" s="376" t="s">
        <v>28</v>
      </c>
      <c r="F543" s="608" t="s">
        <v>1520</v>
      </c>
      <c r="G543" s="609">
        <v>0.24320523867600002</v>
      </c>
      <c r="H543" s="692">
        <v>1</v>
      </c>
      <c r="I543" s="626"/>
      <c r="J543" s="751"/>
      <c r="L543" s="608" t="s">
        <v>28</v>
      </c>
      <c r="M543" s="608" t="s">
        <v>1504</v>
      </c>
      <c r="N543" s="608" t="s">
        <v>1514</v>
      </c>
      <c r="O543" s="608"/>
      <c r="P543" s="608"/>
      <c r="Q543" s="608"/>
      <c r="R543" s="608"/>
      <c r="T543" s="751"/>
      <c r="V543" s="609">
        <f t="shared" si="101"/>
        <v>0</v>
      </c>
      <c r="W543" s="692"/>
    </row>
    <row r="544" spans="1:23" outlineLevel="3">
      <c r="A544" s="376"/>
      <c r="B544" s="376" t="s">
        <v>1517</v>
      </c>
      <c r="C544" s="387" t="s">
        <v>121</v>
      </c>
      <c r="D544" s="376" t="s">
        <v>175</v>
      </c>
      <c r="E544" s="376" t="s">
        <v>28</v>
      </c>
      <c r="F544" s="608" t="s">
        <v>1521</v>
      </c>
      <c r="G544" s="609">
        <v>0.12160261933800001</v>
      </c>
      <c r="H544" s="692">
        <v>1</v>
      </c>
      <c r="I544" s="626"/>
      <c r="J544" s="751"/>
      <c r="L544" s="608" t="s">
        <v>28</v>
      </c>
      <c r="M544" s="608" t="s">
        <v>1504</v>
      </c>
      <c r="N544" s="608" t="s">
        <v>1514</v>
      </c>
      <c r="O544" s="608"/>
      <c r="P544" s="608"/>
      <c r="Q544" s="608"/>
      <c r="R544" s="608"/>
      <c r="T544" s="751"/>
      <c r="V544" s="609">
        <f t="shared" si="101"/>
        <v>0</v>
      </c>
      <c r="W544" s="692"/>
    </row>
    <row r="545" spans="1:23" outlineLevel="3">
      <c r="A545" s="376"/>
      <c r="B545" s="376" t="s">
        <v>1517</v>
      </c>
      <c r="C545" s="387" t="s">
        <v>121</v>
      </c>
      <c r="D545" s="376" t="s">
        <v>175</v>
      </c>
      <c r="E545" s="376" t="s">
        <v>28</v>
      </c>
      <c r="F545" s="608" t="s">
        <v>1527</v>
      </c>
      <c r="G545" s="609">
        <v>0.24320523867600002</v>
      </c>
      <c r="H545" s="692">
        <v>1</v>
      </c>
      <c r="I545" s="626"/>
      <c r="J545" s="751"/>
      <c r="L545" s="608" t="s">
        <v>28</v>
      </c>
      <c r="M545" s="608" t="s">
        <v>1504</v>
      </c>
      <c r="N545" s="608" t="s">
        <v>1514</v>
      </c>
      <c r="O545" s="608"/>
      <c r="P545" s="608"/>
      <c r="Q545" s="608"/>
      <c r="R545" s="608"/>
      <c r="T545" s="751"/>
      <c r="V545" s="609">
        <f t="shared" si="101"/>
        <v>0</v>
      </c>
      <c r="W545" s="692"/>
    </row>
    <row r="546" spans="1:23" outlineLevel="3">
      <c r="A546" s="376"/>
      <c r="B546" s="376" t="s">
        <v>1517</v>
      </c>
      <c r="C546" s="387" t="s">
        <v>121</v>
      </c>
      <c r="D546" s="376" t="s">
        <v>175</v>
      </c>
      <c r="E546" s="376" t="s">
        <v>28</v>
      </c>
      <c r="F546" s="608" t="s">
        <v>1525</v>
      </c>
      <c r="G546" s="609">
        <v>7.2961571602800007E-2</v>
      </c>
      <c r="H546" s="692">
        <v>1</v>
      </c>
      <c r="I546" s="626"/>
      <c r="J546" s="751"/>
      <c r="L546" s="608" t="s">
        <v>28</v>
      </c>
      <c r="M546" s="608" t="s">
        <v>1504</v>
      </c>
      <c r="N546" s="608" t="s">
        <v>1514</v>
      </c>
      <c r="O546" s="608"/>
      <c r="P546" s="608"/>
      <c r="Q546" s="608"/>
      <c r="R546" s="608"/>
      <c r="T546" s="751"/>
      <c r="V546" s="609">
        <f t="shared" si="101"/>
        <v>0</v>
      </c>
      <c r="W546" s="692"/>
    </row>
    <row r="547" spans="1:23" ht="26.4" outlineLevel="2">
      <c r="A547" s="376"/>
      <c r="B547" s="684" t="s">
        <v>1517</v>
      </c>
      <c r="C547" s="687" t="s">
        <v>121</v>
      </c>
      <c r="D547" s="684" t="s">
        <v>17</v>
      </c>
      <c r="E547" s="684"/>
      <c r="F547" s="685" t="s">
        <v>1522</v>
      </c>
      <c r="G547" s="686">
        <f>SUBTOTAL(9,G548:G549)</f>
        <v>5.068627309090909E-2</v>
      </c>
      <c r="H547" s="691">
        <f>SUBTOTAL(9,H548:H549)</f>
        <v>2</v>
      </c>
      <c r="I547" s="626"/>
      <c r="J547" s="751"/>
      <c r="L547" s="685"/>
      <c r="M547" s="685" t="s">
        <v>1475</v>
      </c>
      <c r="N547" s="685"/>
      <c r="O547" s="685"/>
      <c r="P547" s="685"/>
      <c r="Q547" s="685"/>
      <c r="R547" s="685"/>
      <c r="T547" s="751"/>
      <c r="V547" s="686">
        <f>SUBTOTAL(9,V548:V549)</f>
        <v>0</v>
      </c>
      <c r="W547" s="691">
        <f>SUBTOTAL(9,W548:W549)</f>
        <v>0</v>
      </c>
    </row>
    <row r="548" spans="1:23" outlineLevel="3">
      <c r="A548" s="376"/>
      <c r="B548" s="376" t="s">
        <v>1517</v>
      </c>
      <c r="C548" s="387" t="s">
        <v>121</v>
      </c>
      <c r="D548" s="376" t="s">
        <v>17</v>
      </c>
      <c r="E548" s="376" t="s">
        <v>177</v>
      </c>
      <c r="F548" s="608" t="s">
        <v>236</v>
      </c>
      <c r="G548" s="609">
        <v>2.5343136545454545E-2</v>
      </c>
      <c r="H548" s="692">
        <v>1</v>
      </c>
      <c r="I548" s="626"/>
      <c r="J548" s="751"/>
      <c r="L548" s="608" t="s">
        <v>177</v>
      </c>
      <c r="M548" s="608"/>
      <c r="N548" s="608"/>
      <c r="O548" s="608"/>
      <c r="P548" s="608"/>
      <c r="Q548" s="608"/>
      <c r="R548" s="608"/>
      <c r="T548" s="751"/>
      <c r="V548" s="609">
        <f t="shared" ref="V548:V549" si="102">IF(W548=1,G548,0)</f>
        <v>0</v>
      </c>
      <c r="W548" s="692"/>
    </row>
    <row r="549" spans="1:23" outlineLevel="3">
      <c r="A549" s="376"/>
      <c r="B549" s="376" t="s">
        <v>1517</v>
      </c>
      <c r="C549" s="387" t="s">
        <v>121</v>
      </c>
      <c r="D549" s="376" t="s">
        <v>17</v>
      </c>
      <c r="E549" s="376" t="s">
        <v>177</v>
      </c>
      <c r="F549" s="608" t="s">
        <v>1427</v>
      </c>
      <c r="G549" s="609">
        <v>2.5343136545454545E-2</v>
      </c>
      <c r="H549" s="692">
        <v>1</v>
      </c>
      <c r="I549" s="626"/>
      <c r="J549" s="751"/>
      <c r="L549" s="608" t="s">
        <v>177</v>
      </c>
      <c r="M549" s="608"/>
      <c r="N549" s="608"/>
      <c r="O549" s="608"/>
      <c r="P549" s="608"/>
      <c r="Q549" s="608"/>
      <c r="R549" s="608"/>
      <c r="T549" s="751"/>
      <c r="V549" s="609">
        <f t="shared" si="102"/>
        <v>0</v>
      </c>
      <c r="W549" s="692"/>
    </row>
    <row r="550" spans="1:23" ht="26.4" outlineLevel="2">
      <c r="A550" s="376"/>
      <c r="B550" s="684" t="s">
        <v>1517</v>
      </c>
      <c r="C550" s="687" t="s">
        <v>121</v>
      </c>
      <c r="D550" s="684" t="s">
        <v>25</v>
      </c>
      <c r="E550" s="684"/>
      <c r="F550" s="685" t="s">
        <v>1518</v>
      </c>
      <c r="G550" s="686">
        <f>SUBTOTAL(9,G551:G555)</f>
        <v>0.27391578783946907</v>
      </c>
      <c r="H550" s="691">
        <f>SUBTOTAL(9,H551:H555)</f>
        <v>5</v>
      </c>
      <c r="I550" s="626"/>
      <c r="J550" s="751"/>
      <c r="L550" s="685"/>
      <c r="M550" s="685"/>
      <c r="N550" s="685"/>
      <c r="O550" s="685"/>
      <c r="P550" s="685"/>
      <c r="Q550" s="685"/>
      <c r="R550" s="685"/>
      <c r="T550" s="751"/>
      <c r="V550" s="686">
        <f>SUBTOTAL(9,V551:V555)</f>
        <v>0</v>
      </c>
      <c r="W550" s="691">
        <f>SUBTOTAL(9,W551:W555)</f>
        <v>0</v>
      </c>
    </row>
    <row r="551" spans="1:23" outlineLevel="3">
      <c r="A551" s="376"/>
      <c r="B551" s="376" t="s">
        <v>1517</v>
      </c>
      <c r="C551" s="387" t="s">
        <v>121</v>
      </c>
      <c r="D551" s="376" t="s">
        <v>25</v>
      </c>
      <c r="E551" s="376" t="s">
        <v>26</v>
      </c>
      <c r="F551" s="608" t="s">
        <v>1212</v>
      </c>
      <c r="G551" s="609">
        <v>0.11386451109389673</v>
      </c>
      <c r="H551" s="692">
        <v>1</v>
      </c>
      <c r="I551" s="626"/>
      <c r="J551" s="751"/>
      <c r="L551" s="608" t="s">
        <v>26</v>
      </c>
      <c r="M551" s="608" t="s">
        <v>1454</v>
      </c>
      <c r="N551" s="608" t="s">
        <v>1202</v>
      </c>
      <c r="O551" s="608" t="s">
        <v>1500</v>
      </c>
      <c r="P551" s="608" t="s">
        <v>1207</v>
      </c>
      <c r="Q551" s="608"/>
      <c r="R551" s="608">
        <v>0</v>
      </c>
      <c r="T551" s="751"/>
      <c r="V551" s="609">
        <f t="shared" ref="V551:V555" si="103">IF(W551=1,G551,0)</f>
        <v>0</v>
      </c>
      <c r="W551" s="692"/>
    </row>
    <row r="552" spans="1:23" ht="26.4" outlineLevel="3">
      <c r="A552" s="376"/>
      <c r="B552" s="376" t="s">
        <v>1517</v>
      </c>
      <c r="C552" s="387" t="s">
        <v>121</v>
      </c>
      <c r="D552" s="376" t="s">
        <v>25</v>
      </c>
      <c r="E552" s="376" t="s">
        <v>26</v>
      </c>
      <c r="F552" s="608" t="s">
        <v>1519</v>
      </c>
      <c r="G552" s="609">
        <v>5.6932255546948363E-2</v>
      </c>
      <c r="H552" s="692">
        <v>1</v>
      </c>
      <c r="I552" s="626"/>
      <c r="J552" s="751"/>
      <c r="L552" s="608" t="s">
        <v>26</v>
      </c>
      <c r="M552" s="608" t="s">
        <v>1523</v>
      </c>
      <c r="N552" s="608" t="s">
        <v>1524</v>
      </c>
      <c r="O552" s="608" t="s">
        <v>1500</v>
      </c>
      <c r="P552" s="608" t="s">
        <v>1207</v>
      </c>
      <c r="Q552" s="608"/>
      <c r="R552" s="608">
        <v>0</v>
      </c>
      <c r="T552" s="751"/>
      <c r="V552" s="609">
        <f t="shared" si="103"/>
        <v>0</v>
      </c>
      <c r="W552" s="692"/>
    </row>
    <row r="553" spans="1:23" outlineLevel="3">
      <c r="A553" s="376"/>
      <c r="B553" s="376" t="s">
        <v>1517</v>
      </c>
      <c r="C553" s="387" t="s">
        <v>121</v>
      </c>
      <c r="D553" s="376" t="s">
        <v>25</v>
      </c>
      <c r="E553" s="376" t="s">
        <v>26</v>
      </c>
      <c r="F553" s="608" t="s">
        <v>1520</v>
      </c>
      <c r="G553" s="609">
        <v>2.5779755299655999E-2</v>
      </c>
      <c r="H553" s="692">
        <v>1</v>
      </c>
      <c r="I553" s="626"/>
      <c r="J553" s="751"/>
      <c r="L553" s="608" t="s">
        <v>26</v>
      </c>
      <c r="M553" s="608" t="s">
        <v>1454</v>
      </c>
      <c r="N553" s="608" t="s">
        <v>1202</v>
      </c>
      <c r="O553" s="608" t="s">
        <v>1500</v>
      </c>
      <c r="P553" s="608" t="s">
        <v>1207</v>
      </c>
      <c r="Q553" s="608"/>
      <c r="R553" s="608">
        <v>0</v>
      </c>
      <c r="T553" s="751"/>
      <c r="V553" s="609">
        <f t="shared" si="103"/>
        <v>0</v>
      </c>
      <c r="W553" s="692"/>
    </row>
    <row r="554" spans="1:23" outlineLevel="3">
      <c r="A554" s="376"/>
      <c r="B554" s="376" t="s">
        <v>1517</v>
      </c>
      <c r="C554" s="387" t="s">
        <v>121</v>
      </c>
      <c r="D554" s="376" t="s">
        <v>25</v>
      </c>
      <c r="E554" s="376" t="s">
        <v>26</v>
      </c>
      <c r="F554" s="608" t="s">
        <v>1521</v>
      </c>
      <c r="G554" s="609">
        <v>5.1559510599311999E-2</v>
      </c>
      <c r="H554" s="692">
        <v>1</v>
      </c>
      <c r="I554" s="626"/>
      <c r="J554" s="751"/>
      <c r="L554" s="608" t="s">
        <v>26</v>
      </c>
      <c r="M554" s="608" t="s">
        <v>1454</v>
      </c>
      <c r="N554" s="608" t="s">
        <v>1202</v>
      </c>
      <c r="O554" s="608" t="s">
        <v>1500</v>
      </c>
      <c r="P554" s="608" t="s">
        <v>1207</v>
      </c>
      <c r="Q554" s="608"/>
      <c r="R554" s="608">
        <v>0</v>
      </c>
      <c r="T554" s="751"/>
      <c r="V554" s="609">
        <f t="shared" si="103"/>
        <v>0</v>
      </c>
      <c r="W554" s="692"/>
    </row>
    <row r="555" spans="1:23" outlineLevel="3">
      <c r="A555" s="376"/>
      <c r="B555" s="376" t="s">
        <v>1517</v>
      </c>
      <c r="C555" s="387" t="s">
        <v>121</v>
      </c>
      <c r="D555" s="376" t="s">
        <v>25</v>
      </c>
      <c r="E555" s="376" t="s">
        <v>26</v>
      </c>
      <c r="F555" s="608" t="s">
        <v>1525</v>
      </c>
      <c r="G555" s="609">
        <v>2.5779755299655999E-2</v>
      </c>
      <c r="H555" s="692">
        <v>1</v>
      </c>
      <c r="I555" s="626"/>
      <c r="J555" s="751"/>
      <c r="L555" s="608" t="s">
        <v>26</v>
      </c>
      <c r="M555" s="608" t="s">
        <v>1272</v>
      </c>
      <c r="N555" s="608" t="s">
        <v>1273</v>
      </c>
      <c r="O555" s="608" t="s">
        <v>72</v>
      </c>
      <c r="P555" s="608" t="s">
        <v>1207</v>
      </c>
      <c r="Q555" s="608"/>
      <c r="R555" s="608">
        <v>0</v>
      </c>
      <c r="T555" s="751"/>
      <c r="V555" s="609">
        <f t="shared" si="103"/>
        <v>0</v>
      </c>
      <c r="W555" s="692"/>
    </row>
    <row r="556" spans="1:23" ht="26.4" outlineLevel="2">
      <c r="A556" s="376"/>
      <c r="B556" s="684" t="s">
        <v>1517</v>
      </c>
      <c r="C556" s="687" t="s">
        <v>121</v>
      </c>
      <c r="D556" s="684" t="s">
        <v>27</v>
      </c>
      <c r="E556" s="684"/>
      <c r="F556" s="685" t="s">
        <v>1526</v>
      </c>
      <c r="G556" s="686">
        <f>SUBTOTAL(9,G557:G561)</f>
        <v>0.19493700714180001</v>
      </c>
      <c r="H556" s="691">
        <f>SUBTOTAL(9,H557:H561)</f>
        <v>3</v>
      </c>
      <c r="I556" s="626"/>
      <c r="J556" s="751"/>
      <c r="L556" s="685"/>
      <c r="M556" s="685"/>
      <c r="N556" s="685"/>
      <c r="O556" s="685"/>
      <c r="P556" s="685"/>
      <c r="Q556" s="685"/>
      <c r="R556" s="685"/>
      <c r="T556" s="751"/>
      <c r="V556" s="686">
        <f>SUBTOTAL(9,V557:V561)</f>
        <v>0</v>
      </c>
      <c r="W556" s="691">
        <f>SUBTOTAL(9,W557:W561)</f>
        <v>0</v>
      </c>
    </row>
    <row r="557" spans="1:23" ht="39.6" outlineLevel="3">
      <c r="A557" s="376"/>
      <c r="B557" s="376" t="s">
        <v>1517</v>
      </c>
      <c r="C557" s="387" t="s">
        <v>121</v>
      </c>
      <c r="D557" s="376" t="s">
        <v>27</v>
      </c>
      <c r="E557" s="376" t="s">
        <v>28</v>
      </c>
      <c r="F557" s="759" t="s">
        <v>1519</v>
      </c>
      <c r="G557" s="609"/>
      <c r="H557" s="692"/>
      <c r="I557" s="626"/>
      <c r="J557" s="751"/>
      <c r="L557" s="608" t="s">
        <v>28</v>
      </c>
      <c r="M557" s="608" t="s">
        <v>1208</v>
      </c>
      <c r="N557" s="608" t="s">
        <v>1516</v>
      </c>
      <c r="O557" s="608"/>
      <c r="P557" s="608"/>
      <c r="Q557" s="608"/>
      <c r="R557" s="608"/>
      <c r="T557" s="751"/>
      <c r="V557" s="609">
        <f t="shared" ref="V557:V561" si="104">IF(W557=1,G557,0)</f>
        <v>0</v>
      </c>
      <c r="W557" s="692"/>
    </row>
    <row r="558" spans="1:23" ht="39.6" outlineLevel="3">
      <c r="A558" s="376"/>
      <c r="B558" s="376" t="s">
        <v>1517</v>
      </c>
      <c r="C558" s="387" t="s">
        <v>121</v>
      </c>
      <c r="D558" s="376" t="s">
        <v>27</v>
      </c>
      <c r="E558" s="376" t="s">
        <v>28</v>
      </c>
      <c r="F558" s="608" t="s">
        <v>1521</v>
      </c>
      <c r="G558" s="609">
        <v>9.7468503570900006E-2</v>
      </c>
      <c r="H558" s="692">
        <v>1</v>
      </c>
      <c r="I558" s="626"/>
      <c r="J558" s="751"/>
      <c r="L558" s="608" t="s">
        <v>28</v>
      </c>
      <c r="M558" s="608" t="s">
        <v>1208</v>
      </c>
      <c r="N558" s="608" t="s">
        <v>1516</v>
      </c>
      <c r="O558" s="608"/>
      <c r="P558" s="608"/>
      <c r="Q558" s="608"/>
      <c r="R558" s="608"/>
      <c r="T558" s="751"/>
      <c r="V558" s="609">
        <f t="shared" si="104"/>
        <v>0</v>
      </c>
      <c r="W558" s="692"/>
    </row>
    <row r="559" spans="1:23" ht="39.6" outlineLevel="3">
      <c r="A559" s="376"/>
      <c r="B559" s="376" t="s">
        <v>1517</v>
      </c>
      <c r="C559" s="387" t="s">
        <v>121</v>
      </c>
      <c r="D559" s="376" t="s">
        <v>27</v>
      </c>
      <c r="E559" s="376" t="s">
        <v>28</v>
      </c>
      <c r="F559" s="608" t="s">
        <v>1527</v>
      </c>
      <c r="G559" s="609">
        <v>3.2489501190300002E-2</v>
      </c>
      <c r="H559" s="692">
        <v>1</v>
      </c>
      <c r="I559" s="626"/>
      <c r="J559" s="751"/>
      <c r="L559" s="608" t="s">
        <v>28</v>
      </c>
      <c r="M559" s="608" t="s">
        <v>1208</v>
      </c>
      <c r="N559" s="608" t="s">
        <v>1516</v>
      </c>
      <c r="O559" s="608"/>
      <c r="P559" s="608"/>
      <c r="Q559" s="608"/>
      <c r="R559" s="608"/>
      <c r="T559" s="751"/>
      <c r="V559" s="609">
        <f t="shared" si="104"/>
        <v>0</v>
      </c>
      <c r="W559" s="692"/>
    </row>
    <row r="560" spans="1:23" ht="39.6" outlineLevel="3">
      <c r="A560" s="376"/>
      <c r="B560" s="376" t="s">
        <v>1517</v>
      </c>
      <c r="C560" s="387" t="s">
        <v>121</v>
      </c>
      <c r="D560" s="376" t="s">
        <v>27</v>
      </c>
      <c r="E560" s="376" t="s">
        <v>28</v>
      </c>
      <c r="F560" s="608" t="s">
        <v>1528</v>
      </c>
      <c r="G560" s="609">
        <v>6.4979002380600004E-2</v>
      </c>
      <c r="H560" s="692">
        <v>1</v>
      </c>
      <c r="I560" s="626"/>
      <c r="J560" s="751"/>
      <c r="L560" s="608" t="s">
        <v>28</v>
      </c>
      <c r="M560" s="608" t="s">
        <v>1208</v>
      </c>
      <c r="N560" s="608" t="s">
        <v>1516</v>
      </c>
      <c r="O560" s="608"/>
      <c r="P560" s="608"/>
      <c r="Q560" s="608"/>
      <c r="R560" s="608"/>
      <c r="T560" s="751"/>
      <c r="V560" s="609">
        <f t="shared" si="104"/>
        <v>0</v>
      </c>
      <c r="W560" s="692"/>
    </row>
    <row r="561" spans="1:23" ht="39.6" outlineLevel="3">
      <c r="A561" s="376"/>
      <c r="B561" s="376" t="s">
        <v>1517</v>
      </c>
      <c r="C561" s="387" t="s">
        <v>121</v>
      </c>
      <c r="D561" s="376" t="s">
        <v>27</v>
      </c>
      <c r="E561" s="376" t="s">
        <v>28</v>
      </c>
      <c r="F561" s="759" t="s">
        <v>1525</v>
      </c>
      <c r="G561" s="609"/>
      <c r="H561" s="692"/>
      <c r="I561" s="626"/>
      <c r="J561" s="751"/>
      <c r="L561" s="608" t="s">
        <v>28</v>
      </c>
      <c r="M561" s="608" t="s">
        <v>1208</v>
      </c>
      <c r="N561" s="608" t="s">
        <v>1516</v>
      </c>
      <c r="O561" s="608"/>
      <c r="P561" s="608"/>
      <c r="Q561" s="608"/>
      <c r="R561" s="608"/>
      <c r="T561" s="751"/>
      <c r="V561" s="609">
        <f t="shared" si="104"/>
        <v>0</v>
      </c>
      <c r="W561" s="692"/>
    </row>
    <row r="562" spans="1:23" ht="26.4" outlineLevel="2">
      <c r="A562" s="376"/>
      <c r="B562" s="684" t="s">
        <v>1517</v>
      </c>
      <c r="C562" s="687" t="s">
        <v>121</v>
      </c>
      <c r="D562" s="684" t="s">
        <v>58</v>
      </c>
      <c r="E562" s="684"/>
      <c r="F562" s="685" t="s">
        <v>1526</v>
      </c>
      <c r="G562" s="686">
        <f>SUBTOTAL(9,G563:G567)</f>
        <v>0</v>
      </c>
      <c r="H562" s="691">
        <f>SUBTOTAL(9,H563:H567)</f>
        <v>0</v>
      </c>
      <c r="I562" s="626"/>
      <c r="J562" s="751"/>
      <c r="L562" s="685"/>
      <c r="M562" s="685"/>
      <c r="N562" s="685"/>
      <c r="O562" s="685"/>
      <c r="P562" s="685"/>
      <c r="Q562" s="685"/>
      <c r="R562" s="685"/>
      <c r="T562" s="751"/>
      <c r="V562" s="686">
        <f>SUBTOTAL(9,V563:V567)</f>
        <v>0</v>
      </c>
      <c r="W562" s="691">
        <f>SUBTOTAL(9,W563:W567)</f>
        <v>0</v>
      </c>
    </row>
    <row r="563" spans="1:23" ht="26.4" outlineLevel="4">
      <c r="A563" s="376"/>
      <c r="B563" s="376" t="s">
        <v>1517</v>
      </c>
      <c r="C563" s="387" t="s">
        <v>121</v>
      </c>
      <c r="D563" s="376" t="s">
        <v>58</v>
      </c>
      <c r="E563" s="376" t="s">
        <v>28</v>
      </c>
      <c r="F563" s="759" t="s">
        <v>1519</v>
      </c>
      <c r="G563" s="609"/>
      <c r="H563" s="692"/>
      <c r="I563" s="626"/>
      <c r="J563" s="751"/>
      <c r="L563" s="608" t="s">
        <v>28</v>
      </c>
      <c r="M563" s="608" t="s">
        <v>1236</v>
      </c>
      <c r="N563" s="608" t="s">
        <v>1529</v>
      </c>
      <c r="O563" s="608"/>
      <c r="P563" s="608"/>
      <c r="Q563" s="608"/>
      <c r="R563" s="608"/>
      <c r="T563" s="751"/>
      <c r="V563" s="609">
        <f t="shared" ref="V563:V567" si="105">IF(W563=1,G563,0)</f>
        <v>0</v>
      </c>
      <c r="W563" s="692"/>
    </row>
    <row r="564" spans="1:23" ht="26.4" outlineLevel="4">
      <c r="A564" s="376"/>
      <c r="B564" s="376" t="s">
        <v>1517</v>
      </c>
      <c r="C564" s="387" t="s">
        <v>121</v>
      </c>
      <c r="D564" s="376" t="s">
        <v>58</v>
      </c>
      <c r="E564" s="376" t="s">
        <v>28</v>
      </c>
      <c r="F564" s="759" t="s">
        <v>1521</v>
      </c>
      <c r="G564" s="609"/>
      <c r="H564" s="692"/>
      <c r="I564" s="626"/>
      <c r="J564" s="751"/>
      <c r="L564" s="608" t="s">
        <v>28</v>
      </c>
      <c r="M564" s="608" t="s">
        <v>1236</v>
      </c>
      <c r="N564" s="608" t="s">
        <v>1529</v>
      </c>
      <c r="O564" s="608"/>
      <c r="P564" s="608"/>
      <c r="Q564" s="608"/>
      <c r="R564" s="608"/>
      <c r="T564" s="751"/>
      <c r="V564" s="609">
        <f t="shared" si="105"/>
        <v>0</v>
      </c>
      <c r="W564" s="692"/>
    </row>
    <row r="565" spans="1:23" ht="26.4" outlineLevel="4">
      <c r="A565" s="376"/>
      <c r="B565" s="376" t="s">
        <v>1517</v>
      </c>
      <c r="C565" s="387" t="s">
        <v>121</v>
      </c>
      <c r="D565" s="376" t="s">
        <v>58</v>
      </c>
      <c r="E565" s="376" t="s">
        <v>28</v>
      </c>
      <c r="F565" s="759" t="s">
        <v>1527</v>
      </c>
      <c r="G565" s="609"/>
      <c r="H565" s="692"/>
      <c r="I565" s="626"/>
      <c r="J565" s="751"/>
      <c r="L565" s="608" t="s">
        <v>28</v>
      </c>
      <c r="M565" s="608" t="s">
        <v>1236</v>
      </c>
      <c r="N565" s="608" t="s">
        <v>1529</v>
      </c>
      <c r="O565" s="608"/>
      <c r="P565" s="608"/>
      <c r="Q565" s="608"/>
      <c r="R565" s="608"/>
      <c r="T565" s="751"/>
      <c r="V565" s="609">
        <f t="shared" si="105"/>
        <v>0</v>
      </c>
      <c r="W565" s="692"/>
    </row>
    <row r="566" spans="1:23" ht="26.4" outlineLevel="4">
      <c r="A566" s="376"/>
      <c r="B566" s="376" t="s">
        <v>1517</v>
      </c>
      <c r="C566" s="387" t="s">
        <v>121</v>
      </c>
      <c r="D566" s="376" t="s">
        <v>58</v>
      </c>
      <c r="E566" s="376" t="s">
        <v>28</v>
      </c>
      <c r="F566" s="759" t="s">
        <v>1528</v>
      </c>
      <c r="G566" s="609"/>
      <c r="H566" s="692"/>
      <c r="I566" s="626"/>
      <c r="J566" s="751"/>
      <c r="L566" s="608" t="s">
        <v>28</v>
      </c>
      <c r="M566" s="608" t="s">
        <v>1236</v>
      </c>
      <c r="N566" s="608" t="s">
        <v>1529</v>
      </c>
      <c r="O566" s="608"/>
      <c r="P566" s="608"/>
      <c r="Q566" s="608"/>
      <c r="R566" s="608"/>
      <c r="T566" s="751"/>
      <c r="V566" s="609">
        <f t="shared" si="105"/>
        <v>0</v>
      </c>
      <c r="W566" s="692"/>
    </row>
    <row r="567" spans="1:23" ht="26.4" outlineLevel="4">
      <c r="A567" s="376"/>
      <c r="B567" s="376" t="s">
        <v>1517</v>
      </c>
      <c r="C567" s="387" t="s">
        <v>121</v>
      </c>
      <c r="D567" s="376" t="s">
        <v>58</v>
      </c>
      <c r="E567" s="376" t="s">
        <v>28</v>
      </c>
      <c r="F567" s="759" t="s">
        <v>1530</v>
      </c>
      <c r="G567" s="609"/>
      <c r="H567" s="692"/>
      <c r="I567" s="626"/>
      <c r="J567" s="751"/>
      <c r="L567" s="608" t="s">
        <v>28</v>
      </c>
      <c r="M567" s="608" t="s">
        <v>1236</v>
      </c>
      <c r="N567" s="608" t="s">
        <v>1529</v>
      </c>
      <c r="O567" s="608"/>
      <c r="P567" s="608"/>
      <c r="Q567" s="608"/>
      <c r="R567" s="608"/>
      <c r="T567" s="751"/>
      <c r="V567" s="609">
        <f t="shared" si="105"/>
        <v>0</v>
      </c>
      <c r="W567" s="692"/>
    </row>
    <row r="568" spans="1:23" outlineLevel="1">
      <c r="A568" s="376"/>
      <c r="B568" s="666" t="s">
        <v>1531</v>
      </c>
      <c r="C568" s="666" t="s">
        <v>70</v>
      </c>
      <c r="D568" s="667" t="s">
        <v>12</v>
      </c>
      <c r="E568" s="665"/>
      <c r="F568" s="681" t="s">
        <v>262</v>
      </c>
      <c r="G568" s="724">
        <f>SUBTOTAL(9,G569:G577)</f>
        <v>0</v>
      </c>
      <c r="H568" s="725">
        <f>SUBTOTAL(9,H569:H577)</f>
        <v>0</v>
      </c>
      <c r="I568" s="626"/>
      <c r="J568" s="751"/>
      <c r="L568" s="681"/>
      <c r="M568" s="681"/>
      <c r="N568" s="681"/>
      <c r="O568" s="681"/>
      <c r="P568" s="681"/>
      <c r="Q568" s="681"/>
      <c r="R568" s="681"/>
      <c r="T568" s="751"/>
      <c r="V568" s="724">
        <f>SUBTOTAL(9,V569:V577)</f>
        <v>0</v>
      </c>
      <c r="W568" s="725">
        <f>SUBTOTAL(9,W569:W577)</f>
        <v>0</v>
      </c>
    </row>
    <row r="569" spans="1:23" outlineLevel="2">
      <c r="A569" s="376"/>
      <c r="B569" s="684" t="s">
        <v>1531</v>
      </c>
      <c r="C569" s="687" t="s">
        <v>70</v>
      </c>
      <c r="D569" s="684" t="s">
        <v>175</v>
      </c>
      <c r="E569" s="684"/>
      <c r="F569" s="685" t="s">
        <v>1532</v>
      </c>
      <c r="G569" s="686">
        <f>SUBTOTAL(9,G570:G571)</f>
        <v>0</v>
      </c>
      <c r="H569" s="691">
        <f>SUBTOTAL(9,H570:H571)</f>
        <v>0</v>
      </c>
      <c r="I569" s="626"/>
      <c r="J569" s="751"/>
      <c r="L569" s="685"/>
      <c r="M569" s="685"/>
      <c r="N569" s="685"/>
      <c r="O569" s="685"/>
      <c r="P569" s="685"/>
      <c r="Q569" s="685"/>
      <c r="R569" s="685"/>
      <c r="T569" s="751"/>
      <c r="V569" s="686">
        <f>SUBTOTAL(9,V570:V571)</f>
        <v>0</v>
      </c>
      <c r="W569" s="691">
        <f>SUBTOTAL(9,W570:W571)</f>
        <v>0</v>
      </c>
    </row>
    <row r="570" spans="1:23" outlineLevel="3">
      <c r="A570" s="376"/>
      <c r="B570" s="376" t="s">
        <v>1531</v>
      </c>
      <c r="C570" s="387" t="s">
        <v>70</v>
      </c>
      <c r="D570" s="376" t="s">
        <v>175</v>
      </c>
      <c r="E570" s="376" t="s">
        <v>28</v>
      </c>
      <c r="F570" s="759" t="s">
        <v>418</v>
      </c>
      <c r="G570" s="609"/>
      <c r="H570" s="692"/>
      <c r="I570" s="626"/>
      <c r="J570" s="751"/>
      <c r="L570" s="608" t="s">
        <v>28</v>
      </c>
      <c r="M570" s="608" t="s">
        <v>1504</v>
      </c>
      <c r="N570" s="608" t="s">
        <v>1514</v>
      </c>
      <c r="O570" s="608"/>
      <c r="P570" s="608"/>
      <c r="Q570" s="608"/>
      <c r="R570" s="608"/>
      <c r="T570" s="751"/>
      <c r="V570" s="609">
        <f t="shared" ref="V570:V571" si="106">IF(W570=1,G570,0)</f>
        <v>0</v>
      </c>
      <c r="W570" s="692"/>
    </row>
    <row r="571" spans="1:23" outlineLevel="3">
      <c r="A571" s="376"/>
      <c r="B571" s="376" t="s">
        <v>1531</v>
      </c>
      <c r="C571" s="387" t="s">
        <v>70</v>
      </c>
      <c r="D571" s="376" t="s">
        <v>175</v>
      </c>
      <c r="E571" s="376" t="s">
        <v>28</v>
      </c>
      <c r="F571" s="759" t="s">
        <v>236</v>
      </c>
      <c r="G571" s="609"/>
      <c r="H571" s="692"/>
      <c r="I571" s="626"/>
      <c r="J571" s="751"/>
      <c r="L571" s="608" t="s">
        <v>28</v>
      </c>
      <c r="M571" s="608" t="s">
        <v>1504</v>
      </c>
      <c r="N571" s="608" t="s">
        <v>1514</v>
      </c>
      <c r="O571" s="608"/>
      <c r="P571" s="608"/>
      <c r="Q571" s="608"/>
      <c r="R571" s="608"/>
      <c r="T571" s="751"/>
      <c r="V571" s="609">
        <f t="shared" si="106"/>
        <v>0</v>
      </c>
      <c r="W571" s="692"/>
    </row>
    <row r="572" spans="1:23" outlineLevel="2">
      <c r="A572" s="376"/>
      <c r="B572" s="684" t="s">
        <v>1531</v>
      </c>
      <c r="C572" s="687" t="s">
        <v>70</v>
      </c>
      <c r="D572" s="684" t="s">
        <v>25</v>
      </c>
      <c r="E572" s="684"/>
      <c r="F572" s="685" t="s">
        <v>1532</v>
      </c>
      <c r="G572" s="686">
        <f>SUBTOTAL(9,G573)</f>
        <v>0</v>
      </c>
      <c r="H572" s="691">
        <f>SUBTOTAL(9,H573)</f>
        <v>0</v>
      </c>
      <c r="I572" s="626"/>
      <c r="J572" s="751"/>
      <c r="L572" s="685"/>
      <c r="M572" s="685"/>
      <c r="N572" s="685"/>
      <c r="O572" s="685"/>
      <c r="P572" s="685"/>
      <c r="Q572" s="685"/>
      <c r="R572" s="685"/>
      <c r="T572" s="751"/>
      <c r="V572" s="686">
        <f>SUBTOTAL(9,V573)</f>
        <v>0</v>
      </c>
      <c r="W572" s="691">
        <f>SUBTOTAL(9,W573)</f>
        <v>0</v>
      </c>
    </row>
    <row r="573" spans="1:23" outlineLevel="3">
      <c r="A573" s="376"/>
      <c r="B573" s="376" t="s">
        <v>1531</v>
      </c>
      <c r="C573" s="387" t="s">
        <v>70</v>
      </c>
      <c r="D573" s="376" t="s">
        <v>25</v>
      </c>
      <c r="E573" s="376" t="s">
        <v>26</v>
      </c>
      <c r="F573" s="759" t="s">
        <v>236</v>
      </c>
      <c r="G573" s="609"/>
      <c r="H573" s="692"/>
      <c r="I573" s="626"/>
      <c r="J573" s="751"/>
      <c r="L573" s="608" t="s">
        <v>26</v>
      </c>
      <c r="M573" s="608" t="s">
        <v>1454</v>
      </c>
      <c r="N573" s="608" t="s">
        <v>1202</v>
      </c>
      <c r="O573" s="608" t="s">
        <v>1500</v>
      </c>
      <c r="P573" s="608" t="s">
        <v>1207</v>
      </c>
      <c r="Q573" s="608"/>
      <c r="R573" s="608">
        <v>0</v>
      </c>
      <c r="T573" s="751"/>
      <c r="V573" s="609">
        <f t="shared" ref="V573" si="107">IF(W573=1,G573,0)</f>
        <v>0</v>
      </c>
      <c r="W573" s="692"/>
    </row>
    <row r="574" spans="1:23" outlineLevel="2">
      <c r="A574" s="376"/>
      <c r="B574" s="684" t="s">
        <v>1531</v>
      </c>
      <c r="C574" s="687" t="s">
        <v>70</v>
      </c>
      <c r="D574" s="684" t="s">
        <v>27</v>
      </c>
      <c r="E574" s="684"/>
      <c r="F574" s="685" t="s">
        <v>1532</v>
      </c>
      <c r="G574" s="686">
        <f>SUBTOTAL(9,G575)</f>
        <v>0</v>
      </c>
      <c r="H574" s="691">
        <f>SUBTOTAL(9,H575)</f>
        <v>0</v>
      </c>
      <c r="I574" s="626"/>
      <c r="J574" s="751"/>
      <c r="L574" s="685"/>
      <c r="M574" s="685"/>
      <c r="N574" s="685"/>
      <c r="O574" s="685"/>
      <c r="P574" s="685"/>
      <c r="Q574" s="685"/>
      <c r="R574" s="685"/>
      <c r="T574" s="751"/>
      <c r="V574" s="686">
        <f>SUBTOTAL(9,V575)</f>
        <v>0</v>
      </c>
      <c r="W574" s="691">
        <f>SUBTOTAL(9,W575)</f>
        <v>0</v>
      </c>
    </row>
    <row r="575" spans="1:23" outlineLevel="3">
      <c r="A575" s="376"/>
      <c r="B575" s="376" t="s">
        <v>1531</v>
      </c>
      <c r="C575" s="387" t="s">
        <v>70</v>
      </c>
      <c r="D575" s="376" t="s">
        <v>27</v>
      </c>
      <c r="E575" s="376" t="s">
        <v>28</v>
      </c>
      <c r="F575" s="759" t="s">
        <v>236</v>
      </c>
      <c r="G575" s="609"/>
      <c r="H575" s="692"/>
      <c r="I575" s="626"/>
      <c r="J575" s="751"/>
      <c r="L575" s="608" t="s">
        <v>28</v>
      </c>
      <c r="M575" s="608"/>
      <c r="N575" s="608"/>
      <c r="O575" s="608"/>
      <c r="P575" s="608"/>
      <c r="Q575" s="608"/>
      <c r="R575" s="608"/>
      <c r="T575" s="751"/>
      <c r="V575" s="609">
        <f t="shared" ref="V575" si="108">IF(W575=1,G575,0)</f>
        <v>0</v>
      </c>
      <c r="W575" s="692"/>
    </row>
    <row r="576" spans="1:23" outlineLevel="2">
      <c r="A576" s="376"/>
      <c r="B576" s="684" t="s">
        <v>1531</v>
      </c>
      <c r="C576" s="687" t="s">
        <v>70</v>
      </c>
      <c r="D576" s="684" t="s">
        <v>58</v>
      </c>
      <c r="E576" s="684"/>
      <c r="F576" s="685" t="s">
        <v>1532</v>
      </c>
      <c r="G576" s="686">
        <f>SUBTOTAL(9,G577)</f>
        <v>0</v>
      </c>
      <c r="H576" s="691">
        <f>SUBTOTAL(9,H577)</f>
        <v>0</v>
      </c>
      <c r="I576" s="626"/>
      <c r="J576" s="751"/>
      <c r="L576" s="685"/>
      <c r="M576" s="685"/>
      <c r="N576" s="685"/>
      <c r="O576" s="685"/>
      <c r="P576" s="685"/>
      <c r="Q576" s="685"/>
      <c r="R576" s="685"/>
      <c r="T576" s="751"/>
      <c r="V576" s="686">
        <f>SUBTOTAL(9,V577)</f>
        <v>0</v>
      </c>
      <c r="W576" s="691">
        <f>SUBTOTAL(9,W577)</f>
        <v>0</v>
      </c>
    </row>
    <row r="577" spans="1:23" outlineLevel="4">
      <c r="A577" s="376"/>
      <c r="B577" s="376" t="s">
        <v>1531</v>
      </c>
      <c r="C577" s="387" t="s">
        <v>70</v>
      </c>
      <c r="D577" s="376" t="s">
        <v>58</v>
      </c>
      <c r="E577" s="376" t="s">
        <v>28</v>
      </c>
      <c r="F577" s="759" t="s">
        <v>236</v>
      </c>
      <c r="G577" s="609"/>
      <c r="H577" s="692"/>
      <c r="I577" s="626"/>
      <c r="J577" s="751"/>
      <c r="L577" s="608" t="s">
        <v>28</v>
      </c>
      <c r="M577" s="608"/>
      <c r="N577" s="608"/>
      <c r="O577" s="608"/>
      <c r="P577" s="608"/>
      <c r="Q577" s="608"/>
      <c r="R577" s="608"/>
      <c r="T577" s="751"/>
      <c r="V577" s="609">
        <f t="shared" ref="V577" si="109">IF(W577=1,G577,0)</f>
        <v>0</v>
      </c>
      <c r="W577" s="692"/>
    </row>
    <row r="578" spans="1:23" outlineLevel="1">
      <c r="A578" s="376"/>
      <c r="B578" s="666" t="s">
        <v>1533</v>
      </c>
      <c r="C578" s="666" t="s">
        <v>1534</v>
      </c>
      <c r="D578" s="667"/>
      <c r="E578" s="665"/>
      <c r="F578" s="681" t="s">
        <v>262</v>
      </c>
      <c r="G578" s="724">
        <f>SUBTOTAL(9,G579:G580)</f>
        <v>1.6141000000000003</v>
      </c>
      <c r="H578" s="725">
        <f>SUBTOTAL(9,H579:H580)</f>
        <v>1</v>
      </c>
      <c r="I578" s="626"/>
      <c r="J578" s="751"/>
      <c r="L578" s="681"/>
      <c r="M578" s="681"/>
      <c r="N578" s="681"/>
      <c r="O578" s="681"/>
      <c r="P578" s="681"/>
      <c r="Q578" s="681"/>
      <c r="R578" s="681"/>
      <c r="T578" s="751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1533</v>
      </c>
      <c r="C579" s="684" t="s">
        <v>1534</v>
      </c>
      <c r="D579" s="684" t="s">
        <v>17</v>
      </c>
      <c r="E579" s="684"/>
      <c r="F579" s="685" t="s">
        <v>1535</v>
      </c>
      <c r="G579" s="686">
        <f>SUBTOTAL(9,G580)</f>
        <v>1.6141000000000003</v>
      </c>
      <c r="H579" s="691">
        <f>SUBTOTAL(9,H580)</f>
        <v>1</v>
      </c>
      <c r="I579" s="626"/>
      <c r="J579" s="751"/>
      <c r="L579" s="685"/>
      <c r="M579" s="685"/>
      <c r="N579" s="685"/>
      <c r="O579" s="685"/>
      <c r="P579" s="685"/>
      <c r="Q579" s="685"/>
      <c r="R579" s="685"/>
      <c r="T579" s="751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1533</v>
      </c>
      <c r="C580" s="376" t="s">
        <v>1534</v>
      </c>
      <c r="D580" s="376" t="s">
        <v>17</v>
      </c>
      <c r="E580" s="376" t="s">
        <v>177</v>
      </c>
      <c r="F580" s="608" t="s">
        <v>418</v>
      </c>
      <c r="G580" s="609">
        <v>1.6141000000000003</v>
      </c>
      <c r="H580" s="692">
        <v>1</v>
      </c>
      <c r="I580" s="626"/>
      <c r="J580" s="751"/>
      <c r="L580" s="608" t="s">
        <v>177</v>
      </c>
      <c r="M580" s="608" t="s">
        <v>177</v>
      </c>
      <c r="N580" s="608" t="s">
        <v>1536</v>
      </c>
      <c r="O580" s="608" t="s">
        <v>1537</v>
      </c>
      <c r="P580" s="608"/>
      <c r="Q580" s="608"/>
      <c r="R580" s="608"/>
      <c r="T580" s="751"/>
      <c r="V580" s="609">
        <f t="shared" ref="V580" si="110">IF(W580=1,G580,0)</f>
        <v>0</v>
      </c>
      <c r="W580" s="692"/>
    </row>
    <row r="581" spans="1:23" outlineLevel="1">
      <c r="A581" s="376"/>
      <c r="B581" s="666" t="s">
        <v>348</v>
      </c>
      <c r="C581" s="666" t="s">
        <v>349</v>
      </c>
      <c r="D581" s="666"/>
      <c r="E581" s="666"/>
      <c r="F581" s="681" t="s">
        <v>262</v>
      </c>
      <c r="G581" s="724">
        <f>SUBTOTAL(9,G582:G583)</f>
        <v>0</v>
      </c>
      <c r="H581" s="725">
        <f>SUBTOTAL(9,H582:H583)</f>
        <v>0</v>
      </c>
      <c r="I581" s="626"/>
      <c r="J581" s="751"/>
      <c r="L581" s="760"/>
      <c r="M581" s="760"/>
      <c r="N581" s="760"/>
      <c r="O581" s="760"/>
      <c r="P581" s="760"/>
      <c r="Q581" s="760"/>
      <c r="R581" s="760"/>
      <c r="T581" s="751"/>
      <c r="V581" s="724">
        <f>SUBTOTAL(9,V582:V583)</f>
        <v>0</v>
      </c>
      <c r="W581" s="725">
        <f>SUBTOTAL(9,W582:W583)</f>
        <v>0</v>
      </c>
    </row>
    <row r="582" spans="1:23" outlineLevel="2">
      <c r="A582" s="376"/>
      <c r="B582" s="684" t="s">
        <v>350</v>
      </c>
      <c r="C582" s="684" t="s">
        <v>350</v>
      </c>
      <c r="D582" s="684" t="s">
        <v>17</v>
      </c>
      <c r="E582" s="684"/>
      <c r="F582" s="685" t="s">
        <v>1538</v>
      </c>
      <c r="G582" s="686">
        <f>SUBTOTAL(9,G583)</f>
        <v>0</v>
      </c>
      <c r="H582" s="691">
        <f>SUBTOTAL(9,H583)</f>
        <v>0</v>
      </c>
      <c r="I582" s="626"/>
      <c r="J582" s="751"/>
      <c r="L582" s="685"/>
      <c r="M582" s="685"/>
      <c r="N582" s="685"/>
      <c r="O582" s="685"/>
      <c r="P582" s="685"/>
      <c r="Q582" s="685"/>
      <c r="R582" s="685"/>
      <c r="T582" s="751"/>
      <c r="V582" s="686">
        <f>SUBTOTAL(9,V583)</f>
        <v>0</v>
      </c>
      <c r="W582" s="691">
        <f>SUBTOTAL(9,W583)</f>
        <v>0</v>
      </c>
    </row>
    <row r="583" spans="1:23" outlineLevel="3">
      <c r="A583" s="376"/>
      <c r="B583" s="376" t="s">
        <v>350</v>
      </c>
      <c r="C583" s="376" t="s">
        <v>350</v>
      </c>
      <c r="D583" s="376" t="s">
        <v>17</v>
      </c>
      <c r="E583" s="376" t="s">
        <v>19</v>
      </c>
      <c r="F583" s="759" t="s">
        <v>1539</v>
      </c>
      <c r="G583" s="609"/>
      <c r="H583" s="692"/>
      <c r="I583" s="626"/>
      <c r="J583" s="751"/>
      <c r="L583" s="608" t="s">
        <v>19</v>
      </c>
      <c r="M583" s="608" t="s">
        <v>1540</v>
      </c>
      <c r="N583" s="608" t="s">
        <v>1243</v>
      </c>
      <c r="O583" s="608"/>
      <c r="P583" s="608"/>
      <c r="Q583" s="608"/>
      <c r="R583" s="608"/>
      <c r="T583" s="751"/>
      <c r="V583" s="609">
        <f t="shared" ref="V583" si="111">IF(W583=1,G583,0)</f>
        <v>0</v>
      </c>
      <c r="W583" s="692"/>
    </row>
    <row r="584" spans="1:23" outlineLevel="1">
      <c r="A584" s="376"/>
      <c r="B584" s="665" t="s">
        <v>351</v>
      </c>
      <c r="C584" s="665" t="s">
        <v>351</v>
      </c>
      <c r="D584" s="665"/>
      <c r="E584" s="665"/>
      <c r="F584" s="681" t="s">
        <v>262</v>
      </c>
      <c r="G584" s="724">
        <f>SUBTOTAL(9,G585:G596)</f>
        <v>0</v>
      </c>
      <c r="H584" s="725">
        <f>SUBTOTAL(9,H585:H596)</f>
        <v>3</v>
      </c>
      <c r="I584" s="626"/>
      <c r="J584" s="751"/>
      <c r="L584" s="681"/>
      <c r="M584" s="681"/>
      <c r="N584" s="681"/>
      <c r="O584" s="681"/>
      <c r="P584" s="681"/>
      <c r="Q584" s="681"/>
      <c r="R584" s="681"/>
      <c r="T584" s="751"/>
      <c r="V584" s="724">
        <f>SUBTOTAL(9,V585:V596)</f>
        <v>0</v>
      </c>
      <c r="W584" s="725">
        <f>SUBTOTAL(9,W585:W596)</f>
        <v>0</v>
      </c>
    </row>
    <row r="585" spans="1:23" outlineLevel="2">
      <c r="A585" s="376"/>
      <c r="B585" s="684" t="s">
        <v>351</v>
      </c>
      <c r="C585" s="684" t="s">
        <v>351</v>
      </c>
      <c r="D585" s="684" t="s">
        <v>175</v>
      </c>
      <c r="E585" s="684"/>
      <c r="F585" s="685" t="s">
        <v>352</v>
      </c>
      <c r="G585" s="686">
        <f>SUBTOTAL(9,G586:G588)</f>
        <v>0</v>
      </c>
      <c r="H585" s="691">
        <f>SUBTOTAL(9,H586:H588)</f>
        <v>3</v>
      </c>
      <c r="I585" s="626"/>
      <c r="J585" s="751"/>
      <c r="L585" s="685"/>
      <c r="M585" s="685"/>
      <c r="N585" s="685"/>
      <c r="O585" s="685"/>
      <c r="P585" s="685"/>
      <c r="Q585" s="685"/>
      <c r="R585" s="685"/>
      <c r="T585" s="751"/>
      <c r="V585" s="686">
        <f>SUBTOTAL(9,V586:V588)</f>
        <v>0</v>
      </c>
      <c r="W585" s="691">
        <f>SUBTOTAL(9,W586:W588)</f>
        <v>0</v>
      </c>
    </row>
    <row r="586" spans="1:23" outlineLevel="3">
      <c r="A586" s="376"/>
      <c r="B586" s="376" t="s">
        <v>351</v>
      </c>
      <c r="C586" s="376" t="s">
        <v>351</v>
      </c>
      <c r="D586" s="376" t="s">
        <v>175</v>
      </c>
      <c r="E586" s="376" t="s">
        <v>28</v>
      </c>
      <c r="F586" s="608" t="s">
        <v>418</v>
      </c>
      <c r="G586" s="609"/>
      <c r="H586" s="692">
        <v>1</v>
      </c>
      <c r="I586" s="626"/>
      <c r="J586" s="751"/>
      <c r="L586" s="608" t="s">
        <v>28</v>
      </c>
      <c r="M586" s="608" t="s">
        <v>1504</v>
      </c>
      <c r="N586" s="608" t="s">
        <v>1514</v>
      </c>
      <c r="O586" s="608"/>
      <c r="P586" s="608"/>
      <c r="Q586" s="608"/>
      <c r="R586" s="608"/>
      <c r="T586" s="751"/>
      <c r="V586" s="609"/>
      <c r="W586" s="692"/>
    </row>
    <row r="587" spans="1:23" outlineLevel="3">
      <c r="A587" s="376"/>
      <c r="B587" s="376" t="s">
        <v>351</v>
      </c>
      <c r="C587" s="376" t="s">
        <v>351</v>
      </c>
      <c r="D587" s="376" t="s">
        <v>175</v>
      </c>
      <c r="E587" s="376" t="s">
        <v>28</v>
      </c>
      <c r="F587" s="608" t="s">
        <v>236</v>
      </c>
      <c r="G587" s="609"/>
      <c r="H587" s="692">
        <v>1</v>
      </c>
      <c r="I587" s="626"/>
      <c r="J587" s="751"/>
      <c r="L587" s="608" t="s">
        <v>28</v>
      </c>
      <c r="M587" s="608" t="s">
        <v>1504</v>
      </c>
      <c r="N587" s="608" t="s">
        <v>1514</v>
      </c>
      <c r="O587" s="608"/>
      <c r="P587" s="608"/>
      <c r="Q587" s="608"/>
      <c r="R587" s="608"/>
      <c r="T587" s="751"/>
      <c r="V587" s="609"/>
      <c r="W587" s="692"/>
    </row>
    <row r="588" spans="1:23" outlineLevel="3">
      <c r="A588" s="376"/>
      <c r="B588" s="376" t="s">
        <v>351</v>
      </c>
      <c r="C588" s="376" t="s">
        <v>351</v>
      </c>
      <c r="D588" s="376" t="s">
        <v>175</v>
      </c>
      <c r="E588" s="376" t="s">
        <v>28</v>
      </c>
      <c r="F588" s="608" t="s">
        <v>32</v>
      </c>
      <c r="G588" s="609"/>
      <c r="H588" s="692">
        <v>1</v>
      </c>
      <c r="I588" s="626"/>
      <c r="J588" s="751"/>
      <c r="L588" s="608" t="s">
        <v>28</v>
      </c>
      <c r="M588" s="608" t="s">
        <v>1504</v>
      </c>
      <c r="N588" s="608" t="s">
        <v>1514</v>
      </c>
      <c r="O588" s="608"/>
      <c r="P588" s="608"/>
      <c r="Q588" s="608"/>
      <c r="R588" s="608"/>
      <c r="T588" s="751"/>
      <c r="V588" s="609"/>
      <c r="W588" s="692"/>
    </row>
    <row r="589" spans="1:23" outlineLevel="2">
      <c r="A589" s="376"/>
      <c r="B589" s="684" t="s">
        <v>351</v>
      </c>
      <c r="C589" s="684" t="s">
        <v>351</v>
      </c>
      <c r="D589" s="684" t="s">
        <v>25</v>
      </c>
      <c r="E589" s="684"/>
      <c r="F589" s="685" t="s">
        <v>352</v>
      </c>
      <c r="G589" s="686">
        <f>SUBTOTAL(9,G590)</f>
        <v>0</v>
      </c>
      <c r="H589" s="691">
        <f>SUBTOTAL(9,H590)</f>
        <v>0</v>
      </c>
      <c r="I589" s="626"/>
      <c r="J589" s="751"/>
      <c r="L589" s="685"/>
      <c r="M589" s="685"/>
      <c r="N589" s="685"/>
      <c r="O589" s="685"/>
      <c r="P589" s="685"/>
      <c r="Q589" s="685"/>
      <c r="R589" s="685"/>
      <c r="T589" s="751"/>
      <c r="V589" s="686">
        <f>SUBTOTAL(9,V590)</f>
        <v>0</v>
      </c>
      <c r="W589" s="691">
        <f>SUBTOTAL(9,W590)</f>
        <v>0</v>
      </c>
    </row>
    <row r="590" spans="1:23" outlineLevel="3">
      <c r="A590" s="376"/>
      <c r="B590" s="376" t="s">
        <v>351</v>
      </c>
      <c r="C590" s="376" t="s">
        <v>351</v>
      </c>
      <c r="D590" s="376" t="s">
        <v>25</v>
      </c>
      <c r="E590" s="376" t="s">
        <v>26</v>
      </c>
      <c r="F590" s="608" t="s">
        <v>236</v>
      </c>
      <c r="G590" s="609"/>
      <c r="H590" s="692"/>
      <c r="I590" s="626"/>
      <c r="J590" s="751"/>
      <c r="L590" s="608" t="s">
        <v>26</v>
      </c>
      <c r="M590" s="608" t="s">
        <v>1454</v>
      </c>
      <c r="N590" s="608" t="s">
        <v>1202</v>
      </c>
      <c r="O590" s="608" t="s">
        <v>1500</v>
      </c>
      <c r="P590" s="608" t="s">
        <v>1326</v>
      </c>
      <c r="Q590" s="608"/>
      <c r="R590" s="608">
        <v>0</v>
      </c>
      <c r="T590" s="751"/>
      <c r="V590" s="609"/>
      <c r="W590" s="692"/>
    </row>
    <row r="591" spans="1:23" outlineLevel="2">
      <c r="A591" s="376"/>
      <c r="B591" s="684" t="s">
        <v>351</v>
      </c>
      <c r="C591" s="684" t="s">
        <v>351</v>
      </c>
      <c r="D591" s="684" t="s">
        <v>27</v>
      </c>
      <c r="E591" s="684"/>
      <c r="F591" s="685" t="s">
        <v>352</v>
      </c>
      <c r="G591" s="686">
        <f>SUBTOTAL(9,G592:G593)</f>
        <v>0</v>
      </c>
      <c r="H591" s="691">
        <f>SUBTOTAL(9,H592:H593)</f>
        <v>0</v>
      </c>
      <c r="I591" s="626"/>
      <c r="J591" s="751"/>
      <c r="L591" s="685"/>
      <c r="M591" s="685"/>
      <c r="N591" s="685"/>
      <c r="O591" s="685"/>
      <c r="P591" s="685"/>
      <c r="Q591" s="685"/>
      <c r="R591" s="685"/>
      <c r="T591" s="751"/>
      <c r="V591" s="686">
        <f>SUBTOTAL(9,V592:V593)</f>
        <v>0</v>
      </c>
      <c r="W591" s="691">
        <f>SUBTOTAL(9,W592:W593)</f>
        <v>0</v>
      </c>
    </row>
    <row r="592" spans="1:23" ht="39.6" outlineLevel="3">
      <c r="A592" s="376"/>
      <c r="B592" s="376" t="s">
        <v>351</v>
      </c>
      <c r="C592" s="376" t="s">
        <v>351</v>
      </c>
      <c r="D592" s="376" t="s">
        <v>27</v>
      </c>
      <c r="E592" s="376" t="s">
        <v>28</v>
      </c>
      <c r="F592" s="759" t="s">
        <v>236</v>
      </c>
      <c r="G592" s="609"/>
      <c r="H592" s="692"/>
      <c r="I592" s="626"/>
      <c r="J592" s="751"/>
      <c r="L592" s="608" t="s">
        <v>28</v>
      </c>
      <c r="M592" s="608" t="s">
        <v>1208</v>
      </c>
      <c r="N592" s="608" t="s">
        <v>1511</v>
      </c>
      <c r="O592" s="608"/>
      <c r="P592" s="608"/>
      <c r="Q592" s="608"/>
      <c r="R592" s="608"/>
      <c r="T592" s="751"/>
      <c r="V592" s="609"/>
      <c r="W592" s="692"/>
    </row>
    <row r="593" spans="1:23" ht="39.6" outlineLevel="3">
      <c r="A593" s="376"/>
      <c r="B593" s="376" t="s">
        <v>351</v>
      </c>
      <c r="C593" s="376" t="s">
        <v>351</v>
      </c>
      <c r="D593" s="376" t="s">
        <v>27</v>
      </c>
      <c r="E593" s="376" t="s">
        <v>28</v>
      </c>
      <c r="F593" s="759" t="s">
        <v>32</v>
      </c>
      <c r="G593" s="609"/>
      <c r="H593" s="692"/>
      <c r="I593" s="626"/>
      <c r="J593" s="751"/>
      <c r="L593" s="608" t="s">
        <v>28</v>
      </c>
      <c r="M593" s="608" t="s">
        <v>1208</v>
      </c>
      <c r="N593" s="608" t="s">
        <v>1511</v>
      </c>
      <c r="O593" s="608"/>
      <c r="P593" s="608"/>
      <c r="Q593" s="608"/>
      <c r="R593" s="608"/>
      <c r="T593" s="751"/>
      <c r="V593" s="609"/>
      <c r="W593" s="692"/>
    </row>
    <row r="594" spans="1:23" outlineLevel="2">
      <c r="A594" s="376"/>
      <c r="B594" s="684" t="s">
        <v>351</v>
      </c>
      <c r="C594" s="684" t="s">
        <v>351</v>
      </c>
      <c r="D594" s="684" t="s">
        <v>58</v>
      </c>
      <c r="E594" s="684"/>
      <c r="F594" s="685" t="s">
        <v>352</v>
      </c>
      <c r="G594" s="686">
        <f>SUBTOTAL(9,G595:G596)</f>
        <v>0</v>
      </c>
      <c r="H594" s="691">
        <f>SUBTOTAL(9,H595:H596)</f>
        <v>0</v>
      </c>
      <c r="I594" s="626"/>
      <c r="J594" s="751"/>
      <c r="L594" s="685"/>
      <c r="M594" s="685"/>
      <c r="N594" s="685"/>
      <c r="O594" s="685"/>
      <c r="P594" s="685"/>
      <c r="Q594" s="685"/>
      <c r="R594" s="685"/>
      <c r="T594" s="751"/>
      <c r="V594" s="686">
        <f>SUBTOTAL(9,V595:V596)</f>
        <v>0</v>
      </c>
      <c r="W594" s="691">
        <f>SUBTOTAL(9,W595:W596)</f>
        <v>0</v>
      </c>
    </row>
    <row r="595" spans="1:23" outlineLevel="3">
      <c r="A595" s="376"/>
      <c r="B595" s="376" t="s">
        <v>351</v>
      </c>
      <c r="C595" s="376" t="s">
        <v>351</v>
      </c>
      <c r="D595" s="376" t="s">
        <v>58</v>
      </c>
      <c r="E595" s="376" t="s">
        <v>28</v>
      </c>
      <c r="F595" s="759" t="s">
        <v>236</v>
      </c>
      <c r="G595" s="609"/>
      <c r="H595" s="692"/>
      <c r="I595" s="626"/>
      <c r="J595" s="751"/>
      <c r="L595" s="608" t="s">
        <v>28</v>
      </c>
      <c r="M595" s="608" t="s">
        <v>1236</v>
      </c>
      <c r="N595" s="608" t="s">
        <v>1431</v>
      </c>
      <c r="O595" s="608"/>
      <c r="P595" s="608"/>
      <c r="Q595" s="608"/>
      <c r="R595" s="608"/>
      <c r="T595" s="751"/>
      <c r="V595" s="609"/>
      <c r="W595" s="692"/>
    </row>
    <row r="596" spans="1:23" outlineLevel="3">
      <c r="A596" s="376"/>
      <c r="B596" s="376" t="s">
        <v>351</v>
      </c>
      <c r="C596" s="376" t="s">
        <v>351</v>
      </c>
      <c r="D596" s="376" t="s">
        <v>58</v>
      </c>
      <c r="E596" s="376" t="s">
        <v>28</v>
      </c>
      <c r="F596" s="759" t="s">
        <v>32</v>
      </c>
      <c r="G596" s="609"/>
      <c r="H596" s="692"/>
      <c r="I596" s="626"/>
      <c r="J596" s="751"/>
      <c r="L596" s="608" t="s">
        <v>28</v>
      </c>
      <c r="M596" s="608" t="s">
        <v>1236</v>
      </c>
      <c r="N596" s="608" t="s">
        <v>1431</v>
      </c>
      <c r="O596" s="608"/>
      <c r="P596" s="608"/>
      <c r="Q596" s="608"/>
      <c r="R596" s="608"/>
      <c r="T596" s="751"/>
      <c r="V596" s="609"/>
      <c r="W596" s="692"/>
    </row>
    <row r="597" spans="1:23" outlineLevel="1">
      <c r="A597" s="376"/>
      <c r="B597" s="665" t="s">
        <v>353</v>
      </c>
      <c r="C597" s="665" t="s">
        <v>354</v>
      </c>
      <c r="D597" s="665"/>
      <c r="E597" s="665"/>
      <c r="F597" s="681" t="s">
        <v>262</v>
      </c>
      <c r="G597" s="724">
        <f>SUBTOTAL(9,G598:G607)</f>
        <v>1.44</v>
      </c>
      <c r="H597" s="725">
        <f>SUBTOTAL(9,H598:H607)</f>
        <v>4</v>
      </c>
      <c r="I597" s="626"/>
      <c r="J597" s="751"/>
      <c r="L597" s="681"/>
      <c r="M597" s="681"/>
      <c r="N597" s="681"/>
      <c r="O597" s="681"/>
      <c r="P597" s="681"/>
      <c r="Q597" s="681"/>
      <c r="R597" s="681"/>
      <c r="T597" s="751"/>
      <c r="V597" s="724">
        <f>SUBTOTAL(9,V598:V607)</f>
        <v>0</v>
      </c>
      <c r="W597" s="725">
        <f>SUBTOTAL(9,W598:W607)</f>
        <v>0</v>
      </c>
    </row>
    <row r="598" spans="1:23" outlineLevel="2">
      <c r="A598" s="376"/>
      <c r="B598" s="684" t="s">
        <v>353</v>
      </c>
      <c r="C598" s="684" t="s">
        <v>354</v>
      </c>
      <c r="D598" s="684" t="s">
        <v>17</v>
      </c>
      <c r="E598" s="684"/>
      <c r="F598" s="685" t="s">
        <v>1541</v>
      </c>
      <c r="G598" s="686">
        <f>SUBTOTAL(9,G599:G600)</f>
        <v>1.1499999999999999</v>
      </c>
      <c r="H598" s="691">
        <f>SUBTOTAL(9,H599:H600)</f>
        <v>2</v>
      </c>
      <c r="I598" s="626"/>
      <c r="J598" s="751"/>
      <c r="L598" s="685"/>
      <c r="M598" s="685"/>
      <c r="N598" s="685"/>
      <c r="O598" s="685"/>
      <c r="P598" s="685"/>
      <c r="Q598" s="685"/>
      <c r="R598" s="685"/>
      <c r="T598" s="751"/>
      <c r="V598" s="686">
        <f>SUBTOTAL(9,V599:V600)</f>
        <v>0</v>
      </c>
      <c r="W598" s="691">
        <f>SUBTOTAL(9,W599:W600)</f>
        <v>0</v>
      </c>
    </row>
    <row r="599" spans="1:23" outlineLevel="3">
      <c r="A599" s="376"/>
      <c r="B599" s="376" t="s">
        <v>353</v>
      </c>
      <c r="C599" s="376" t="s">
        <v>354</v>
      </c>
      <c r="D599" s="376" t="s">
        <v>17</v>
      </c>
      <c r="E599" s="376" t="s">
        <v>64</v>
      </c>
      <c r="F599" s="608" t="s">
        <v>236</v>
      </c>
      <c r="G599" s="609">
        <v>0.69</v>
      </c>
      <c r="H599" s="692">
        <v>1</v>
      </c>
      <c r="I599" s="626"/>
      <c r="J599" s="751"/>
      <c r="L599" s="608" t="s">
        <v>64</v>
      </c>
      <c r="M599" s="608" t="s">
        <v>1485</v>
      </c>
      <c r="N599" s="608" t="s">
        <v>1490</v>
      </c>
      <c r="O599" s="608"/>
      <c r="P599" s="608"/>
      <c r="Q599" s="608"/>
      <c r="R599" s="608"/>
      <c r="T599" s="751"/>
      <c r="V599" s="609">
        <f t="shared" ref="V599:V600" si="112">IF(W599=1,G599,0)</f>
        <v>0</v>
      </c>
      <c r="W599" s="692"/>
    </row>
    <row r="600" spans="1:23" outlineLevel="3">
      <c r="A600" s="376"/>
      <c r="B600" s="376" t="s">
        <v>353</v>
      </c>
      <c r="C600" s="376" t="s">
        <v>354</v>
      </c>
      <c r="D600" s="376" t="s">
        <v>17</v>
      </c>
      <c r="E600" s="376" t="s">
        <v>64</v>
      </c>
      <c r="F600" s="608" t="s">
        <v>32</v>
      </c>
      <c r="G600" s="609">
        <v>0.46</v>
      </c>
      <c r="H600" s="692">
        <v>1</v>
      </c>
      <c r="I600" s="626"/>
      <c r="J600" s="751"/>
      <c r="L600" s="608" t="s">
        <v>64</v>
      </c>
      <c r="M600" s="608" t="s">
        <v>1485</v>
      </c>
      <c r="N600" s="608" t="s">
        <v>1490</v>
      </c>
      <c r="O600" s="608"/>
      <c r="P600" s="608"/>
      <c r="Q600" s="608"/>
      <c r="R600" s="608"/>
      <c r="T600" s="751"/>
      <c r="V600" s="609">
        <f t="shared" si="112"/>
        <v>0</v>
      </c>
      <c r="W600" s="692"/>
    </row>
    <row r="601" spans="1:23" outlineLevel="2">
      <c r="A601" s="376"/>
      <c r="B601" s="684" t="s">
        <v>353</v>
      </c>
      <c r="C601" s="684" t="s">
        <v>354</v>
      </c>
      <c r="D601" s="684" t="s">
        <v>25</v>
      </c>
      <c r="E601" s="684"/>
      <c r="F601" s="685" t="s">
        <v>1542</v>
      </c>
      <c r="G601" s="686">
        <f>SUBTOTAL(9,G602)</f>
        <v>0.19</v>
      </c>
      <c r="H601" s="691">
        <f>SUBTOTAL(9,H602)</f>
        <v>0</v>
      </c>
      <c r="I601" s="626"/>
      <c r="J601" s="751"/>
      <c r="L601" s="685"/>
      <c r="M601" s="685"/>
      <c r="N601" s="685"/>
      <c r="O601" s="685"/>
      <c r="P601" s="685"/>
      <c r="Q601" s="685"/>
      <c r="R601" s="685"/>
      <c r="T601" s="751"/>
      <c r="V601" s="686">
        <f>SUBTOTAL(9,V602)</f>
        <v>0</v>
      </c>
      <c r="W601" s="691">
        <f>SUBTOTAL(9,W602)</f>
        <v>0</v>
      </c>
    </row>
    <row r="602" spans="1:23" outlineLevel="3">
      <c r="A602" s="376"/>
      <c r="B602" s="376" t="s">
        <v>353</v>
      </c>
      <c r="C602" s="376" t="s">
        <v>354</v>
      </c>
      <c r="D602" s="376" t="s">
        <v>25</v>
      </c>
      <c r="E602" s="376" t="s">
        <v>26</v>
      </c>
      <c r="F602" s="608" t="s">
        <v>236</v>
      </c>
      <c r="G602" s="609">
        <v>0.19</v>
      </c>
      <c r="H602" s="692"/>
      <c r="I602" s="626"/>
      <c r="J602" s="751"/>
      <c r="L602" s="608" t="s">
        <v>26</v>
      </c>
      <c r="M602" s="608" t="s">
        <v>1272</v>
      </c>
      <c r="N602" s="608" t="s">
        <v>1452</v>
      </c>
      <c r="O602" s="608" t="s">
        <v>72</v>
      </c>
      <c r="P602" s="608" t="s">
        <v>1312</v>
      </c>
      <c r="Q602" s="608"/>
      <c r="R602" s="608">
        <v>0</v>
      </c>
      <c r="T602" s="751"/>
      <c r="V602" s="609">
        <f t="shared" ref="V602" si="113">IF(W602=1,G602,0)</f>
        <v>0</v>
      </c>
      <c r="W602" s="692"/>
    </row>
    <row r="603" spans="1:23" outlineLevel="2">
      <c r="A603" s="376"/>
      <c r="B603" s="684" t="s">
        <v>353</v>
      </c>
      <c r="C603" s="684" t="s">
        <v>354</v>
      </c>
      <c r="D603" s="684" t="s">
        <v>27</v>
      </c>
      <c r="E603" s="684"/>
      <c r="F603" s="685" t="s">
        <v>1542</v>
      </c>
      <c r="G603" s="686">
        <f>SUBTOTAL(9,G604:G605)</f>
        <v>0.05</v>
      </c>
      <c r="H603" s="691">
        <f>SUBTOTAL(9,H604:H605)</f>
        <v>1</v>
      </c>
      <c r="I603" s="703"/>
      <c r="J603" s="754"/>
      <c r="K603" s="750"/>
      <c r="L603" s="685"/>
      <c r="M603" s="685"/>
      <c r="N603" s="685"/>
      <c r="O603" s="685"/>
      <c r="P603" s="685"/>
      <c r="Q603" s="685"/>
      <c r="R603" s="685"/>
      <c r="S603" s="750"/>
      <c r="T603" s="754"/>
      <c r="U603" s="750"/>
      <c r="V603" s="686">
        <f>SUBTOTAL(9,V604:V605)</f>
        <v>0</v>
      </c>
      <c r="W603" s="691">
        <f>SUBTOTAL(9,W604:W605)</f>
        <v>0</v>
      </c>
    </row>
    <row r="604" spans="1:23" ht="39.6" outlineLevel="3">
      <c r="A604" s="376"/>
      <c r="B604" s="376" t="s">
        <v>353</v>
      </c>
      <c r="C604" s="376" t="s">
        <v>354</v>
      </c>
      <c r="D604" s="376" t="s">
        <v>27</v>
      </c>
      <c r="E604" s="376" t="s">
        <v>28</v>
      </c>
      <c r="F604" s="759" t="s">
        <v>236</v>
      </c>
      <c r="G604" s="609"/>
      <c r="H604" s="692"/>
      <c r="I604" s="626"/>
      <c r="J604" s="751"/>
      <c r="L604" s="608" t="s">
        <v>28</v>
      </c>
      <c r="M604" s="608" t="s">
        <v>1208</v>
      </c>
      <c r="N604" s="608" t="s">
        <v>1543</v>
      </c>
      <c r="O604" s="608" t="s">
        <v>1544</v>
      </c>
      <c r="P604" s="608"/>
      <c r="Q604" s="608"/>
      <c r="R604" s="608"/>
      <c r="T604" s="751"/>
      <c r="V604" s="609">
        <f t="shared" ref="V604:V605" si="114">IF(W604=1,G604,0)</f>
        <v>0</v>
      </c>
      <c r="W604" s="692"/>
    </row>
    <row r="605" spans="1:23" ht="39.6" outlineLevel="3">
      <c r="A605" s="376"/>
      <c r="B605" s="376" t="s">
        <v>353</v>
      </c>
      <c r="C605" s="376" t="s">
        <v>354</v>
      </c>
      <c r="D605" s="376" t="s">
        <v>27</v>
      </c>
      <c r="E605" s="376" t="s">
        <v>28</v>
      </c>
      <c r="F605" s="608" t="s">
        <v>32</v>
      </c>
      <c r="G605" s="609">
        <v>0.05</v>
      </c>
      <c r="H605" s="692">
        <v>1</v>
      </c>
      <c r="I605" s="626"/>
      <c r="J605" s="751"/>
      <c r="L605" s="608" t="s">
        <v>28</v>
      </c>
      <c r="M605" s="608" t="s">
        <v>1208</v>
      </c>
      <c r="N605" s="608" t="s">
        <v>1543</v>
      </c>
      <c r="O605" s="608" t="s">
        <v>1544</v>
      </c>
      <c r="P605" s="608"/>
      <c r="Q605" s="608"/>
      <c r="R605" s="608"/>
      <c r="T605" s="751"/>
      <c r="V605" s="609">
        <f t="shared" si="114"/>
        <v>0</v>
      </c>
      <c r="W605" s="692"/>
    </row>
    <row r="606" spans="1:23" outlineLevel="2">
      <c r="A606" s="376"/>
      <c r="B606" s="684" t="s">
        <v>353</v>
      </c>
      <c r="C606" s="684" t="s">
        <v>354</v>
      </c>
      <c r="D606" s="684" t="s">
        <v>58</v>
      </c>
      <c r="E606" s="684"/>
      <c r="F606" s="685" t="s">
        <v>1542</v>
      </c>
      <c r="G606" s="686">
        <f>SUBTOTAL(9,G607)</f>
        <v>0.05</v>
      </c>
      <c r="H606" s="691">
        <f>SUBTOTAL(9,H607)</f>
        <v>1</v>
      </c>
      <c r="I606" s="626"/>
      <c r="J606" s="751"/>
      <c r="L606" s="685"/>
      <c r="M606" s="685"/>
      <c r="N606" s="685"/>
      <c r="O606" s="685"/>
      <c r="P606" s="685"/>
      <c r="Q606" s="685"/>
      <c r="R606" s="685"/>
      <c r="T606" s="751"/>
      <c r="V606" s="686">
        <f>SUBTOTAL(9,V607)</f>
        <v>0</v>
      </c>
      <c r="W606" s="691">
        <f>SUBTOTAL(9,W607)</f>
        <v>0</v>
      </c>
    </row>
    <row r="607" spans="1:23" outlineLevel="3">
      <c r="A607" s="376"/>
      <c r="B607" s="376" t="s">
        <v>353</v>
      </c>
      <c r="C607" s="376" t="s">
        <v>354</v>
      </c>
      <c r="D607" s="376" t="s">
        <v>58</v>
      </c>
      <c r="E607" s="376" t="s">
        <v>28</v>
      </c>
      <c r="F607" s="608" t="s">
        <v>32</v>
      </c>
      <c r="G607" s="609">
        <v>0.05</v>
      </c>
      <c r="H607" s="692">
        <v>1</v>
      </c>
      <c r="I607" s="626"/>
      <c r="J607" s="751"/>
      <c r="L607" s="608" t="s">
        <v>28</v>
      </c>
      <c r="M607" s="608" t="s">
        <v>1236</v>
      </c>
      <c r="N607" s="608" t="s">
        <v>1502</v>
      </c>
      <c r="O607" s="608"/>
      <c r="P607" s="608"/>
      <c r="Q607" s="608"/>
      <c r="R607" s="608"/>
      <c r="T607" s="751"/>
      <c r="V607" s="609">
        <f t="shared" ref="V607" si="115">IF(W607=1,G607,0)</f>
        <v>0</v>
      </c>
      <c r="W607" s="692"/>
    </row>
    <row r="608" spans="1:23" outlineLevel="1">
      <c r="A608" s="376"/>
      <c r="B608" s="682" t="s">
        <v>355</v>
      </c>
      <c r="C608" s="682" t="s">
        <v>356</v>
      </c>
      <c r="D608" s="682"/>
      <c r="E608" s="682"/>
      <c r="F608" s="681" t="s">
        <v>262</v>
      </c>
      <c r="G608" s="724">
        <f>SUBTOTAL(9,G609:G620)</f>
        <v>4.3845312000000004E-2</v>
      </c>
      <c r="H608" s="725">
        <f>SUBTOTAL(9,H609:H620)</f>
        <v>1</v>
      </c>
      <c r="I608" s="626"/>
      <c r="J608" s="751"/>
      <c r="L608" s="762"/>
      <c r="M608" s="762"/>
      <c r="N608" s="762"/>
      <c r="O608" s="762"/>
      <c r="P608" s="762"/>
      <c r="Q608" s="762"/>
      <c r="R608" s="762"/>
      <c r="T608" s="751"/>
      <c r="V608" s="724">
        <f>SUBTOTAL(9,V609:V620)</f>
        <v>0</v>
      </c>
      <c r="W608" s="725">
        <f>SUBTOTAL(9,W609:W620)</f>
        <v>0</v>
      </c>
    </row>
    <row r="609" spans="1:23" outlineLevel="2">
      <c r="A609" s="376"/>
      <c r="B609" s="688" t="s">
        <v>356</v>
      </c>
      <c r="C609" s="688" t="s">
        <v>356</v>
      </c>
      <c r="D609" s="688" t="s">
        <v>17</v>
      </c>
      <c r="E609" s="688"/>
      <c r="F609" s="712" t="s">
        <v>1455</v>
      </c>
      <c r="G609" s="686">
        <f>SUBTOTAL(9,G610:G612)</f>
        <v>4.3845312000000004E-2</v>
      </c>
      <c r="H609" s="691">
        <f>SUBTOTAL(9,H610:H612)</f>
        <v>1</v>
      </c>
      <c r="I609" s="626"/>
      <c r="J609" s="751"/>
      <c r="L609" s="712"/>
      <c r="M609" s="712"/>
      <c r="N609" s="712"/>
      <c r="O609" s="712"/>
      <c r="P609" s="712"/>
      <c r="Q609" s="712"/>
      <c r="R609" s="712"/>
      <c r="T609" s="751"/>
      <c r="V609" s="686">
        <f>SUBTOTAL(9,V610:V612)</f>
        <v>0</v>
      </c>
      <c r="W609" s="691">
        <f>SUBTOTAL(9,W610:W612)</f>
        <v>0</v>
      </c>
    </row>
    <row r="610" spans="1:23" outlineLevel="3">
      <c r="A610" s="376"/>
      <c r="B610" s="456" t="s">
        <v>356</v>
      </c>
      <c r="C610" s="456" t="s">
        <v>356</v>
      </c>
      <c r="D610" s="456" t="s">
        <v>17</v>
      </c>
      <c r="E610" s="456" t="s">
        <v>241</v>
      </c>
      <c r="F610" s="623" t="s">
        <v>1545</v>
      </c>
      <c r="G610" s="744">
        <v>4.3845312000000004E-2</v>
      </c>
      <c r="H610" s="745">
        <v>1</v>
      </c>
      <c r="I610" s="626"/>
      <c r="J610" s="751"/>
      <c r="L610" s="623" t="s">
        <v>241</v>
      </c>
      <c r="M610" s="623"/>
      <c r="N610" s="623"/>
      <c r="O610" s="623"/>
      <c r="P610" s="623"/>
      <c r="Q610" s="623"/>
      <c r="R610" s="623"/>
      <c r="T610" s="751"/>
      <c r="V610" s="609">
        <f t="shared" ref="V610:V612" si="116">IF(W610=1,G610,0)</f>
        <v>0</v>
      </c>
      <c r="W610" s="745"/>
    </row>
    <row r="611" spans="1:23" outlineLevel="3">
      <c r="A611" s="376"/>
      <c r="B611" s="456" t="s">
        <v>356</v>
      </c>
      <c r="C611" s="456" t="s">
        <v>356</v>
      </c>
      <c r="D611" s="456" t="s">
        <v>17</v>
      </c>
      <c r="E611" s="456" t="s">
        <v>241</v>
      </c>
      <c r="F611" s="759" t="s">
        <v>236</v>
      </c>
      <c r="G611" s="744"/>
      <c r="H611" s="745"/>
      <c r="I611" s="626"/>
      <c r="J611" s="751"/>
      <c r="L611" s="623" t="s">
        <v>241</v>
      </c>
      <c r="M611" s="623"/>
      <c r="N611" s="623"/>
      <c r="O611" s="623"/>
      <c r="P611" s="623"/>
      <c r="Q611" s="623"/>
      <c r="R611" s="623"/>
      <c r="T611" s="751"/>
      <c r="V611" s="609">
        <f t="shared" si="116"/>
        <v>0</v>
      </c>
      <c r="W611" s="745"/>
    </row>
    <row r="612" spans="1:23" outlineLevel="3">
      <c r="A612" s="376"/>
      <c r="B612" s="456" t="s">
        <v>356</v>
      </c>
      <c r="C612" s="456" t="s">
        <v>356</v>
      </c>
      <c r="D612" s="456" t="s">
        <v>17</v>
      </c>
      <c r="E612" s="456" t="s">
        <v>241</v>
      </c>
      <c r="F612" s="759" t="s">
        <v>32</v>
      </c>
      <c r="G612" s="744"/>
      <c r="H612" s="745"/>
      <c r="I612" s="626"/>
      <c r="J612" s="751"/>
      <c r="L612" s="623" t="s">
        <v>241</v>
      </c>
      <c r="M612" s="623"/>
      <c r="N612" s="623"/>
      <c r="O612" s="623"/>
      <c r="P612" s="623"/>
      <c r="Q612" s="623"/>
      <c r="R612" s="623"/>
      <c r="T612" s="751"/>
      <c r="V612" s="609">
        <f t="shared" si="116"/>
        <v>0</v>
      </c>
      <c r="W612" s="745"/>
    </row>
    <row r="613" spans="1:23" outlineLevel="2">
      <c r="A613" s="376"/>
      <c r="B613" s="688" t="s">
        <v>356</v>
      </c>
      <c r="C613" s="688" t="s">
        <v>356</v>
      </c>
      <c r="D613" s="688" t="s">
        <v>25</v>
      </c>
      <c r="E613" s="688"/>
      <c r="F613" s="712" t="s">
        <v>1436</v>
      </c>
      <c r="G613" s="686">
        <f>SUBTOTAL(9,G614)</f>
        <v>0</v>
      </c>
      <c r="H613" s="691">
        <f>SUBTOTAL(9,H614)</f>
        <v>0</v>
      </c>
      <c r="I613" s="626"/>
      <c r="J613" s="751"/>
      <c r="L613" s="712"/>
      <c r="M613" s="712"/>
      <c r="N613" s="712"/>
      <c r="O613" s="712"/>
      <c r="P613" s="712"/>
      <c r="Q613" s="712"/>
      <c r="R613" s="712"/>
      <c r="T613" s="751"/>
      <c r="V613" s="686">
        <f>SUBTOTAL(9,V614)</f>
        <v>0</v>
      </c>
      <c r="W613" s="691">
        <f>SUBTOTAL(9,W614)</f>
        <v>0</v>
      </c>
    </row>
    <row r="614" spans="1:23" outlineLevel="3">
      <c r="A614" s="376"/>
      <c r="B614" s="456" t="s">
        <v>356</v>
      </c>
      <c r="C614" s="456" t="s">
        <v>356</v>
      </c>
      <c r="D614" s="456" t="s">
        <v>25</v>
      </c>
      <c r="E614" s="456" t="s">
        <v>26</v>
      </c>
      <c r="F614" s="759" t="s">
        <v>236</v>
      </c>
      <c r="G614" s="744"/>
      <c r="H614" s="745"/>
      <c r="I614" s="626"/>
      <c r="J614" s="751"/>
      <c r="L614" s="623" t="s">
        <v>26</v>
      </c>
      <c r="M614" s="623" t="s">
        <v>1435</v>
      </c>
      <c r="N614" s="623" t="s">
        <v>72</v>
      </c>
      <c r="O614" s="623"/>
      <c r="P614" s="623" t="s">
        <v>1381</v>
      </c>
      <c r="Q614" s="623"/>
      <c r="R614" s="623">
        <v>0</v>
      </c>
      <c r="T614" s="751"/>
      <c r="V614" s="609">
        <f t="shared" ref="V614" si="117">IF(W614=1,G614,0)</f>
        <v>0</v>
      </c>
      <c r="W614" s="745"/>
    </row>
    <row r="615" spans="1:23" outlineLevel="2">
      <c r="A615" s="376"/>
      <c r="B615" s="688" t="s">
        <v>356</v>
      </c>
      <c r="C615" s="688" t="s">
        <v>356</v>
      </c>
      <c r="D615" s="688" t="s">
        <v>27</v>
      </c>
      <c r="E615" s="688"/>
      <c r="F615" s="712" t="s">
        <v>1455</v>
      </c>
      <c r="G615" s="686">
        <f>SUBTOTAL(9,G616:G617)</f>
        <v>0</v>
      </c>
      <c r="H615" s="691">
        <f>SUBTOTAL(9,H616:H617)</f>
        <v>0</v>
      </c>
      <c r="I615" s="626"/>
      <c r="J615" s="751"/>
      <c r="L615" s="712"/>
      <c r="M615" s="712"/>
      <c r="N615" s="712"/>
      <c r="O615" s="712"/>
      <c r="P615" s="712"/>
      <c r="Q615" s="712"/>
      <c r="R615" s="712"/>
      <c r="T615" s="751"/>
      <c r="V615" s="686">
        <f>SUBTOTAL(9,V616:V617)</f>
        <v>0</v>
      </c>
      <c r="W615" s="691">
        <f>SUBTOTAL(9,W616:W617)</f>
        <v>0</v>
      </c>
    </row>
    <row r="616" spans="1:23" ht="39.6" outlineLevel="3">
      <c r="A616" s="376"/>
      <c r="B616" s="456" t="s">
        <v>356</v>
      </c>
      <c r="C616" s="456" t="s">
        <v>356</v>
      </c>
      <c r="D616" s="456" t="s">
        <v>27</v>
      </c>
      <c r="E616" s="456" t="s">
        <v>28</v>
      </c>
      <c r="F616" s="759" t="s">
        <v>236</v>
      </c>
      <c r="G616" s="744"/>
      <c r="H616" s="745"/>
      <c r="I616" s="626"/>
      <c r="J616" s="751"/>
      <c r="L616" s="623" t="s">
        <v>28</v>
      </c>
      <c r="M616" s="623" t="s">
        <v>1208</v>
      </c>
      <c r="N616" s="623" t="s">
        <v>1209</v>
      </c>
      <c r="O616" s="623" t="s">
        <v>1235</v>
      </c>
      <c r="P616" s="623"/>
      <c r="Q616" s="623"/>
      <c r="R616" s="623"/>
      <c r="T616" s="751"/>
      <c r="V616" s="609">
        <f t="shared" ref="V616:V617" si="118">IF(W616=1,G616,0)</f>
        <v>0</v>
      </c>
      <c r="W616" s="745"/>
    </row>
    <row r="617" spans="1:23" ht="39.6" outlineLevel="3">
      <c r="A617" s="376"/>
      <c r="B617" s="456" t="s">
        <v>356</v>
      </c>
      <c r="C617" s="456" t="s">
        <v>356</v>
      </c>
      <c r="D617" s="456" t="s">
        <v>27</v>
      </c>
      <c r="E617" s="456" t="s">
        <v>28</v>
      </c>
      <c r="F617" s="759" t="s">
        <v>32</v>
      </c>
      <c r="G617" s="744"/>
      <c r="H617" s="745"/>
      <c r="I617" s="626"/>
      <c r="J617" s="751"/>
      <c r="L617" s="623" t="s">
        <v>28</v>
      </c>
      <c r="M617" s="623" t="s">
        <v>1208</v>
      </c>
      <c r="N617" s="623" t="s">
        <v>1209</v>
      </c>
      <c r="O617" s="623" t="s">
        <v>1235</v>
      </c>
      <c r="P617" s="623"/>
      <c r="Q617" s="623"/>
      <c r="R617" s="623"/>
      <c r="T617" s="751"/>
      <c r="V617" s="609">
        <f t="shared" si="118"/>
        <v>0</v>
      </c>
      <c r="W617" s="745"/>
    </row>
    <row r="618" spans="1:23" outlineLevel="2">
      <c r="A618" s="376"/>
      <c r="B618" s="688" t="s">
        <v>356</v>
      </c>
      <c r="C618" s="688" t="s">
        <v>356</v>
      </c>
      <c r="D618" s="688" t="s">
        <v>58</v>
      </c>
      <c r="E618" s="688"/>
      <c r="F618" s="712" t="s">
        <v>1455</v>
      </c>
      <c r="G618" s="686">
        <f>SUBTOTAL(9,G619:G620)</f>
        <v>0</v>
      </c>
      <c r="H618" s="691">
        <f>SUBTOTAL(9,H619:H620)</f>
        <v>0</v>
      </c>
      <c r="I618" s="626"/>
      <c r="J618" s="751"/>
      <c r="L618" s="712"/>
      <c r="M618" s="712"/>
      <c r="N618" s="712"/>
      <c r="O618" s="712"/>
      <c r="P618" s="712"/>
      <c r="Q618" s="712"/>
      <c r="R618" s="712"/>
      <c r="T618" s="751"/>
      <c r="V618" s="686">
        <f>SUBTOTAL(9,V619:V620)</f>
        <v>0</v>
      </c>
      <c r="W618" s="691">
        <f>SUBTOTAL(9,W619:W620)</f>
        <v>0</v>
      </c>
    </row>
    <row r="619" spans="1:23" outlineLevel="3">
      <c r="A619" s="376"/>
      <c r="B619" s="456" t="s">
        <v>356</v>
      </c>
      <c r="C619" s="456" t="s">
        <v>356</v>
      </c>
      <c r="D619" s="456" t="s">
        <v>58</v>
      </c>
      <c r="E619" s="456" t="s">
        <v>28</v>
      </c>
      <c r="F619" s="759" t="s">
        <v>236</v>
      </c>
      <c r="G619" s="744"/>
      <c r="H619" s="745"/>
      <c r="I619" s="626"/>
      <c r="J619" s="751"/>
      <c r="L619" s="623" t="s">
        <v>28</v>
      </c>
      <c r="M619" s="623" t="s">
        <v>1236</v>
      </c>
      <c r="N619" s="623" t="s">
        <v>1431</v>
      </c>
      <c r="O619" s="623"/>
      <c r="P619" s="623"/>
      <c r="Q619" s="623"/>
      <c r="R619" s="623"/>
      <c r="T619" s="751"/>
      <c r="V619" s="609">
        <f t="shared" ref="V619:V620" si="119">IF(W619=1,G619,0)</f>
        <v>0</v>
      </c>
      <c r="W619" s="745"/>
    </row>
    <row r="620" spans="1:23" outlineLevel="3">
      <c r="A620" s="376"/>
      <c r="B620" s="456" t="s">
        <v>356</v>
      </c>
      <c r="C620" s="456" t="s">
        <v>356</v>
      </c>
      <c r="D620" s="456" t="s">
        <v>58</v>
      </c>
      <c r="E620" s="456" t="s">
        <v>28</v>
      </c>
      <c r="F620" s="759" t="s">
        <v>32</v>
      </c>
      <c r="G620" s="744"/>
      <c r="H620" s="745"/>
      <c r="I620" s="626"/>
      <c r="J620" s="751"/>
      <c r="L620" s="623" t="s">
        <v>28</v>
      </c>
      <c r="M620" s="623" t="s">
        <v>1236</v>
      </c>
      <c r="N620" s="623" t="s">
        <v>1431</v>
      </c>
      <c r="O620" s="623"/>
      <c r="P620" s="623"/>
      <c r="Q620" s="623"/>
      <c r="R620" s="623"/>
      <c r="T620" s="751"/>
      <c r="V620" s="609">
        <f t="shared" si="119"/>
        <v>0</v>
      </c>
      <c r="W620" s="745"/>
    </row>
    <row r="621" spans="1:23" s="747" customFormat="1" outlineLevel="1">
      <c r="A621" s="456"/>
      <c r="B621" s="682" t="s">
        <v>364</v>
      </c>
      <c r="C621" s="682" t="s">
        <v>365</v>
      </c>
      <c r="D621" s="682"/>
      <c r="E621" s="682"/>
      <c r="F621" s="681" t="s">
        <v>262</v>
      </c>
      <c r="G621" s="724">
        <f>SUBTOTAL(9,G622:G634)</f>
        <v>6.2110152000000003</v>
      </c>
      <c r="H621" s="725">
        <f>SUBTOTAL(9,H622:H634)</f>
        <v>4</v>
      </c>
      <c r="I621" s="746"/>
      <c r="J621" s="758"/>
      <c r="L621" s="762"/>
      <c r="M621" s="762"/>
      <c r="N621" s="762"/>
      <c r="O621" s="762"/>
      <c r="P621" s="762"/>
      <c r="Q621" s="762"/>
      <c r="R621" s="762"/>
      <c r="T621" s="758"/>
      <c r="V621" s="724">
        <f>SUBTOTAL(9,V622:V634)</f>
        <v>0</v>
      </c>
      <c r="W621" s="725">
        <f>SUBTOTAL(9,W622:W634)</f>
        <v>0</v>
      </c>
    </row>
    <row r="622" spans="1:23" ht="26.4" outlineLevel="2">
      <c r="A622" s="376"/>
      <c r="B622" s="684" t="s">
        <v>364</v>
      </c>
      <c r="C622" s="684" t="s">
        <v>365</v>
      </c>
      <c r="D622" s="684" t="s">
        <v>17</v>
      </c>
      <c r="E622" s="684"/>
      <c r="F622" s="685" t="s">
        <v>1548</v>
      </c>
      <c r="G622" s="686">
        <f>SUBTOTAL(9,G623:G626)</f>
        <v>5.1246</v>
      </c>
      <c r="H622" s="691">
        <f>SUBTOTAL(9,H623:H626)</f>
        <v>4</v>
      </c>
      <c r="I622" s="626"/>
      <c r="J622" s="751"/>
      <c r="L622" s="685"/>
      <c r="M622" s="685" t="s">
        <v>1475</v>
      </c>
      <c r="N622" s="685"/>
      <c r="O622" s="685"/>
      <c r="P622" s="685"/>
      <c r="Q622" s="685"/>
      <c r="R622" s="685"/>
      <c r="T622" s="751"/>
      <c r="V622" s="686">
        <f>SUBTOTAL(9,V623:V626)</f>
        <v>0</v>
      </c>
      <c r="W622" s="691">
        <f>SUBTOTAL(9,W623:W626)</f>
        <v>0</v>
      </c>
    </row>
    <row r="623" spans="1:23" outlineLevel="3">
      <c r="A623" s="376"/>
      <c r="B623" s="376" t="s">
        <v>364</v>
      </c>
      <c r="C623" s="376" t="s">
        <v>365</v>
      </c>
      <c r="D623" s="376" t="s">
        <v>17</v>
      </c>
      <c r="E623" s="376" t="s">
        <v>64</v>
      </c>
      <c r="F623" s="608" t="s">
        <v>1549</v>
      </c>
      <c r="G623" s="609">
        <v>3.3116500000000002</v>
      </c>
      <c r="H623" s="692">
        <v>1</v>
      </c>
      <c r="I623" s="626"/>
      <c r="J623" s="751"/>
      <c r="L623" s="608" t="s">
        <v>64</v>
      </c>
      <c r="M623" s="608" t="s">
        <v>64</v>
      </c>
      <c r="N623" s="608" t="s">
        <v>1496</v>
      </c>
      <c r="O623" s="608"/>
      <c r="P623" s="608"/>
      <c r="Q623" s="608"/>
      <c r="R623" s="608"/>
      <c r="T623" s="751"/>
      <c r="V623" s="609">
        <f t="shared" ref="V623:V626" si="120">IF(W623=1,G623,0)</f>
        <v>0</v>
      </c>
      <c r="W623" s="692"/>
    </row>
    <row r="624" spans="1:23" outlineLevel="3">
      <c r="A624" s="376"/>
      <c r="B624" s="376" t="s">
        <v>364</v>
      </c>
      <c r="C624" s="376" t="s">
        <v>365</v>
      </c>
      <c r="D624" s="376" t="s">
        <v>17</v>
      </c>
      <c r="E624" s="376" t="s">
        <v>64</v>
      </c>
      <c r="F624" s="608" t="s">
        <v>32</v>
      </c>
      <c r="G624" s="609">
        <v>1.6558250000000001</v>
      </c>
      <c r="H624" s="692">
        <v>1</v>
      </c>
      <c r="I624" s="626"/>
      <c r="J624" s="751"/>
      <c r="L624" s="608" t="s">
        <v>64</v>
      </c>
      <c r="M624" s="608" t="s">
        <v>1240</v>
      </c>
      <c r="N624" s="608" t="s">
        <v>1496</v>
      </c>
      <c r="O624" s="608"/>
      <c r="P624" s="608"/>
      <c r="Q624" s="608"/>
      <c r="R624" s="608"/>
      <c r="T624" s="751"/>
      <c r="V624" s="609">
        <f t="shared" si="120"/>
        <v>0</v>
      </c>
      <c r="W624" s="692"/>
    </row>
    <row r="625" spans="1:23" outlineLevel="3">
      <c r="A625" s="376"/>
      <c r="B625" s="376" t="s">
        <v>364</v>
      </c>
      <c r="C625" s="376" t="s">
        <v>365</v>
      </c>
      <c r="D625" s="376" t="s">
        <v>17</v>
      </c>
      <c r="E625" s="376" t="s">
        <v>177</v>
      </c>
      <c r="F625" s="628" t="s">
        <v>370</v>
      </c>
      <c r="G625" s="609">
        <v>0.10475000000000001</v>
      </c>
      <c r="H625" s="692">
        <v>1</v>
      </c>
      <c r="I625" s="626"/>
      <c r="J625" s="751"/>
      <c r="L625" s="608" t="s">
        <v>177</v>
      </c>
      <c r="M625" s="608"/>
      <c r="N625" s="608"/>
      <c r="O625" s="608"/>
      <c r="P625" s="608"/>
      <c r="Q625" s="608"/>
      <c r="R625" s="608"/>
      <c r="T625" s="751"/>
      <c r="V625" s="609">
        <f t="shared" si="120"/>
        <v>0</v>
      </c>
      <c r="W625" s="692"/>
    </row>
    <row r="626" spans="1:23" outlineLevel="3">
      <c r="A626" s="376"/>
      <c r="B626" s="376" t="s">
        <v>364</v>
      </c>
      <c r="C626" s="376" t="s">
        <v>365</v>
      </c>
      <c r="D626" s="376" t="s">
        <v>17</v>
      </c>
      <c r="E626" s="376" t="s">
        <v>177</v>
      </c>
      <c r="F626" s="628" t="s">
        <v>287</v>
      </c>
      <c r="G626" s="609">
        <v>5.2375000000000005E-2</v>
      </c>
      <c r="H626" s="692">
        <v>1</v>
      </c>
      <c r="I626" s="626"/>
      <c r="J626" s="751"/>
      <c r="L626" s="608" t="s">
        <v>177</v>
      </c>
      <c r="M626" s="608"/>
      <c r="N626" s="608"/>
      <c r="O626" s="608"/>
      <c r="P626" s="608"/>
      <c r="Q626" s="608"/>
      <c r="R626" s="608"/>
      <c r="T626" s="751"/>
      <c r="V626" s="609">
        <f t="shared" si="120"/>
        <v>0</v>
      </c>
      <c r="W626" s="692"/>
    </row>
    <row r="627" spans="1:23" outlineLevel="2">
      <c r="A627" s="376"/>
      <c r="B627" s="684" t="s">
        <v>364</v>
      </c>
      <c r="C627" s="684" t="s">
        <v>365</v>
      </c>
      <c r="D627" s="684" t="s">
        <v>25</v>
      </c>
      <c r="E627" s="684"/>
      <c r="F627" s="685" t="s">
        <v>1548</v>
      </c>
      <c r="G627" s="686">
        <f>SUBTOTAL(9,G628)</f>
        <v>1.0864152</v>
      </c>
      <c r="H627" s="691">
        <f>SUBTOTAL(9,H628)</f>
        <v>0</v>
      </c>
      <c r="I627" s="626"/>
      <c r="J627" s="751"/>
      <c r="L627" s="685"/>
      <c r="M627" s="685"/>
      <c r="N627" s="685"/>
      <c r="O627" s="685"/>
      <c r="P627" s="685"/>
      <c r="Q627" s="685"/>
      <c r="R627" s="685"/>
      <c r="T627" s="751"/>
      <c r="V627" s="686">
        <f>SUBTOTAL(9,V628)</f>
        <v>0</v>
      </c>
      <c r="W627" s="691">
        <f>SUBTOTAL(9,W628)</f>
        <v>0</v>
      </c>
    </row>
    <row r="628" spans="1:23" outlineLevel="3">
      <c r="A628" s="376"/>
      <c r="B628" s="376" t="s">
        <v>364</v>
      </c>
      <c r="C628" s="376" t="s">
        <v>365</v>
      </c>
      <c r="D628" s="376" t="s">
        <v>25</v>
      </c>
      <c r="E628" s="376" t="s">
        <v>26</v>
      </c>
      <c r="F628" s="608" t="s">
        <v>1549</v>
      </c>
      <c r="G628" s="609">
        <v>1.0864152</v>
      </c>
      <c r="H628" s="692"/>
      <c r="I628" s="626"/>
      <c r="J628" s="751"/>
      <c r="L628" s="608" t="s">
        <v>26</v>
      </c>
      <c r="M628" s="608" t="s">
        <v>1272</v>
      </c>
      <c r="N628" s="608" t="s">
        <v>1273</v>
      </c>
      <c r="O628" s="608" t="s">
        <v>72</v>
      </c>
      <c r="P628" s="608" t="s">
        <v>1274</v>
      </c>
      <c r="Q628" s="608"/>
      <c r="R628" s="608">
        <v>0</v>
      </c>
      <c r="T628" s="751"/>
      <c r="V628" s="609">
        <f t="shared" ref="V628" si="121">IF(W628=1,G628,0)</f>
        <v>0</v>
      </c>
      <c r="W628" s="692"/>
    </row>
    <row r="629" spans="1:23" outlineLevel="2">
      <c r="A629" s="376"/>
      <c r="B629" s="684" t="s">
        <v>364</v>
      </c>
      <c r="C629" s="684" t="s">
        <v>365</v>
      </c>
      <c r="D629" s="684" t="s">
        <v>27</v>
      </c>
      <c r="E629" s="684"/>
      <c r="F629" s="685" t="s">
        <v>1548</v>
      </c>
      <c r="G629" s="686">
        <f>SUBTOTAL(9,G630:G631)</f>
        <v>0</v>
      </c>
      <c r="H629" s="691">
        <f>SUBTOTAL(9,H630:H631)</f>
        <v>0</v>
      </c>
      <c r="I629" s="626"/>
      <c r="J629" s="751"/>
      <c r="L629" s="685"/>
      <c r="M629" s="685"/>
      <c r="N629" s="685"/>
      <c r="O629" s="685"/>
      <c r="P629" s="685"/>
      <c r="Q629" s="685"/>
      <c r="R629" s="685"/>
      <c r="T629" s="751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364</v>
      </c>
      <c r="C630" s="376" t="s">
        <v>365</v>
      </c>
      <c r="D630" s="376" t="s">
        <v>27</v>
      </c>
      <c r="E630" s="376" t="s">
        <v>28</v>
      </c>
      <c r="F630" s="759" t="s">
        <v>236</v>
      </c>
      <c r="G630" s="609"/>
      <c r="H630" s="692"/>
      <c r="I630" s="626"/>
      <c r="J630" s="751"/>
      <c r="L630" s="608" t="s">
        <v>28</v>
      </c>
      <c r="M630" s="608"/>
      <c r="N630" s="608"/>
      <c r="O630" s="608"/>
      <c r="P630" s="608"/>
      <c r="Q630" s="608"/>
      <c r="R630" s="608"/>
      <c r="T630" s="751"/>
      <c r="V630" s="609">
        <f t="shared" ref="V630:V631" si="122">IF(W630=1,G630,0)</f>
        <v>0</v>
      </c>
      <c r="W630" s="692"/>
    </row>
    <row r="631" spans="1:23" outlineLevel="3">
      <c r="A631" s="376"/>
      <c r="B631" s="376" t="s">
        <v>364</v>
      </c>
      <c r="C631" s="376" t="s">
        <v>365</v>
      </c>
      <c r="D631" s="376" t="s">
        <v>27</v>
      </c>
      <c r="E631" s="376" t="s">
        <v>28</v>
      </c>
      <c r="F631" s="759" t="s">
        <v>32</v>
      </c>
      <c r="G631" s="609"/>
      <c r="H631" s="692"/>
      <c r="I631" s="626"/>
      <c r="J631" s="751"/>
      <c r="L631" s="608" t="s">
        <v>28</v>
      </c>
      <c r="M631" s="608"/>
      <c r="N631" s="608"/>
      <c r="O631" s="608"/>
      <c r="P631" s="608"/>
      <c r="Q631" s="608"/>
      <c r="R631" s="608"/>
      <c r="T631" s="751"/>
      <c r="V631" s="609">
        <f t="shared" si="122"/>
        <v>0</v>
      </c>
      <c r="W631" s="692"/>
    </row>
    <row r="632" spans="1:23" outlineLevel="2">
      <c r="A632" s="376"/>
      <c r="B632" s="684" t="s">
        <v>364</v>
      </c>
      <c r="C632" s="684" t="s">
        <v>365</v>
      </c>
      <c r="D632" s="684" t="s">
        <v>58</v>
      </c>
      <c r="E632" s="684"/>
      <c r="F632" s="685" t="s">
        <v>1548</v>
      </c>
      <c r="G632" s="686">
        <f>SUBTOTAL(9,G633:G634)</f>
        <v>0</v>
      </c>
      <c r="H632" s="691">
        <f>SUBTOTAL(9,H633:H634)</f>
        <v>0</v>
      </c>
      <c r="I632" s="626"/>
      <c r="J632" s="751"/>
      <c r="L632" s="685"/>
      <c r="M632" s="685"/>
      <c r="N632" s="685"/>
      <c r="O632" s="685"/>
      <c r="P632" s="685"/>
      <c r="Q632" s="685"/>
      <c r="R632" s="685"/>
      <c r="T632" s="751"/>
      <c r="V632" s="686">
        <f>SUBTOTAL(9,V633:V634)</f>
        <v>0</v>
      </c>
      <c r="W632" s="691">
        <f>SUBTOTAL(9,W633:W634)</f>
        <v>0</v>
      </c>
    </row>
    <row r="633" spans="1:23" outlineLevel="3">
      <c r="A633" s="376"/>
      <c r="B633" s="376" t="s">
        <v>364</v>
      </c>
      <c r="C633" s="376" t="s">
        <v>365</v>
      </c>
      <c r="D633" s="376" t="s">
        <v>58</v>
      </c>
      <c r="E633" s="376" t="s">
        <v>28</v>
      </c>
      <c r="F633" s="759" t="s">
        <v>236</v>
      </c>
      <c r="G633" s="609"/>
      <c r="H633" s="692"/>
      <c r="I633" s="626"/>
      <c r="J633" s="751"/>
      <c r="L633" s="608" t="s">
        <v>28</v>
      </c>
      <c r="M633" s="608"/>
      <c r="N633" s="608"/>
      <c r="O633" s="608"/>
      <c r="P633" s="608"/>
      <c r="Q633" s="608"/>
      <c r="R633" s="608"/>
      <c r="T633" s="751"/>
      <c r="V633" s="609">
        <f t="shared" ref="V633:V634" si="123">IF(W633=1,G633,0)</f>
        <v>0</v>
      </c>
      <c r="W633" s="692"/>
    </row>
    <row r="634" spans="1:23" outlineLevel="3">
      <c r="A634" s="376"/>
      <c r="B634" s="376" t="s">
        <v>364</v>
      </c>
      <c r="C634" s="376" t="s">
        <v>365</v>
      </c>
      <c r="D634" s="376" t="s">
        <v>58</v>
      </c>
      <c r="E634" s="376" t="s">
        <v>28</v>
      </c>
      <c r="F634" s="759" t="s">
        <v>32</v>
      </c>
      <c r="G634" s="609"/>
      <c r="H634" s="692"/>
      <c r="I634" s="626"/>
      <c r="J634" s="751"/>
      <c r="L634" s="608" t="s">
        <v>28</v>
      </c>
      <c r="M634" s="608"/>
      <c r="N634" s="608"/>
      <c r="O634" s="608"/>
      <c r="P634" s="608"/>
      <c r="Q634" s="608"/>
      <c r="R634" s="608"/>
      <c r="T634" s="751"/>
      <c r="V634" s="609">
        <f t="shared" si="123"/>
        <v>0</v>
      </c>
      <c r="W634" s="692"/>
    </row>
    <row r="635" spans="1:23" s="748" customFormat="1" outlineLevel="1">
      <c r="A635" s="387"/>
      <c r="B635" s="666" t="s">
        <v>378</v>
      </c>
      <c r="C635" s="666" t="s">
        <v>378</v>
      </c>
      <c r="D635" s="666"/>
      <c r="E635" s="666"/>
      <c r="F635" s="681" t="s">
        <v>262</v>
      </c>
      <c r="G635" s="724">
        <f>SUBTOTAL(9,G636:G637)</f>
        <v>18.399999999999999</v>
      </c>
      <c r="H635" s="725">
        <f>SUBTOTAL(9,H636:H637)</f>
        <v>1</v>
      </c>
      <c r="I635" s="740"/>
      <c r="J635" s="757"/>
      <c r="L635" s="760"/>
      <c r="M635" s="760"/>
      <c r="N635" s="760"/>
      <c r="O635" s="760"/>
      <c r="P635" s="760"/>
      <c r="Q635" s="760"/>
      <c r="R635" s="760"/>
      <c r="T635" s="757"/>
      <c r="V635" s="724">
        <f>SUBTOTAL(9,V636:V637)</f>
        <v>0</v>
      </c>
      <c r="W635" s="725">
        <f>SUBTOTAL(9,W636:W637)</f>
        <v>0</v>
      </c>
    </row>
    <row r="636" spans="1:23" s="748" customFormat="1" outlineLevel="2">
      <c r="A636" s="387"/>
      <c r="B636" s="687" t="s">
        <v>378</v>
      </c>
      <c r="C636" s="687" t="s">
        <v>378</v>
      </c>
      <c r="D636" s="687" t="s">
        <v>17</v>
      </c>
      <c r="E636" s="687"/>
      <c r="F636" s="717" t="s">
        <v>1538</v>
      </c>
      <c r="G636" s="742">
        <f>SUBTOTAL(9,G637)</f>
        <v>18.399999999999999</v>
      </c>
      <c r="H636" s="743">
        <f>SUBTOTAL(9,H637)</f>
        <v>1</v>
      </c>
      <c r="I636" s="740"/>
      <c r="J636" s="757"/>
      <c r="L636" s="717"/>
      <c r="M636" s="717"/>
      <c r="N636" s="717"/>
      <c r="O636" s="717"/>
      <c r="P636" s="717"/>
      <c r="Q636" s="717"/>
      <c r="R636" s="717"/>
      <c r="T636" s="757"/>
      <c r="V636" s="742">
        <f>SUBTOTAL(9,V637)</f>
        <v>0</v>
      </c>
      <c r="W636" s="743">
        <f>SUBTOTAL(9,W637)</f>
        <v>0</v>
      </c>
    </row>
    <row r="637" spans="1:23" s="748" customFormat="1" outlineLevel="3">
      <c r="A637" s="387"/>
      <c r="B637" s="387" t="s">
        <v>378</v>
      </c>
      <c r="C637" s="387" t="s">
        <v>378</v>
      </c>
      <c r="D637" s="387" t="s">
        <v>17</v>
      </c>
      <c r="E637" s="387" t="s">
        <v>19</v>
      </c>
      <c r="F637" s="705" t="s">
        <v>418</v>
      </c>
      <c r="G637" s="706">
        <v>18.399999999999999</v>
      </c>
      <c r="H637" s="707">
        <v>1</v>
      </c>
      <c r="I637" s="740"/>
      <c r="J637" s="757"/>
      <c r="L637" s="705" t="s">
        <v>19</v>
      </c>
      <c r="M637" s="705" t="s">
        <v>1195</v>
      </c>
      <c r="N637" s="705"/>
      <c r="O637" s="705"/>
      <c r="P637" s="705"/>
      <c r="Q637" s="705"/>
      <c r="R637" s="705"/>
      <c r="T637" s="757"/>
      <c r="V637" s="609">
        <f t="shared" ref="V637" si="124">IF(W637=1,G637,0)</f>
        <v>0</v>
      </c>
      <c r="W637" s="707"/>
    </row>
    <row r="638" spans="1:23" outlineLevel="1">
      <c r="A638" s="376"/>
      <c r="B638" s="666" t="s">
        <v>360</v>
      </c>
      <c r="C638" s="666" t="s">
        <v>361</v>
      </c>
      <c r="D638" s="667"/>
      <c r="E638" s="665"/>
      <c r="F638" s="681" t="s">
        <v>262</v>
      </c>
      <c r="G638" s="724">
        <f>SUBTOTAL(9,G639:G653)</f>
        <v>26.688668725125005</v>
      </c>
      <c r="H638" s="725">
        <f>SUBTOTAL(9,H639:H653)</f>
        <v>3</v>
      </c>
      <c r="I638" s="626"/>
      <c r="J638" s="751"/>
      <c r="L638" s="681"/>
      <c r="M638" s="681"/>
      <c r="N638" s="681"/>
      <c r="O638" s="681"/>
      <c r="P638" s="681"/>
      <c r="Q638" s="681"/>
      <c r="R638" s="681"/>
      <c r="T638" s="751"/>
      <c r="V638" s="724">
        <f>SUBTOTAL(9,V639:V653)</f>
        <v>0</v>
      </c>
      <c r="W638" s="725">
        <f>SUBTOTAL(9,W639:W653)</f>
        <v>0</v>
      </c>
    </row>
    <row r="639" spans="1:23" outlineLevel="2">
      <c r="A639" s="376"/>
      <c r="B639" s="684" t="s">
        <v>360</v>
      </c>
      <c r="C639" s="687" t="s">
        <v>362</v>
      </c>
      <c r="D639" s="684" t="s">
        <v>17</v>
      </c>
      <c r="E639" s="684"/>
      <c r="F639" s="685" t="s">
        <v>236</v>
      </c>
      <c r="G639" s="686">
        <f>SUBTOTAL(9,G640:G641)</f>
        <v>12.642074948250002</v>
      </c>
      <c r="H639" s="691">
        <f>SUBTOTAL(9,H640:H641)</f>
        <v>1</v>
      </c>
      <c r="I639" s="626"/>
      <c r="J639" s="751"/>
      <c r="L639" s="685"/>
      <c r="M639" s="685"/>
      <c r="N639" s="685"/>
      <c r="O639" s="685"/>
      <c r="P639" s="685"/>
      <c r="Q639" s="685"/>
      <c r="R639" s="685"/>
      <c r="T639" s="751"/>
      <c r="V639" s="686">
        <f>SUBTOTAL(9,V640:V641)</f>
        <v>0</v>
      </c>
      <c r="W639" s="691">
        <f>SUBTOTAL(9,W640:W641)</f>
        <v>0</v>
      </c>
    </row>
    <row r="640" spans="1:23" ht="26.4" outlineLevel="3">
      <c r="A640" s="376"/>
      <c r="B640" s="376" t="s">
        <v>360</v>
      </c>
      <c r="C640" s="387" t="s">
        <v>362</v>
      </c>
      <c r="D640" s="376" t="s">
        <v>17</v>
      </c>
      <c r="E640" s="376" t="s">
        <v>127</v>
      </c>
      <c r="F640" s="608" t="s">
        <v>418</v>
      </c>
      <c r="G640" s="609">
        <v>6.3210374741250011</v>
      </c>
      <c r="H640" s="692">
        <v>1</v>
      </c>
      <c r="I640" s="626"/>
      <c r="J640" s="751"/>
      <c r="L640" s="608" t="s">
        <v>127</v>
      </c>
      <c r="M640" s="608" t="s">
        <v>1320</v>
      </c>
      <c r="N640" s="608" t="s">
        <v>1337</v>
      </c>
      <c r="O640" s="608" t="s">
        <v>1329</v>
      </c>
      <c r="P640" s="608"/>
      <c r="Q640" s="608"/>
      <c r="R640" s="608"/>
      <c r="T640" s="751"/>
      <c r="V640" s="609">
        <f t="shared" ref="V640:V641" si="125">IF(W640=1,G640,0)</f>
        <v>0</v>
      </c>
      <c r="W640" s="692"/>
    </row>
    <row r="641" spans="1:23" ht="26.4" outlineLevel="3">
      <c r="A641" s="376"/>
      <c r="B641" s="376" t="s">
        <v>360</v>
      </c>
      <c r="C641" s="387" t="s">
        <v>362</v>
      </c>
      <c r="D641" s="376" t="s">
        <v>17</v>
      </c>
      <c r="E641" s="376" t="s">
        <v>127</v>
      </c>
      <c r="F641" s="608" t="s">
        <v>236</v>
      </c>
      <c r="G641" s="609">
        <v>6.3210374741250011</v>
      </c>
      <c r="H641" s="692"/>
      <c r="I641" s="626"/>
      <c r="J641" s="751"/>
      <c r="L641" s="608" t="s">
        <v>127</v>
      </c>
      <c r="M641" s="608" t="s">
        <v>1320</v>
      </c>
      <c r="N641" s="608" t="s">
        <v>1337</v>
      </c>
      <c r="O641" s="608" t="s">
        <v>1329</v>
      </c>
      <c r="P641" s="608"/>
      <c r="Q641" s="608"/>
      <c r="R641" s="608"/>
      <c r="T641" s="751"/>
      <c r="V641" s="609">
        <f t="shared" si="125"/>
        <v>0</v>
      </c>
      <c r="W641" s="692"/>
    </row>
    <row r="642" spans="1:23" outlineLevel="2">
      <c r="A642" s="376"/>
      <c r="B642" s="684" t="s">
        <v>360</v>
      </c>
      <c r="C642" s="687" t="s">
        <v>1550</v>
      </c>
      <c r="D642" s="684" t="s">
        <v>175</v>
      </c>
      <c r="E642" s="684"/>
      <c r="F642" s="685" t="s">
        <v>236</v>
      </c>
      <c r="G642" s="686">
        <f>SUBTOTAL(9,G643:G644)</f>
        <v>12.642074948250002</v>
      </c>
      <c r="H642" s="691">
        <f>SUBTOTAL(9,H643:H644)</f>
        <v>1</v>
      </c>
      <c r="I642" s="626"/>
      <c r="J642" s="751"/>
      <c r="L642" s="685"/>
      <c r="M642" s="685"/>
      <c r="N642" s="685"/>
      <c r="O642" s="685"/>
      <c r="P642" s="685"/>
      <c r="Q642" s="685"/>
      <c r="R642" s="685"/>
      <c r="T642" s="751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360</v>
      </c>
      <c r="C643" s="387" t="s">
        <v>1550</v>
      </c>
      <c r="D643" s="376" t="s">
        <v>175</v>
      </c>
      <c r="E643" s="376" t="s">
        <v>28</v>
      </c>
      <c r="F643" s="608" t="s">
        <v>418</v>
      </c>
      <c r="G643" s="609">
        <v>6.3210374741250011</v>
      </c>
      <c r="H643" s="692">
        <v>1</v>
      </c>
      <c r="I643" s="626"/>
      <c r="J643" s="751"/>
      <c r="L643" s="608" t="s">
        <v>28</v>
      </c>
      <c r="M643" s="608" t="s">
        <v>1504</v>
      </c>
      <c r="N643" s="608" t="s">
        <v>1551</v>
      </c>
      <c r="O643" s="608"/>
      <c r="P643" s="608"/>
      <c r="Q643" s="608"/>
      <c r="R643" s="608"/>
      <c r="T643" s="751"/>
      <c r="V643" s="609">
        <f t="shared" ref="V643:V644" si="126">IF(W643=1,G643,0)</f>
        <v>0</v>
      </c>
      <c r="W643" s="692"/>
    </row>
    <row r="644" spans="1:23" outlineLevel="3">
      <c r="A644" s="376"/>
      <c r="B644" s="376" t="s">
        <v>360</v>
      </c>
      <c r="C644" s="387" t="s">
        <v>1550</v>
      </c>
      <c r="D644" s="376" t="s">
        <v>175</v>
      </c>
      <c r="E644" s="376" t="s">
        <v>28</v>
      </c>
      <c r="F644" s="608" t="s">
        <v>236</v>
      </c>
      <c r="G644" s="609">
        <v>6.3210374741250011</v>
      </c>
      <c r="H644" s="692"/>
      <c r="I644" s="626"/>
      <c r="J644" s="751"/>
      <c r="L644" s="608" t="s">
        <v>28</v>
      </c>
      <c r="M644" s="608" t="s">
        <v>1504</v>
      </c>
      <c r="N644" s="608" t="s">
        <v>1551</v>
      </c>
      <c r="O644" s="608"/>
      <c r="P644" s="608"/>
      <c r="Q644" s="608"/>
      <c r="R644" s="608"/>
      <c r="T644" s="751"/>
      <c r="V644" s="609">
        <f t="shared" si="126"/>
        <v>0</v>
      </c>
      <c r="W644" s="692"/>
    </row>
    <row r="645" spans="1:23" outlineLevel="2">
      <c r="A645" s="376"/>
      <c r="B645" s="684" t="s">
        <v>360</v>
      </c>
      <c r="C645" s="687" t="s">
        <v>363</v>
      </c>
      <c r="D645" s="684" t="s">
        <v>17</v>
      </c>
      <c r="E645" s="684"/>
      <c r="F645" s="685" t="s">
        <v>236</v>
      </c>
      <c r="G645" s="686">
        <f>SUBTOTAL(9,G646:G647)</f>
        <v>1.4045188286250001</v>
      </c>
      <c r="H645" s="691">
        <f>SUBTOTAL(9,H646:H647)</f>
        <v>1</v>
      </c>
      <c r="I645" s="626"/>
      <c r="J645" s="751"/>
      <c r="L645" s="685"/>
      <c r="M645" s="685"/>
      <c r="N645" s="685"/>
      <c r="O645" s="685"/>
      <c r="P645" s="685"/>
      <c r="Q645" s="685"/>
      <c r="R645" s="685"/>
      <c r="T645" s="751"/>
      <c r="V645" s="686">
        <f>SUBTOTAL(9,V646:V647)</f>
        <v>0</v>
      </c>
      <c r="W645" s="691">
        <f>SUBTOTAL(9,W646:W647)</f>
        <v>0</v>
      </c>
    </row>
    <row r="646" spans="1:23" outlineLevel="3">
      <c r="A646" s="376"/>
      <c r="B646" s="376" t="s">
        <v>360</v>
      </c>
      <c r="C646" s="387" t="s">
        <v>363</v>
      </c>
      <c r="D646" s="376" t="s">
        <v>17</v>
      </c>
      <c r="E646" s="376" t="s">
        <v>64</v>
      </c>
      <c r="F646" s="608" t="s">
        <v>418</v>
      </c>
      <c r="G646" s="609">
        <v>1.4045188286250001</v>
      </c>
      <c r="H646" s="692">
        <v>1</v>
      </c>
      <c r="I646" s="626"/>
      <c r="J646" s="751"/>
      <c r="L646" s="608" t="s">
        <v>64</v>
      </c>
      <c r="M646" s="608"/>
      <c r="N646" s="608"/>
      <c r="O646" s="608"/>
      <c r="P646" s="608"/>
      <c r="Q646" s="608"/>
      <c r="R646" s="608"/>
      <c r="T646" s="751"/>
      <c r="V646" s="609">
        <f t="shared" ref="V646:V647" si="127">IF(W646=1,G646,0)</f>
        <v>0</v>
      </c>
      <c r="W646" s="692"/>
    </row>
    <row r="647" spans="1:23" outlineLevel="3">
      <c r="A647" s="376"/>
      <c r="B647" s="376" t="s">
        <v>360</v>
      </c>
      <c r="C647" s="387" t="s">
        <v>363</v>
      </c>
      <c r="D647" s="376" t="s">
        <v>17</v>
      </c>
      <c r="E647" s="376" t="s">
        <v>64</v>
      </c>
      <c r="F647" s="759" t="s">
        <v>236</v>
      </c>
      <c r="G647" s="609"/>
      <c r="H647" s="692"/>
      <c r="I647" s="626"/>
      <c r="J647" s="751"/>
      <c r="L647" s="608" t="s">
        <v>64</v>
      </c>
      <c r="M647" s="608"/>
      <c r="N647" s="608"/>
      <c r="O647" s="608"/>
      <c r="P647" s="608"/>
      <c r="Q647" s="608"/>
      <c r="R647" s="608"/>
      <c r="T647" s="751"/>
      <c r="V647" s="609">
        <f t="shared" si="127"/>
        <v>0</v>
      </c>
      <c r="W647" s="692"/>
    </row>
    <row r="648" spans="1:23" outlineLevel="2">
      <c r="A648" s="376"/>
      <c r="B648" s="684" t="s">
        <v>360</v>
      </c>
      <c r="C648" s="687" t="s">
        <v>361</v>
      </c>
      <c r="D648" s="684" t="s">
        <v>25</v>
      </c>
      <c r="E648" s="684"/>
      <c r="F648" s="685" t="s">
        <v>236</v>
      </c>
      <c r="G648" s="686">
        <f>SUBTOTAL(9,G649)</f>
        <v>0</v>
      </c>
      <c r="H648" s="691">
        <f>SUBTOTAL(9,H649)</f>
        <v>0</v>
      </c>
      <c r="I648" s="626"/>
      <c r="J648" s="751"/>
      <c r="L648" s="685"/>
      <c r="M648" s="685"/>
      <c r="N648" s="685"/>
      <c r="O648" s="685"/>
      <c r="P648" s="685"/>
      <c r="Q648" s="685"/>
      <c r="R648" s="685"/>
      <c r="T648" s="751"/>
      <c r="V648" s="686">
        <f>SUBTOTAL(9,V649)</f>
        <v>0</v>
      </c>
      <c r="W648" s="691">
        <f>SUBTOTAL(9,W649)</f>
        <v>0</v>
      </c>
    </row>
    <row r="649" spans="1:23" outlineLevel="3">
      <c r="A649" s="376"/>
      <c r="B649" s="376" t="s">
        <v>360</v>
      </c>
      <c r="C649" s="387" t="s">
        <v>361</v>
      </c>
      <c r="D649" s="376" t="s">
        <v>25</v>
      </c>
      <c r="E649" s="376" t="s">
        <v>26</v>
      </c>
      <c r="F649" s="759" t="s">
        <v>236</v>
      </c>
      <c r="G649" s="609"/>
      <c r="H649" s="692"/>
      <c r="I649" s="626"/>
      <c r="J649" s="751"/>
      <c r="L649" s="608" t="s">
        <v>26</v>
      </c>
      <c r="M649" s="608" t="s">
        <v>1454</v>
      </c>
      <c r="N649" s="608" t="s">
        <v>1202</v>
      </c>
      <c r="O649" s="608" t="s">
        <v>1500</v>
      </c>
      <c r="P649" s="608" t="s">
        <v>1274</v>
      </c>
      <c r="Q649" s="608"/>
      <c r="R649" s="608">
        <v>0</v>
      </c>
      <c r="T649" s="751"/>
      <c r="V649" s="609">
        <f t="shared" ref="V649" si="128">IF(W649=1,G649,0)</f>
        <v>0</v>
      </c>
      <c r="W649" s="692"/>
    </row>
    <row r="650" spans="1:23" ht="92.4" outlineLevel="2">
      <c r="A650" s="376"/>
      <c r="B650" s="684" t="s">
        <v>360</v>
      </c>
      <c r="C650" s="687" t="s">
        <v>361</v>
      </c>
      <c r="D650" s="684" t="s">
        <v>27</v>
      </c>
      <c r="E650" s="684"/>
      <c r="F650" s="685" t="s">
        <v>236</v>
      </c>
      <c r="G650" s="686">
        <f>SUBTOTAL(9,G651)</f>
        <v>0</v>
      </c>
      <c r="H650" s="691">
        <f>SUBTOTAL(9,H651)</f>
        <v>0</v>
      </c>
      <c r="I650" s="626"/>
      <c r="J650" s="751"/>
      <c r="L650" s="685"/>
      <c r="M650" s="685" t="s">
        <v>1425</v>
      </c>
      <c r="N650" s="685"/>
      <c r="O650" s="685"/>
      <c r="P650" s="685"/>
      <c r="Q650" s="685"/>
      <c r="R650" s="685"/>
      <c r="T650" s="751"/>
      <c r="V650" s="686">
        <f>SUBTOTAL(9,V651)</f>
        <v>0</v>
      </c>
      <c r="W650" s="691">
        <f>SUBTOTAL(9,W651)</f>
        <v>0</v>
      </c>
    </row>
    <row r="651" spans="1:23" outlineLevel="3">
      <c r="A651" s="376"/>
      <c r="B651" s="376" t="s">
        <v>360</v>
      </c>
      <c r="C651" s="387" t="s">
        <v>361</v>
      </c>
      <c r="D651" s="376" t="s">
        <v>27</v>
      </c>
      <c r="E651" s="376" t="s">
        <v>28</v>
      </c>
      <c r="F651" s="759" t="s">
        <v>236</v>
      </c>
      <c r="G651" s="609"/>
      <c r="H651" s="692"/>
      <c r="I651" s="626"/>
      <c r="J651" s="751"/>
      <c r="L651" s="608" t="s">
        <v>28</v>
      </c>
      <c r="M651" s="608"/>
      <c r="N651" s="608"/>
      <c r="O651" s="608"/>
      <c r="P651" s="608"/>
      <c r="Q651" s="608"/>
      <c r="R651" s="608"/>
      <c r="T651" s="751"/>
      <c r="V651" s="609">
        <f t="shared" ref="V651" si="129">IF(W651=1,G651,0)</f>
        <v>0</v>
      </c>
      <c r="W651" s="692"/>
    </row>
    <row r="652" spans="1:23" ht="92.4" outlineLevel="2">
      <c r="A652" s="376"/>
      <c r="B652" s="684" t="s">
        <v>360</v>
      </c>
      <c r="C652" s="687" t="s">
        <v>361</v>
      </c>
      <c r="D652" s="684" t="s">
        <v>58</v>
      </c>
      <c r="E652" s="684"/>
      <c r="F652" s="685" t="s">
        <v>236</v>
      </c>
      <c r="G652" s="686">
        <f>SUBTOTAL(9,G653)</f>
        <v>0</v>
      </c>
      <c r="H652" s="691">
        <f>SUBTOTAL(9,H653)</f>
        <v>0</v>
      </c>
      <c r="I652" s="626"/>
      <c r="J652" s="751"/>
      <c r="L652" s="685"/>
      <c r="M652" s="685" t="s">
        <v>1425</v>
      </c>
      <c r="N652" s="685"/>
      <c r="O652" s="685"/>
      <c r="P652" s="685"/>
      <c r="Q652" s="685"/>
      <c r="R652" s="685"/>
      <c r="T652" s="751"/>
      <c r="V652" s="686">
        <f>SUBTOTAL(9,V653)</f>
        <v>0</v>
      </c>
      <c r="W652" s="691">
        <f>SUBTOTAL(9,W653)</f>
        <v>0</v>
      </c>
    </row>
    <row r="653" spans="1:23" outlineLevel="3">
      <c r="A653" s="376"/>
      <c r="B653" s="376" t="s">
        <v>360</v>
      </c>
      <c r="C653" s="387" t="s">
        <v>361</v>
      </c>
      <c r="D653" s="376" t="s">
        <v>58</v>
      </c>
      <c r="E653" s="376" t="s">
        <v>28</v>
      </c>
      <c r="F653" s="759" t="s">
        <v>236</v>
      </c>
      <c r="G653" s="609"/>
      <c r="H653" s="609"/>
      <c r="I653" s="626"/>
      <c r="J653" s="751"/>
      <c r="L653" s="608" t="s">
        <v>28</v>
      </c>
      <c r="M653" s="608"/>
      <c r="N653" s="608"/>
      <c r="O653" s="608"/>
      <c r="P653" s="608"/>
      <c r="Q653" s="608"/>
      <c r="R653" s="608"/>
      <c r="T653" s="751"/>
      <c r="V653" s="609">
        <f t="shared" ref="V653" si="130">IF(W653=1,G653,0)</f>
        <v>0</v>
      </c>
      <c r="W653" s="609"/>
    </row>
  </sheetData>
  <autoFilter ref="A2:AK65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C11-F617-4E6E-99E5-37F58A6B3DBB}">
  <sheetPr codeName="Sheet26"/>
  <dimension ref="B2:D11"/>
  <sheetViews>
    <sheetView workbookViewId="0">
      <selection activeCell="D11" sqref="D11"/>
    </sheetView>
  </sheetViews>
  <sheetFormatPr defaultRowHeight="13.2"/>
  <cols>
    <col min="2" max="2" width="13.5546875" bestFit="1" customWidth="1"/>
    <col min="3" max="3" width="20.33203125" bestFit="1" customWidth="1"/>
    <col min="4" max="4" width="24.5546875" bestFit="1" customWidth="1"/>
  </cols>
  <sheetData>
    <row r="2" spans="2:4">
      <c r="B2" s="657" t="s">
        <v>1670</v>
      </c>
      <c r="C2" t="s">
        <v>1672</v>
      </c>
      <c r="D2" t="s">
        <v>1671</v>
      </c>
    </row>
    <row r="3" spans="2:4">
      <c r="B3" s="658" t="s">
        <v>263</v>
      </c>
      <c r="C3">
        <v>26</v>
      </c>
    </row>
    <row r="4" spans="2:4">
      <c r="B4" s="658" t="s">
        <v>127</v>
      </c>
      <c r="C4">
        <v>37</v>
      </c>
      <c r="D4">
        <v>40.647977761675314</v>
      </c>
    </row>
    <row r="5" spans="2:4">
      <c r="B5" s="658" t="s">
        <v>28</v>
      </c>
      <c r="C5">
        <v>62</v>
      </c>
      <c r="D5">
        <v>24.0470815859033</v>
      </c>
    </row>
    <row r="6" spans="2:4">
      <c r="B6" s="658" t="s">
        <v>241</v>
      </c>
      <c r="C6">
        <v>8</v>
      </c>
      <c r="D6">
        <v>0.59474656199999976</v>
      </c>
    </row>
    <row r="7" spans="2:4">
      <c r="B7" s="658" t="s">
        <v>64</v>
      </c>
      <c r="C7">
        <v>23</v>
      </c>
      <c r="D7">
        <v>28.079745600924603</v>
      </c>
    </row>
    <row r="8" spans="2:4">
      <c r="B8" s="658" t="s">
        <v>177</v>
      </c>
      <c r="C8">
        <v>38</v>
      </c>
      <c r="D8">
        <v>11.571288093812013</v>
      </c>
    </row>
    <row r="9" spans="2:4">
      <c r="B9" s="658" t="s">
        <v>26</v>
      </c>
      <c r="C9">
        <v>113</v>
      </c>
      <c r="D9">
        <v>20.009122745330476</v>
      </c>
    </row>
    <row r="10" spans="2:4">
      <c r="B10" s="658" t="s">
        <v>19</v>
      </c>
      <c r="C10">
        <v>46</v>
      </c>
      <c r="D10">
        <v>30.540592206741032</v>
      </c>
    </row>
    <row r="11" spans="2:4">
      <c r="B11" s="658" t="s">
        <v>1681</v>
      </c>
      <c r="C11">
        <v>353</v>
      </c>
      <c r="D11">
        <v>155.49055455638694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 codeName="Sheet27">
    <tabColor theme="9" tint="-0.249977111117893"/>
    <outlinePr summaryBelow="0" summaryRight="0"/>
    <pageSetUpPr fitToPage="1"/>
  </sheetPr>
  <dimension ref="A1:AG611"/>
  <sheetViews>
    <sheetView zoomScale="91" zoomScaleNormal="100" workbookViewId="0">
      <pane xSplit="2" ySplit="4" topLeftCell="C5" activePane="bottomRight" state="frozen"/>
      <selection pane="topRight" activeCell="E804" sqref="E804"/>
      <selection pane="bottomLeft" activeCell="E804" sqref="E804"/>
      <selection pane="bottomRight" activeCell="F234" sqref="F234"/>
    </sheetView>
  </sheetViews>
  <sheetFormatPr defaultColWidth="9.44140625" defaultRowHeight="13.2" outlineLevelRow="4"/>
  <cols>
    <col min="1" max="1" width="0.5546875" style="373" customWidth="1"/>
    <col min="2" max="2" width="19.44140625" style="373" customWidth="1"/>
    <col min="3" max="3" width="16.33203125" style="373" bestFit="1" customWidth="1"/>
    <col min="4" max="4" width="12.5546875" style="373" customWidth="1"/>
    <col min="5" max="5" width="14.44140625" style="373" customWidth="1"/>
    <col min="6" max="6" width="51.5546875" style="427" customWidth="1"/>
    <col min="7" max="7" width="0.5546875" style="373" customWidth="1"/>
    <col min="8" max="8" width="13.33203125" style="373" customWidth="1"/>
    <col min="9" max="9" width="9.44140625" style="373" customWidth="1"/>
    <col min="10" max="10" width="0.5546875" style="373" customWidth="1"/>
    <col min="11" max="11" width="13.33203125" style="373" customWidth="1"/>
    <col min="12" max="12" width="9.44140625" style="373" customWidth="1"/>
    <col min="13" max="13" width="0.5546875" style="373" customWidth="1"/>
    <col min="14" max="16" width="9.44140625" style="373"/>
    <col min="17" max="18" width="9.5546875" style="373" bestFit="1" customWidth="1"/>
    <col min="19" max="19" width="7" style="373" bestFit="1" customWidth="1"/>
    <col min="20" max="20" width="8.5546875" style="373" bestFit="1" customWidth="1"/>
    <col min="21" max="21" width="12.5546875" style="373" customWidth="1"/>
    <col min="22" max="22" width="7.5546875" style="373" bestFit="1" customWidth="1"/>
    <col min="23" max="23" width="5.5546875" style="373" bestFit="1" customWidth="1"/>
    <col min="24" max="24" width="9.44140625" style="373" bestFit="1" customWidth="1"/>
    <col min="25" max="28" width="9.44140625" style="373"/>
    <col min="29" max="29" width="9.44140625" style="373" bestFit="1" customWidth="1"/>
    <col min="30" max="16384" width="9.441406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67" t="s">
        <v>1766</v>
      </c>
      <c r="I1" s="868"/>
      <c r="J1" s="372"/>
      <c r="K1" s="867" t="s">
        <v>1767</v>
      </c>
      <c r="L1" s="868"/>
      <c r="M1" s="372"/>
      <c r="O1" s="442" t="s">
        <v>1768</v>
      </c>
      <c r="P1" s="442" t="s">
        <v>1769</v>
      </c>
      <c r="Q1" s="615" t="s">
        <v>27</v>
      </c>
      <c r="R1" s="442" t="s">
        <v>1770</v>
      </c>
    </row>
    <row r="2" spans="1:33" s="416" customFormat="1" ht="17.399999999999999">
      <c r="A2" s="376"/>
      <c r="B2" s="418" t="s">
        <v>0</v>
      </c>
      <c r="C2" s="418"/>
      <c r="D2" s="418"/>
      <c r="E2" s="418"/>
      <c r="F2" s="423"/>
      <c r="G2" s="376"/>
      <c r="H2" s="419" t="s">
        <v>1</v>
      </c>
      <c r="I2" s="420" t="s">
        <v>6</v>
      </c>
      <c r="J2" s="376"/>
      <c r="K2" s="419" t="s">
        <v>1</v>
      </c>
      <c r="L2" s="420" t="s">
        <v>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374"/>
      <c r="H4" s="434">
        <f>SUM(H6+H370)</f>
        <v>115.63580211613163</v>
      </c>
      <c r="I4" s="434">
        <f>SUM(I6+I370)</f>
        <v>422</v>
      </c>
      <c r="J4" s="374"/>
      <c r="K4" s="467">
        <f>SUM(K6+K370)</f>
        <v>9.4373262808891081</v>
      </c>
      <c r="L4" s="434">
        <f>SUM(L6+L370)</f>
        <v>40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13</v>
      </c>
      <c r="C6" s="431"/>
      <c r="D6" s="430"/>
      <c r="E6" s="430"/>
      <c r="F6" s="432"/>
      <c r="G6" s="372"/>
      <c r="H6" s="436">
        <f>SUM(H8,H20,H67,H82,H102,H135,H144,H154,H176,H189,H205,H224,H227,H258,H280,H287,H300,H313,H324,H344,H354,H361,H367,H80)</f>
        <v>38.489200620530532</v>
      </c>
      <c r="I6" s="459">
        <f>SUM(I8,I20,I67,I82,I102,I135,I144,I154,I176,I189,I205,I224,I227,I258,I280,,I287,I300,I313,I324,I344,I354,I361,I367,I80)</f>
        <v>272</v>
      </c>
      <c r="J6" s="372"/>
      <c r="K6" s="436">
        <f>SUM(K8,K20,K67,K82,K102,K135,K144,K154,K176,K189,K205,K224,K227,K258,K280,K287,K300,K313,K324,K344,K354,K361,K367,K80)</f>
        <v>6.8334516782412074</v>
      </c>
      <c r="L6" s="459">
        <f>SUM(L8,L20,L67,L82,L102,L135,L144,L154,L176,L189,L205,L224,L227,L258,L280,,L287,L300,L313,L324,L344,L354,L361,L367,L80)</f>
        <v>32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380" t="s">
        <v>14</v>
      </c>
      <c r="C8" s="385" t="s">
        <v>15</v>
      </c>
      <c r="D8" s="385"/>
      <c r="E8" s="380"/>
      <c r="F8" s="424" t="s">
        <v>16</v>
      </c>
      <c r="G8" s="372"/>
      <c r="H8" s="410">
        <f>SUM(H9,H14,H18)</f>
        <v>0.43271940249580965</v>
      </c>
      <c r="I8" s="396">
        <f>SUM(I9,I14,I18)</f>
        <v>8</v>
      </c>
      <c r="J8" s="372"/>
      <c r="K8" s="410">
        <f>SUM(K9,K14,K18)</f>
        <v>0</v>
      </c>
      <c r="L8" s="396">
        <f>SUM(L9,L14,L18)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 collapsed="1">
      <c r="A9" s="372"/>
      <c r="B9" s="372" t="s">
        <v>14</v>
      </c>
      <c r="C9" s="372" t="s">
        <v>15</v>
      </c>
      <c r="D9" s="372" t="s">
        <v>17</v>
      </c>
      <c r="E9" s="376"/>
      <c r="F9" s="422" t="s">
        <v>16</v>
      </c>
      <c r="G9" s="372"/>
      <c r="H9" s="399">
        <f>SUM(H10:H13)</f>
        <v>0.39703158217785306</v>
      </c>
      <c r="I9" s="378">
        <f>SUM(I10:I13)</f>
        <v>4</v>
      </c>
      <c r="J9" s="372"/>
      <c r="K9" s="399">
        <f>SUM(K10:K13)</f>
        <v>0</v>
      </c>
      <c r="L9" s="378">
        <f>SUM(L10:L13)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14</v>
      </c>
      <c r="C10" s="372" t="s">
        <v>18</v>
      </c>
      <c r="D10" s="372" t="s">
        <v>17</v>
      </c>
      <c r="E10" s="376" t="s">
        <v>19</v>
      </c>
      <c r="F10" s="422" t="s">
        <v>20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t="26.4" hidden="1" outlineLevel="3">
      <c r="A11" s="372"/>
      <c r="B11" s="372" t="s">
        <v>14</v>
      </c>
      <c r="C11" s="372" t="s">
        <v>18</v>
      </c>
      <c r="D11" s="372" t="s">
        <v>17</v>
      </c>
      <c r="E11" s="376" t="s">
        <v>19</v>
      </c>
      <c r="F11" s="422" t="s">
        <v>21</v>
      </c>
      <c r="G11" s="372"/>
      <c r="H11" s="377">
        <v>4.5377035860000005E-2</v>
      </c>
      <c r="I11" s="378">
        <v>1</v>
      </c>
      <c r="J11" s="372"/>
      <c r="K11" s="399">
        <f t="shared" ref="K11:K13" si="0">IF(L11=1,H11,0)</f>
        <v>0</v>
      </c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idden="1" outlineLevel="3">
      <c r="A12" s="372"/>
      <c r="B12" s="372" t="s">
        <v>14</v>
      </c>
      <c r="C12" s="372" t="s">
        <v>22</v>
      </c>
      <c r="D12" s="372" t="s">
        <v>17</v>
      </c>
      <c r="E12" s="376" t="s">
        <v>19</v>
      </c>
      <c r="F12" s="422" t="s">
        <v>23</v>
      </c>
      <c r="G12" s="372"/>
      <c r="H12" s="399">
        <v>4.2238262499999998E-2</v>
      </c>
      <c r="I12" s="397">
        <v>1</v>
      </c>
      <c r="J12" s="372"/>
      <c r="K12" s="399">
        <f t="shared" si="0"/>
        <v>0</v>
      </c>
      <c r="L12" s="397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 t="s">
        <v>14</v>
      </c>
      <c r="C13" s="372" t="s">
        <v>22</v>
      </c>
      <c r="D13" s="372" t="s">
        <v>17</v>
      </c>
      <c r="E13" s="376" t="s">
        <v>19</v>
      </c>
      <c r="F13" s="422" t="s">
        <v>24</v>
      </c>
      <c r="G13" s="372"/>
      <c r="H13" s="377">
        <v>3.9416283817853004E-2</v>
      </c>
      <c r="I13" s="378">
        <v>1</v>
      </c>
      <c r="J13" s="372"/>
      <c r="K13" s="399">
        <f t="shared" si="0"/>
        <v>0</v>
      </c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2" collapsed="1">
      <c r="A14" s="372"/>
      <c r="B14" s="372" t="s">
        <v>14</v>
      </c>
      <c r="C14" s="372" t="s">
        <v>15</v>
      </c>
      <c r="D14" s="372" t="s">
        <v>25</v>
      </c>
      <c r="E14" s="372"/>
      <c r="F14" s="422" t="s">
        <v>16</v>
      </c>
      <c r="G14" s="372"/>
      <c r="H14" s="399">
        <f>SUM(H15:H17)</f>
        <v>2.1350947217956596E-2</v>
      </c>
      <c r="I14" s="378">
        <f>SUM(I15:I17)</f>
        <v>3</v>
      </c>
      <c r="J14" s="372"/>
      <c r="K14" s="399">
        <f>SUM(K15:K17)</f>
        <v>0</v>
      </c>
      <c r="L14" s="378">
        <f>SUM(L15:L17)</f>
        <v>0</v>
      </c>
      <c r="M14" s="372"/>
      <c r="N14" s="375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t="26.4" hidden="1" outlineLevel="3">
      <c r="A15" s="372"/>
      <c r="B15" s="372" t="s">
        <v>14</v>
      </c>
      <c r="C15" s="372" t="s">
        <v>18</v>
      </c>
      <c r="D15" s="372" t="s">
        <v>25</v>
      </c>
      <c r="E15" s="372" t="s">
        <v>26</v>
      </c>
      <c r="F15" s="422" t="s">
        <v>21</v>
      </c>
      <c r="G15" s="372"/>
      <c r="H15" s="399">
        <v>5.2867302539999998E-3</v>
      </c>
      <c r="I15" s="378">
        <v>1</v>
      </c>
      <c r="J15" s="372"/>
      <c r="K15" s="399">
        <f t="shared" ref="K15:K17" si="1">IF(L15=1,H15,0)</f>
        <v>0</v>
      </c>
      <c r="L15" s="378"/>
      <c r="M15" s="372"/>
      <c r="N15" s="375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 t="s">
        <v>14</v>
      </c>
      <c r="C16" s="372" t="s">
        <v>22</v>
      </c>
      <c r="D16" s="372" t="s">
        <v>25</v>
      </c>
      <c r="E16" s="372" t="s">
        <v>26</v>
      </c>
      <c r="F16" s="422" t="s">
        <v>23</v>
      </c>
      <c r="G16" s="372"/>
      <c r="H16" s="399">
        <v>1.0861267500000001E-2</v>
      </c>
      <c r="I16" s="397">
        <v>1</v>
      </c>
      <c r="J16" s="372"/>
      <c r="K16" s="399">
        <f t="shared" si="1"/>
        <v>0</v>
      </c>
      <c r="L16" s="397"/>
      <c r="M16" s="372"/>
      <c r="N16" s="375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 t="s">
        <v>14</v>
      </c>
      <c r="C17" s="372" t="s">
        <v>22</v>
      </c>
      <c r="D17" s="372" t="s">
        <v>25</v>
      </c>
      <c r="E17" s="372" t="s">
        <v>26</v>
      </c>
      <c r="F17" s="422" t="s">
        <v>24</v>
      </c>
      <c r="G17" s="372"/>
      <c r="H17" s="399">
        <v>5.2029494639565963E-3</v>
      </c>
      <c r="I17" s="378">
        <v>1</v>
      </c>
      <c r="J17" s="372"/>
      <c r="K17" s="399">
        <f t="shared" si="1"/>
        <v>0</v>
      </c>
      <c r="L17" s="378"/>
      <c r="M17" s="372"/>
    </row>
    <row r="18" spans="2:13" hidden="1" outlineLevel="2" collapsed="1">
      <c r="B18" s="372" t="s">
        <v>14</v>
      </c>
      <c r="C18" s="372" t="s">
        <v>15</v>
      </c>
      <c r="D18" s="372" t="s">
        <v>27</v>
      </c>
      <c r="E18" s="372"/>
      <c r="F18" s="422" t="s">
        <v>16</v>
      </c>
      <c r="G18" s="372"/>
      <c r="H18" s="399">
        <f>SUM(H19:H19)</f>
        <v>1.4336873100000001E-2</v>
      </c>
      <c r="I18" s="396">
        <f>SUM(I19:I19)</f>
        <v>1</v>
      </c>
      <c r="J18" s="372"/>
      <c r="K18" s="399">
        <f>SUM(K19:K19)</f>
        <v>0</v>
      </c>
      <c r="L18" s="396">
        <f>SUM(L19:L19)</f>
        <v>0</v>
      </c>
      <c r="M18" s="372"/>
    </row>
    <row r="19" spans="2:13" hidden="1" outlineLevel="3">
      <c r="B19" s="372" t="s">
        <v>14</v>
      </c>
      <c r="C19" s="372" t="s">
        <v>22</v>
      </c>
      <c r="D19" s="372" t="s">
        <v>27</v>
      </c>
      <c r="E19" s="372" t="s">
        <v>28</v>
      </c>
      <c r="F19" s="422" t="s">
        <v>23</v>
      </c>
      <c r="G19" s="372"/>
      <c r="H19" s="399">
        <v>1.4336873100000001E-2</v>
      </c>
      <c r="I19" s="378">
        <v>1</v>
      </c>
      <c r="J19" s="372"/>
      <c r="K19" s="399">
        <f>IF(L19=1,H19,0)</f>
        <v>0</v>
      </c>
      <c r="L19" s="378"/>
      <c r="M19" s="372"/>
    </row>
    <row r="20" spans="2:13" s="390" customFormat="1" outlineLevel="1" collapsed="1">
      <c r="B20" s="380" t="s">
        <v>14</v>
      </c>
      <c r="C20" s="385" t="s">
        <v>29</v>
      </c>
      <c r="D20" s="385"/>
      <c r="E20" s="380"/>
      <c r="F20" s="424" t="s">
        <v>16</v>
      </c>
      <c r="G20" s="385"/>
      <c r="H20" s="405">
        <f>SUM(H21,H37,H53,H61)</f>
        <v>2.5304736483581025</v>
      </c>
      <c r="I20" s="404">
        <f>SUM(I21,I37,I53,I61)</f>
        <v>42</v>
      </c>
      <c r="J20" s="385"/>
      <c r="K20" s="405">
        <f>SUM(K21,K37,K53,K61)</f>
        <v>0.8915713486970871</v>
      </c>
      <c r="L20" s="404">
        <f>SUM(L21,L37,L53,L61)</f>
        <v>12</v>
      </c>
      <c r="M20" s="385"/>
    </row>
    <row r="21" spans="2:13" hidden="1" outlineLevel="2" collapsed="1">
      <c r="B21" s="376" t="s">
        <v>14</v>
      </c>
      <c r="C21" s="372" t="s">
        <v>29</v>
      </c>
      <c r="D21" s="372" t="s">
        <v>17</v>
      </c>
      <c r="E21" s="376"/>
      <c r="F21" s="422" t="s">
        <v>16</v>
      </c>
      <c r="G21" s="397">
        <f t="shared" ref="G21:M21" si="2">SUM(G22:G36)</f>
        <v>0</v>
      </c>
      <c r="H21" s="399">
        <f t="shared" si="2"/>
        <v>1.8087697963035858</v>
      </c>
      <c r="I21" s="397">
        <f t="shared" si="2"/>
        <v>15</v>
      </c>
      <c r="J21" s="397">
        <f t="shared" si="2"/>
        <v>0</v>
      </c>
      <c r="K21" s="399">
        <f t="shared" si="2"/>
        <v>0.68495917174041221</v>
      </c>
      <c r="L21" s="397">
        <f t="shared" si="2"/>
        <v>3</v>
      </c>
      <c r="M21" s="397">
        <f t="shared" si="2"/>
        <v>0</v>
      </c>
    </row>
    <row r="22" spans="2:13" hidden="1" outlineLevel="3">
      <c r="B22" s="372" t="s">
        <v>14</v>
      </c>
      <c r="C22" s="372" t="s">
        <v>29</v>
      </c>
      <c r="D22" s="372" t="s">
        <v>17</v>
      </c>
      <c r="E22" s="387" t="s">
        <v>19</v>
      </c>
      <c r="F22" s="422" t="s">
        <v>30</v>
      </c>
      <c r="G22" s="372"/>
      <c r="H22" s="399">
        <v>0.27398366869616486</v>
      </c>
      <c r="I22" s="397">
        <v>1</v>
      </c>
      <c r="J22" s="372"/>
      <c r="K22" s="399">
        <f t="shared" ref="K22:K36" si="3">IF(L22=1,H22,0)</f>
        <v>0.27398366869616486</v>
      </c>
      <c r="L22" s="397">
        <v>1</v>
      </c>
      <c r="M22" s="372"/>
    </row>
    <row r="23" spans="2:13" hidden="1" outlineLevel="3">
      <c r="B23" s="372" t="s">
        <v>14</v>
      </c>
      <c r="C23" s="372" t="s">
        <v>29</v>
      </c>
      <c r="D23" s="372" t="s">
        <v>17</v>
      </c>
      <c r="E23" s="387" t="s">
        <v>19</v>
      </c>
      <c r="F23" s="422" t="s">
        <v>31</v>
      </c>
      <c r="G23" s="372"/>
      <c r="H23" s="399">
        <v>0.27398366869616486</v>
      </c>
      <c r="I23" s="397">
        <v>1</v>
      </c>
      <c r="J23" s="372"/>
      <c r="K23" s="399">
        <f t="shared" si="3"/>
        <v>0.27398366869616486</v>
      </c>
      <c r="L23" s="397">
        <v>1</v>
      </c>
      <c r="M23" s="372"/>
    </row>
    <row r="24" spans="2:13" hidden="1" outlineLevel="3">
      <c r="B24" s="372" t="s">
        <v>14</v>
      </c>
      <c r="C24" s="372" t="s">
        <v>29</v>
      </c>
      <c r="D24" s="372" t="s">
        <v>17</v>
      </c>
      <c r="E24" s="387" t="s">
        <v>19</v>
      </c>
      <c r="F24" s="422" t="s">
        <v>32</v>
      </c>
      <c r="G24" s="372"/>
      <c r="H24" s="399">
        <v>0.13699183434808243</v>
      </c>
      <c r="I24" s="397">
        <v>1</v>
      </c>
      <c r="J24" s="372"/>
      <c r="K24" s="399">
        <f t="shared" si="3"/>
        <v>0.13699183434808243</v>
      </c>
      <c r="L24" s="397">
        <v>1</v>
      </c>
      <c r="M24" s="372"/>
    </row>
    <row r="25" spans="2:13" hidden="1" outlineLevel="3">
      <c r="B25" s="372" t="s">
        <v>14</v>
      </c>
      <c r="C25" s="372" t="s">
        <v>29</v>
      </c>
      <c r="D25" s="372" t="s">
        <v>17</v>
      </c>
      <c r="E25" s="387" t="s">
        <v>19</v>
      </c>
      <c r="F25" s="422" t="s">
        <v>33</v>
      </c>
      <c r="G25" s="372"/>
      <c r="H25" s="399">
        <v>0.27398366869616486</v>
      </c>
      <c r="I25" s="397">
        <v>1</v>
      </c>
      <c r="J25" s="372"/>
      <c r="K25" s="399">
        <f t="shared" si="3"/>
        <v>0</v>
      </c>
      <c r="L25" s="397"/>
      <c r="M25" s="372"/>
    </row>
    <row r="26" spans="2:13" hidden="1" outlineLevel="3">
      <c r="B26" s="372" t="s">
        <v>14</v>
      </c>
      <c r="C26" s="372" t="s">
        <v>29</v>
      </c>
      <c r="D26" s="372" t="s">
        <v>17</v>
      </c>
      <c r="E26" s="387" t="s">
        <v>19</v>
      </c>
      <c r="F26" s="422" t="s">
        <v>34</v>
      </c>
      <c r="G26" s="372"/>
      <c r="H26" s="399">
        <v>0.36</v>
      </c>
      <c r="I26" s="397">
        <v>1</v>
      </c>
      <c r="J26" s="372"/>
      <c r="K26" s="399">
        <f t="shared" si="3"/>
        <v>0</v>
      </c>
      <c r="L26" s="397"/>
      <c r="M26" s="372"/>
    </row>
    <row r="27" spans="2:13" hidden="1" outlineLevel="3">
      <c r="B27" s="372" t="s">
        <v>14</v>
      </c>
      <c r="C27" s="372" t="s">
        <v>29</v>
      </c>
      <c r="D27" s="372" t="s">
        <v>17</v>
      </c>
      <c r="E27" s="387" t="s">
        <v>19</v>
      </c>
      <c r="F27" s="422" t="s">
        <v>35</v>
      </c>
      <c r="G27" s="372"/>
      <c r="H27" s="399">
        <v>4.3982695586700871E-2</v>
      </c>
      <c r="I27" s="397">
        <v>1</v>
      </c>
      <c r="J27" s="372"/>
      <c r="K27" s="399">
        <f t="shared" si="3"/>
        <v>0</v>
      </c>
      <c r="L27" s="397"/>
      <c r="M27" s="372"/>
    </row>
    <row r="28" spans="2:13" hidden="1" outlineLevel="3">
      <c r="B28" s="372" t="s">
        <v>14</v>
      </c>
      <c r="C28" s="372" t="s">
        <v>29</v>
      </c>
      <c r="D28" s="372" t="s">
        <v>17</v>
      </c>
      <c r="E28" s="387" t="s">
        <v>19</v>
      </c>
      <c r="F28" s="422" t="s">
        <v>36</v>
      </c>
      <c r="G28" s="372"/>
      <c r="H28" s="399">
        <v>4.3982695586700871E-2</v>
      </c>
      <c r="I28" s="397">
        <v>1</v>
      </c>
      <c r="J28" s="372"/>
      <c r="K28" s="399">
        <f t="shared" si="3"/>
        <v>0</v>
      </c>
      <c r="L28" s="397"/>
      <c r="M28" s="372"/>
    </row>
    <row r="29" spans="2:13" hidden="1" outlineLevel="3">
      <c r="B29" s="372" t="s">
        <v>14</v>
      </c>
      <c r="C29" s="372" t="s">
        <v>29</v>
      </c>
      <c r="D29" s="372" t="s">
        <v>17</v>
      </c>
      <c r="E29" s="387" t="s">
        <v>19</v>
      </c>
      <c r="F29" s="422" t="s">
        <v>37</v>
      </c>
      <c r="G29" s="372"/>
      <c r="H29" s="399">
        <v>6.5974043380051306E-2</v>
      </c>
      <c r="I29" s="397">
        <v>1</v>
      </c>
      <c r="J29" s="372"/>
      <c r="K29" s="399">
        <f t="shared" si="3"/>
        <v>0</v>
      </c>
      <c r="L29" s="397"/>
      <c r="M29" s="372"/>
    </row>
    <row r="30" spans="2:13" hidden="1" outlineLevel="3">
      <c r="B30" s="372" t="s">
        <v>14</v>
      </c>
      <c r="C30" s="372" t="s">
        <v>29</v>
      </c>
      <c r="D30" s="372" t="s">
        <v>17</v>
      </c>
      <c r="E30" s="387" t="s">
        <v>19</v>
      </c>
      <c r="F30" s="422" t="s">
        <v>38</v>
      </c>
      <c r="G30" s="372"/>
      <c r="H30" s="399">
        <v>6.5974043380051306E-2</v>
      </c>
      <c r="I30" s="397">
        <v>1</v>
      </c>
      <c r="J30" s="372"/>
      <c r="K30" s="399">
        <f t="shared" si="3"/>
        <v>0</v>
      </c>
      <c r="L30" s="397"/>
      <c r="M30" s="372"/>
    </row>
    <row r="31" spans="2:13" hidden="1" outlineLevel="3">
      <c r="B31" s="372" t="s">
        <v>14</v>
      </c>
      <c r="C31" s="372" t="s">
        <v>29</v>
      </c>
      <c r="D31" s="372" t="s">
        <v>17</v>
      </c>
      <c r="E31" s="387" t="s">
        <v>19</v>
      </c>
      <c r="F31" s="422" t="s">
        <v>39</v>
      </c>
      <c r="G31" s="372"/>
      <c r="H31" s="399">
        <v>6.5974043380051306E-2</v>
      </c>
      <c r="I31" s="397">
        <v>1</v>
      </c>
      <c r="J31" s="372"/>
      <c r="K31" s="399">
        <f t="shared" si="3"/>
        <v>0</v>
      </c>
      <c r="L31" s="397"/>
      <c r="M31" s="372"/>
    </row>
    <row r="32" spans="2:13" hidden="1" outlineLevel="3">
      <c r="B32" s="372" t="s">
        <v>14</v>
      </c>
      <c r="C32" s="372" t="s">
        <v>29</v>
      </c>
      <c r="D32" s="372" t="s">
        <v>17</v>
      </c>
      <c r="E32" s="387" t="s">
        <v>19</v>
      </c>
      <c r="F32" s="422" t="s">
        <v>40</v>
      </c>
      <c r="G32" s="372"/>
      <c r="H32" s="399">
        <v>6.5974043380051306E-2</v>
      </c>
      <c r="I32" s="397">
        <v>1</v>
      </c>
      <c r="J32" s="372"/>
      <c r="K32" s="399">
        <f t="shared" si="3"/>
        <v>0</v>
      </c>
      <c r="L32" s="397"/>
      <c r="M32" s="372"/>
    </row>
    <row r="33" spans="2:13" hidden="1" outlineLevel="3">
      <c r="B33" s="372" t="s">
        <v>14</v>
      </c>
      <c r="C33" s="372" t="s">
        <v>29</v>
      </c>
      <c r="D33" s="372" t="s">
        <v>17</v>
      </c>
      <c r="E33" s="387" t="s">
        <v>19</v>
      </c>
      <c r="F33" s="422" t="s">
        <v>41</v>
      </c>
      <c r="G33" s="372"/>
      <c r="H33" s="399">
        <v>1.466089852890029E-2</v>
      </c>
      <c r="I33" s="397">
        <v>1</v>
      </c>
      <c r="J33" s="372"/>
      <c r="K33" s="399">
        <f t="shared" si="3"/>
        <v>0</v>
      </c>
      <c r="L33" s="397"/>
      <c r="M33" s="372"/>
    </row>
    <row r="34" spans="2:13" hidden="1" outlineLevel="3">
      <c r="B34" s="372" t="s">
        <v>14</v>
      </c>
      <c r="C34" s="372" t="s">
        <v>29</v>
      </c>
      <c r="D34" s="372" t="s">
        <v>17</v>
      </c>
      <c r="E34" s="387" t="s">
        <v>19</v>
      </c>
      <c r="F34" s="422" t="s">
        <v>42</v>
      </c>
      <c r="G34" s="372"/>
      <c r="H34" s="399">
        <v>2.932179705780058E-2</v>
      </c>
      <c r="I34" s="397">
        <v>1</v>
      </c>
      <c r="J34" s="372"/>
      <c r="K34" s="399">
        <f t="shared" si="3"/>
        <v>0</v>
      </c>
      <c r="L34" s="397"/>
      <c r="M34" s="372"/>
    </row>
    <row r="35" spans="2:13" hidden="1" outlineLevel="3">
      <c r="B35" s="372" t="s">
        <v>14</v>
      </c>
      <c r="C35" s="372" t="s">
        <v>29</v>
      </c>
      <c r="D35" s="372" t="s">
        <v>17</v>
      </c>
      <c r="E35" s="387" t="s">
        <v>19</v>
      </c>
      <c r="F35" s="422" t="s">
        <v>43</v>
      </c>
      <c r="G35" s="372"/>
      <c r="H35" s="399">
        <v>4.3982695586700871E-2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14</v>
      </c>
      <c r="C36" s="372" t="s">
        <v>29</v>
      </c>
      <c r="D36" s="372" t="s">
        <v>17</v>
      </c>
      <c r="E36" s="387" t="s">
        <v>19</v>
      </c>
      <c r="F36" s="422" t="s">
        <v>44</v>
      </c>
      <c r="G36" s="372"/>
      <c r="H36" s="399">
        <v>0.05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2" collapsed="1">
      <c r="B37" s="372" t="s">
        <v>14</v>
      </c>
      <c r="C37" s="372" t="s">
        <v>29</v>
      </c>
      <c r="D37" s="372" t="s">
        <v>25</v>
      </c>
      <c r="E37" s="372"/>
      <c r="F37" s="422" t="s">
        <v>16</v>
      </c>
      <c r="G37" s="372"/>
      <c r="H37" s="399">
        <f>SUM(H38:H52)</f>
        <v>0.35597209492231208</v>
      </c>
      <c r="I37" s="378">
        <f>SUM(I38:I52)</f>
        <v>15</v>
      </c>
      <c r="J37" s="372"/>
      <c r="K37" s="399">
        <f>SUM(K38:K52)</f>
        <v>0.10442160389020139</v>
      </c>
      <c r="L37" s="378">
        <f>SUM(L38:L52)</f>
        <v>3</v>
      </c>
      <c r="M37" s="372"/>
    </row>
    <row r="38" spans="2:13" hidden="1" outlineLevel="3">
      <c r="B38" s="372" t="s">
        <v>14</v>
      </c>
      <c r="C38" s="372" t="s">
        <v>29</v>
      </c>
      <c r="D38" s="372" t="s">
        <v>25</v>
      </c>
      <c r="E38" s="372" t="s">
        <v>26</v>
      </c>
      <c r="F38" s="422" t="s">
        <v>31</v>
      </c>
      <c r="G38" s="372"/>
      <c r="H38" s="399">
        <v>9.3421603890201377E-2</v>
      </c>
      <c r="I38" s="378">
        <v>1</v>
      </c>
      <c r="J38" s="372"/>
      <c r="K38" s="399">
        <f t="shared" ref="K38:K52" si="4">IF(L38=1,H38,0)</f>
        <v>9.3421603890201377E-2</v>
      </c>
      <c r="L38" s="378">
        <v>1</v>
      </c>
      <c r="M38" s="372"/>
    </row>
    <row r="39" spans="2:13" hidden="1" outlineLevel="3">
      <c r="B39" s="372" t="s">
        <v>14</v>
      </c>
      <c r="C39" s="372" t="s">
        <v>29</v>
      </c>
      <c r="D39" s="372" t="s">
        <v>25</v>
      </c>
      <c r="E39" s="372" t="s">
        <v>26</v>
      </c>
      <c r="F39" s="422" t="s">
        <v>33</v>
      </c>
      <c r="G39" s="372"/>
      <c r="H39" s="399">
        <v>9.3421603890201377E-2</v>
      </c>
      <c r="I39" s="378">
        <v>1</v>
      </c>
      <c r="J39" s="372"/>
      <c r="K39" s="399">
        <f t="shared" si="4"/>
        <v>0</v>
      </c>
      <c r="L39" s="378"/>
      <c r="M39" s="372"/>
    </row>
    <row r="40" spans="2:13" hidden="1" outlineLevel="3">
      <c r="B40" s="372" t="s">
        <v>14</v>
      </c>
      <c r="C40" s="372" t="s">
        <v>29</v>
      </c>
      <c r="D40" s="372" t="s">
        <v>25</v>
      </c>
      <c r="E40" s="372" t="s">
        <v>26</v>
      </c>
      <c r="F40" s="422" t="s">
        <v>46</v>
      </c>
      <c r="G40" s="372"/>
      <c r="H40" s="399">
        <v>2.1106865436972901E-2</v>
      </c>
      <c r="I40" s="378">
        <v>1</v>
      </c>
      <c r="J40" s="372"/>
      <c r="K40" s="399">
        <f t="shared" si="4"/>
        <v>0</v>
      </c>
      <c r="L40" s="378"/>
      <c r="M40" s="372"/>
    </row>
    <row r="41" spans="2:13" hidden="1" outlineLevel="3">
      <c r="B41" s="372" t="s">
        <v>14</v>
      </c>
      <c r="C41" s="372" t="s">
        <v>29</v>
      </c>
      <c r="D41" s="372" t="s">
        <v>25</v>
      </c>
      <c r="E41" s="372" t="s">
        <v>26</v>
      </c>
      <c r="F41" s="422" t="s">
        <v>47</v>
      </c>
      <c r="G41" s="372"/>
      <c r="H41" s="399">
        <v>3.166029815545935E-2</v>
      </c>
      <c r="I41" s="378">
        <v>1</v>
      </c>
      <c r="J41" s="372"/>
      <c r="K41" s="399">
        <f t="shared" si="4"/>
        <v>0</v>
      </c>
      <c r="L41" s="378"/>
      <c r="M41" s="372"/>
    </row>
    <row r="42" spans="2:13" hidden="1" outlineLevel="3">
      <c r="B42" s="372" t="s">
        <v>14</v>
      </c>
      <c r="C42" s="372" t="s">
        <v>29</v>
      </c>
      <c r="D42" s="372" t="s">
        <v>25</v>
      </c>
      <c r="E42" s="372" t="s">
        <v>26</v>
      </c>
      <c r="F42" s="422" t="s">
        <v>38</v>
      </c>
      <c r="G42" s="372"/>
      <c r="H42" s="399">
        <v>5.2767163592432253E-3</v>
      </c>
      <c r="I42" s="378">
        <v>1</v>
      </c>
      <c r="J42" s="372"/>
      <c r="K42" s="399">
        <f t="shared" si="4"/>
        <v>0</v>
      </c>
      <c r="L42" s="378"/>
      <c r="M42" s="372"/>
    </row>
    <row r="43" spans="2:13" hidden="1" outlineLevel="3">
      <c r="B43" s="372" t="s">
        <v>14</v>
      </c>
      <c r="C43" s="372" t="s">
        <v>29</v>
      </c>
      <c r="D43" s="372" t="s">
        <v>25</v>
      </c>
      <c r="E43" s="372" t="s">
        <v>26</v>
      </c>
      <c r="F43" s="422" t="s">
        <v>48</v>
      </c>
      <c r="G43" s="372"/>
      <c r="H43" s="399">
        <v>2.1106865436972901E-2</v>
      </c>
      <c r="I43" s="378">
        <v>1</v>
      </c>
      <c r="J43" s="372"/>
      <c r="K43" s="399">
        <f t="shared" si="4"/>
        <v>0</v>
      </c>
      <c r="L43" s="378"/>
      <c r="M43" s="372"/>
    </row>
    <row r="44" spans="2:13" hidden="1" outlineLevel="3">
      <c r="B44" s="372" t="s">
        <v>14</v>
      </c>
      <c r="C44" s="372" t="s">
        <v>29</v>
      </c>
      <c r="D44" s="372" t="s">
        <v>25</v>
      </c>
      <c r="E44" s="372" t="s">
        <v>26</v>
      </c>
      <c r="F44" s="422" t="s">
        <v>49</v>
      </c>
      <c r="G44" s="372"/>
      <c r="H44" s="399">
        <v>3.166029815545935E-2</v>
      </c>
      <c r="I44" s="378">
        <v>1</v>
      </c>
      <c r="J44" s="372"/>
      <c r="K44" s="399">
        <f t="shared" si="4"/>
        <v>0</v>
      </c>
      <c r="L44" s="378"/>
      <c r="M44" s="372"/>
    </row>
    <row r="45" spans="2:13" hidden="1" outlineLevel="3">
      <c r="B45" s="372" t="s">
        <v>14</v>
      </c>
      <c r="C45" s="372" t="s">
        <v>29</v>
      </c>
      <c r="D45" s="372" t="s">
        <v>25</v>
      </c>
      <c r="E45" s="372" t="s">
        <v>26</v>
      </c>
      <c r="F45" s="422" t="s">
        <v>40</v>
      </c>
      <c r="G45" s="372"/>
      <c r="H45" s="399">
        <v>5.2767163592432253E-3</v>
      </c>
      <c r="I45" s="378">
        <v>1</v>
      </c>
      <c r="J45" s="372"/>
      <c r="K45" s="399">
        <f t="shared" si="4"/>
        <v>0</v>
      </c>
      <c r="L45" s="378"/>
      <c r="M45" s="372"/>
    </row>
    <row r="46" spans="2:13" hidden="1" outlineLevel="3">
      <c r="B46" s="372" t="s">
        <v>14</v>
      </c>
      <c r="C46" s="372" t="s">
        <v>29</v>
      </c>
      <c r="D46" s="372" t="s">
        <v>25</v>
      </c>
      <c r="E46" s="372" t="s">
        <v>26</v>
      </c>
      <c r="F46" s="422" t="s">
        <v>50</v>
      </c>
      <c r="G46" s="372"/>
      <c r="H46" s="399">
        <v>4.0000000000000001E-3</v>
      </c>
      <c r="I46" s="378">
        <v>1</v>
      </c>
      <c r="J46" s="372"/>
      <c r="K46" s="399">
        <f t="shared" si="4"/>
        <v>4.0000000000000001E-3</v>
      </c>
      <c r="L46" s="378">
        <v>1</v>
      </c>
      <c r="M46" s="372"/>
    </row>
    <row r="47" spans="2:13" hidden="1" outlineLevel="3">
      <c r="B47" s="372" t="s">
        <v>14</v>
      </c>
      <c r="C47" s="372" t="s">
        <v>29</v>
      </c>
      <c r="D47" s="372" t="s">
        <v>25</v>
      </c>
      <c r="E47" s="372" t="s">
        <v>26</v>
      </c>
      <c r="F47" s="422" t="s">
        <v>51</v>
      </c>
      <c r="G47" s="372"/>
      <c r="H47" s="399">
        <v>7.0000000000000001E-3</v>
      </c>
      <c r="I47" s="378">
        <v>1</v>
      </c>
      <c r="J47" s="372"/>
      <c r="K47" s="399">
        <f t="shared" si="4"/>
        <v>7.0000000000000001E-3</v>
      </c>
      <c r="L47" s="378">
        <v>1</v>
      </c>
      <c r="M47" s="372"/>
    </row>
    <row r="48" spans="2:13" hidden="1" outlineLevel="3">
      <c r="B48" s="372" t="s">
        <v>14</v>
      </c>
      <c r="C48" s="372" t="s">
        <v>29</v>
      </c>
      <c r="D48" s="372" t="s">
        <v>25</v>
      </c>
      <c r="E48" s="372" t="s">
        <v>26</v>
      </c>
      <c r="F48" s="422" t="s">
        <v>41</v>
      </c>
      <c r="G48" s="372"/>
      <c r="H48" s="399">
        <v>1E-3</v>
      </c>
      <c r="I48" s="378">
        <v>1</v>
      </c>
      <c r="J48" s="372"/>
      <c r="K48" s="399">
        <f t="shared" si="4"/>
        <v>0</v>
      </c>
      <c r="L48" s="378"/>
      <c r="M48" s="372"/>
    </row>
    <row r="49" spans="2:13" hidden="1" outlineLevel="3">
      <c r="B49" s="372" t="s">
        <v>14</v>
      </c>
      <c r="C49" s="372" t="s">
        <v>29</v>
      </c>
      <c r="D49" s="372" t="s">
        <v>25</v>
      </c>
      <c r="E49" s="372" t="s">
        <v>26</v>
      </c>
      <c r="F49" s="422" t="s">
        <v>42</v>
      </c>
      <c r="G49" s="372"/>
      <c r="H49" s="399">
        <v>2.3452072707747665E-3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14</v>
      </c>
      <c r="C50" s="372" t="s">
        <v>29</v>
      </c>
      <c r="D50" s="372" t="s">
        <v>25</v>
      </c>
      <c r="E50" s="372" t="s">
        <v>26</v>
      </c>
      <c r="F50" s="422" t="s">
        <v>52</v>
      </c>
      <c r="G50" s="372"/>
      <c r="H50" s="399">
        <v>1.4071243624648597E-2</v>
      </c>
      <c r="I50" s="397">
        <v>1</v>
      </c>
      <c r="J50" s="372"/>
      <c r="K50" s="399">
        <f t="shared" si="4"/>
        <v>0</v>
      </c>
      <c r="L50" s="397"/>
      <c r="M50" s="372"/>
    </row>
    <row r="51" spans="2:13" hidden="1" outlineLevel="3">
      <c r="B51" s="372" t="s">
        <v>14</v>
      </c>
      <c r="C51" s="372" t="s">
        <v>29</v>
      </c>
      <c r="D51" s="372" t="s">
        <v>25</v>
      </c>
      <c r="E51" s="372" t="s">
        <v>26</v>
      </c>
      <c r="F51" s="422" t="s">
        <v>53</v>
      </c>
      <c r="G51" s="372"/>
      <c r="H51" s="399">
        <v>2.1106865436972894E-2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14</v>
      </c>
      <c r="C52" s="372" t="s">
        <v>29</v>
      </c>
      <c r="D52" s="372" t="s">
        <v>25</v>
      </c>
      <c r="E52" s="372" t="s">
        <v>26</v>
      </c>
      <c r="F52" s="422" t="s">
        <v>43</v>
      </c>
      <c r="G52" s="372"/>
      <c r="H52" s="399">
        <v>3.5178109061621493E-3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2" collapsed="1">
      <c r="B53" s="372" t="s">
        <v>14</v>
      </c>
      <c r="C53" s="372" t="s">
        <v>29</v>
      </c>
      <c r="D53" s="372" t="s">
        <v>27</v>
      </c>
      <c r="E53" s="372"/>
      <c r="F53" s="422" t="s">
        <v>16</v>
      </c>
      <c r="G53" s="372"/>
      <c r="H53" s="399">
        <f>SUM(H54:H60)</f>
        <v>0.19360007160811712</v>
      </c>
      <c r="I53" s="378">
        <f>SUM(I54:I60)</f>
        <v>7</v>
      </c>
      <c r="J53" s="372"/>
      <c r="K53" s="399">
        <f>SUM(K54:K60)</f>
        <v>2.4327053111750849E-2</v>
      </c>
      <c r="L53" s="378">
        <f>SUM(L54:L60)</f>
        <v>3</v>
      </c>
      <c r="M53" s="372"/>
    </row>
    <row r="54" spans="2:13" hidden="1" outlineLevel="3">
      <c r="B54" s="372" t="s">
        <v>14</v>
      </c>
      <c r="C54" s="372" t="s">
        <v>29</v>
      </c>
      <c r="D54" s="372" t="s">
        <v>27</v>
      </c>
      <c r="E54" s="372" t="s">
        <v>28</v>
      </c>
      <c r="F54" s="422" t="s">
        <v>54</v>
      </c>
      <c r="G54" s="372"/>
      <c r="H54" s="399">
        <v>2.1499694035440806E-2</v>
      </c>
      <c r="I54" s="378">
        <v>1</v>
      </c>
      <c r="J54" s="372"/>
      <c r="K54" s="399">
        <f t="shared" ref="K54:K60" si="5">IF(L54=1,H54,0)</f>
        <v>2.1499694035440806E-2</v>
      </c>
      <c r="L54" s="378">
        <v>1</v>
      </c>
      <c r="M54" s="372"/>
    </row>
    <row r="55" spans="2:13" hidden="1" outlineLevel="3">
      <c r="B55" s="372" t="s">
        <v>14</v>
      </c>
      <c r="C55" s="372" t="s">
        <v>29</v>
      </c>
      <c r="D55" s="372" t="s">
        <v>27</v>
      </c>
      <c r="E55" s="372" t="s">
        <v>28</v>
      </c>
      <c r="F55" s="422" t="s">
        <v>55</v>
      </c>
      <c r="G55" s="372"/>
      <c r="H55" s="399">
        <v>2.1499694035440806E-2</v>
      </c>
      <c r="I55" s="378">
        <v>1</v>
      </c>
      <c r="J55" s="372"/>
      <c r="K55" s="399">
        <f t="shared" si="5"/>
        <v>0</v>
      </c>
      <c r="L55" s="378"/>
      <c r="M55" s="372"/>
    </row>
    <row r="56" spans="2:13" hidden="1" outlineLevel="3">
      <c r="B56" s="372" t="s">
        <v>14</v>
      </c>
      <c r="C56" s="372" t="s">
        <v>29</v>
      </c>
      <c r="D56" s="372" t="s">
        <v>27</v>
      </c>
      <c r="E56" s="372" t="s">
        <v>28</v>
      </c>
      <c r="F56" s="422" t="s">
        <v>56</v>
      </c>
      <c r="G56" s="372"/>
      <c r="H56" s="399">
        <v>9.4245302543668119E-4</v>
      </c>
      <c r="I56" s="378">
        <v>1</v>
      </c>
      <c r="J56" s="372"/>
      <c r="K56" s="399">
        <f t="shared" si="5"/>
        <v>9.4245302543668119E-4</v>
      </c>
      <c r="L56" s="378">
        <v>1</v>
      </c>
      <c r="M56" s="372"/>
    </row>
    <row r="57" spans="2:13" hidden="1" outlineLevel="3">
      <c r="B57" s="372" t="s">
        <v>14</v>
      </c>
      <c r="C57" s="372" t="s">
        <v>29</v>
      </c>
      <c r="D57" s="372" t="s">
        <v>27</v>
      </c>
      <c r="E57" s="372" t="s">
        <v>28</v>
      </c>
      <c r="F57" s="422" t="s">
        <v>57</v>
      </c>
      <c r="G57" s="372"/>
      <c r="H57" s="399">
        <v>1.8849060508733624E-3</v>
      </c>
      <c r="I57" s="378">
        <v>1</v>
      </c>
      <c r="J57" s="372"/>
      <c r="K57" s="399">
        <f t="shared" si="5"/>
        <v>1.8849060508733624E-3</v>
      </c>
      <c r="L57" s="378">
        <v>1</v>
      </c>
      <c r="M57" s="372"/>
    </row>
    <row r="58" spans="2:13" hidden="1" outlineLevel="3">
      <c r="B58" s="372" t="s">
        <v>14</v>
      </c>
      <c r="C58" s="372" t="s">
        <v>29</v>
      </c>
      <c r="D58" s="372" t="s">
        <v>27</v>
      </c>
      <c r="E58" s="372" t="s">
        <v>28</v>
      </c>
      <c r="F58" s="422" t="s">
        <v>36</v>
      </c>
      <c r="G58" s="372"/>
      <c r="H58" s="399">
        <v>2.8273590763100436E-3</v>
      </c>
      <c r="I58" s="378">
        <v>1</v>
      </c>
      <c r="J58" s="372"/>
      <c r="K58" s="399">
        <f t="shared" si="5"/>
        <v>0</v>
      </c>
      <c r="L58" s="378"/>
      <c r="M58" s="372"/>
    </row>
    <row r="59" spans="2:13" hidden="1" outlineLevel="3">
      <c r="B59" s="372" t="s">
        <v>14</v>
      </c>
      <c r="C59" s="372" t="s">
        <v>29</v>
      </c>
      <c r="D59" s="372" t="s">
        <v>27</v>
      </c>
      <c r="E59" s="372" t="s">
        <v>28</v>
      </c>
      <c r="F59" s="422" t="s">
        <v>34</v>
      </c>
      <c r="G59" s="372"/>
      <c r="H59" s="399">
        <v>0.10494596538461541</v>
      </c>
      <c r="I59" s="378">
        <v>1</v>
      </c>
      <c r="J59" s="372"/>
      <c r="K59" s="399">
        <f t="shared" si="5"/>
        <v>0</v>
      </c>
      <c r="L59" s="378"/>
      <c r="M59" s="372"/>
    </row>
    <row r="60" spans="2:13" hidden="1" outlineLevel="3">
      <c r="B60" s="372" t="s">
        <v>14</v>
      </c>
      <c r="C60" s="372" t="s">
        <v>29</v>
      </c>
      <c r="D60" s="372" t="s">
        <v>27</v>
      </c>
      <c r="E60" s="372" t="s">
        <v>28</v>
      </c>
      <c r="F60" s="422" t="s">
        <v>44</v>
      </c>
      <c r="G60" s="372"/>
      <c r="H60" s="399">
        <v>0.04</v>
      </c>
      <c r="I60" s="378">
        <v>1</v>
      </c>
      <c r="J60" s="372"/>
      <c r="K60" s="399">
        <f t="shared" si="5"/>
        <v>0</v>
      </c>
      <c r="L60" s="378"/>
      <c r="M60" s="372"/>
    </row>
    <row r="61" spans="2:13" hidden="1" outlineLevel="2" collapsed="1">
      <c r="B61" s="372" t="s">
        <v>14</v>
      </c>
      <c r="C61" s="372" t="s">
        <v>29</v>
      </c>
      <c r="D61" s="372" t="s">
        <v>58</v>
      </c>
      <c r="E61" s="372"/>
      <c r="F61" s="422" t="s">
        <v>16</v>
      </c>
      <c r="G61" s="372"/>
      <c r="H61" s="399">
        <f>SUM(H62:H66)</f>
        <v>0.17213168552408753</v>
      </c>
      <c r="I61" s="378">
        <f>SUM(I62:I66)</f>
        <v>5</v>
      </c>
      <c r="J61" s="372"/>
      <c r="K61" s="399">
        <f>SUM(K62:K66)</f>
        <v>7.7863519954722668E-2</v>
      </c>
      <c r="L61" s="378">
        <f>SUM(L62:L66)</f>
        <v>3</v>
      </c>
      <c r="M61" s="372"/>
    </row>
    <row r="62" spans="2:13" hidden="1" outlineLevel="3">
      <c r="B62" s="372" t="s">
        <v>14</v>
      </c>
      <c r="C62" s="372" t="s">
        <v>29</v>
      </c>
      <c r="D62" s="372" t="s">
        <v>58</v>
      </c>
      <c r="E62" s="372" t="s">
        <v>28</v>
      </c>
      <c r="F62" s="422" t="s">
        <v>31</v>
      </c>
      <c r="G62" s="372"/>
      <c r="H62" s="399">
        <v>4.7863519954722676E-2</v>
      </c>
      <c r="I62" s="378">
        <v>1</v>
      </c>
      <c r="J62" s="372"/>
      <c r="K62" s="399">
        <f t="shared" ref="K62:K66" si="6">IF(L62=1,H62,0)</f>
        <v>4.7863519954722676E-2</v>
      </c>
      <c r="L62" s="378">
        <v>1</v>
      </c>
      <c r="M62" s="372"/>
    </row>
    <row r="63" spans="2:13" hidden="1" outlineLevel="3">
      <c r="B63" s="372" t="s">
        <v>14</v>
      </c>
      <c r="C63" s="372" t="s">
        <v>29</v>
      </c>
      <c r="D63" s="372" t="s">
        <v>58</v>
      </c>
      <c r="E63" s="372" t="s">
        <v>28</v>
      </c>
      <c r="F63" s="422" t="s">
        <v>59</v>
      </c>
      <c r="G63" s="372"/>
      <c r="H63" s="399">
        <v>4.7863519954722676E-2</v>
      </c>
      <c r="I63" s="378">
        <v>1</v>
      </c>
      <c r="J63" s="372"/>
      <c r="K63" s="399">
        <f t="shared" si="6"/>
        <v>0</v>
      </c>
      <c r="L63" s="378"/>
      <c r="M63" s="372"/>
    </row>
    <row r="64" spans="2:13" hidden="1" outlineLevel="3">
      <c r="B64" s="372" t="s">
        <v>14</v>
      </c>
      <c r="C64" s="372" t="s">
        <v>29</v>
      </c>
      <c r="D64" s="372" t="s">
        <v>58</v>
      </c>
      <c r="E64" s="372" t="s">
        <v>28</v>
      </c>
      <c r="F64" s="422" t="s">
        <v>60</v>
      </c>
      <c r="G64" s="372"/>
      <c r="H64" s="399">
        <v>4.6404645614642186E-2</v>
      </c>
      <c r="I64" s="378">
        <v>1</v>
      </c>
      <c r="J64" s="372"/>
      <c r="K64" s="399">
        <f t="shared" si="6"/>
        <v>0</v>
      </c>
      <c r="L64" s="378"/>
      <c r="M64" s="372"/>
    </row>
    <row r="65" spans="2:13" hidden="1" outlineLevel="3">
      <c r="B65" s="372" t="s">
        <v>14</v>
      </c>
      <c r="C65" s="372" t="s">
        <v>29</v>
      </c>
      <c r="D65" s="372" t="s">
        <v>58</v>
      </c>
      <c r="E65" s="372" t="s">
        <v>28</v>
      </c>
      <c r="F65" s="422" t="s">
        <v>61</v>
      </c>
      <c r="G65" s="372"/>
      <c r="H65" s="399">
        <v>0.02</v>
      </c>
      <c r="I65" s="378">
        <v>1</v>
      </c>
      <c r="J65" s="372"/>
      <c r="K65" s="399">
        <f t="shared" si="6"/>
        <v>0.02</v>
      </c>
      <c r="L65" s="378">
        <v>1</v>
      </c>
      <c r="M65" s="372"/>
    </row>
    <row r="66" spans="2:13" hidden="1" outlineLevel="3">
      <c r="B66" s="372" t="s">
        <v>14</v>
      </c>
      <c r="C66" s="372" t="s">
        <v>29</v>
      </c>
      <c r="D66" s="372" t="s">
        <v>58</v>
      </c>
      <c r="E66" s="372" t="s">
        <v>28</v>
      </c>
      <c r="F66" s="422" t="s">
        <v>45</v>
      </c>
      <c r="G66" s="372"/>
      <c r="H66" s="399">
        <v>0.01</v>
      </c>
      <c r="I66" s="378">
        <v>1</v>
      </c>
      <c r="J66" s="372"/>
      <c r="K66" s="399">
        <f t="shared" si="6"/>
        <v>0.01</v>
      </c>
      <c r="L66" s="378">
        <v>1</v>
      </c>
      <c r="M66" s="372"/>
    </row>
    <row r="67" spans="2:13" s="415" customFormat="1" outlineLevel="1" collapsed="1">
      <c r="B67" s="386" t="s">
        <v>62</v>
      </c>
      <c r="C67" s="407" t="s">
        <v>63</v>
      </c>
      <c r="D67" s="386"/>
      <c r="E67" s="386"/>
      <c r="F67" s="426" t="s">
        <v>16</v>
      </c>
      <c r="G67" s="407"/>
      <c r="H67" s="412">
        <f>SUM(H68,H72,H77)</f>
        <v>0.94561875883591229</v>
      </c>
      <c r="I67" s="413">
        <f>SUM(I68,I72,I77)</f>
        <v>9</v>
      </c>
      <c r="J67" s="407"/>
      <c r="K67" s="412">
        <f>SUM(K68,K72,K77)</f>
        <v>0.12911355532138755</v>
      </c>
      <c r="L67" s="413">
        <f>SUM(L68,L72,L77)</f>
        <v>1</v>
      </c>
      <c r="M67" s="407"/>
    </row>
    <row r="68" spans="2:13" hidden="1" outlineLevel="2" collapsed="1">
      <c r="B68" s="372" t="s">
        <v>62</v>
      </c>
      <c r="C68" s="372" t="s">
        <v>63</v>
      </c>
      <c r="D68" s="372" t="s">
        <v>17</v>
      </c>
      <c r="E68" s="376"/>
      <c r="F68" s="425" t="s">
        <v>16</v>
      </c>
      <c r="G68" s="372"/>
      <c r="H68" s="377">
        <f>SUM(H69:H71)</f>
        <v>0.3642147722995997</v>
      </c>
      <c r="I68" s="378">
        <f>SUM(I69:I71)</f>
        <v>3</v>
      </c>
      <c r="J68" s="372"/>
      <c r="K68" s="377">
        <f>SUM(K69:K71)</f>
        <v>0</v>
      </c>
      <c r="L68" s="378">
        <f>SUM(L69:L71)</f>
        <v>0</v>
      </c>
      <c r="M68" s="372"/>
    </row>
    <row r="69" spans="2:13" hidden="1" outlineLevel="3">
      <c r="B69" s="372" t="s">
        <v>62</v>
      </c>
      <c r="C69" s="372" t="s">
        <v>63</v>
      </c>
      <c r="D69" s="372" t="s">
        <v>17</v>
      </c>
      <c r="E69" s="376" t="s">
        <v>64</v>
      </c>
      <c r="F69" s="422" t="s">
        <v>65</v>
      </c>
      <c r="G69" s="372"/>
      <c r="H69" s="377">
        <v>0.13658053961234987</v>
      </c>
      <c r="I69" s="378">
        <v>1</v>
      </c>
      <c r="J69" s="372"/>
      <c r="K69" s="399">
        <f t="shared" ref="K69:K71" si="7">IF(L69=1,H69,0)</f>
        <v>0</v>
      </c>
      <c r="L69" s="378"/>
      <c r="M69" s="372"/>
    </row>
    <row r="70" spans="2:13" hidden="1" outlineLevel="3">
      <c r="B70" s="372" t="s">
        <v>62</v>
      </c>
      <c r="C70" s="372" t="s">
        <v>63</v>
      </c>
      <c r="D70" s="372" t="s">
        <v>17</v>
      </c>
      <c r="E70" s="376" t="s">
        <v>64</v>
      </c>
      <c r="F70" s="425" t="s">
        <v>23</v>
      </c>
      <c r="G70" s="372"/>
      <c r="H70" s="377">
        <v>0.18210738614979985</v>
      </c>
      <c r="I70" s="378">
        <v>1</v>
      </c>
      <c r="J70" s="372"/>
      <c r="K70" s="399">
        <f t="shared" si="7"/>
        <v>0</v>
      </c>
      <c r="L70" s="378"/>
      <c r="M70" s="372"/>
    </row>
    <row r="71" spans="2:13" hidden="1" outlineLevel="3">
      <c r="B71" s="372" t="s">
        <v>62</v>
      </c>
      <c r="C71" s="372" t="s">
        <v>63</v>
      </c>
      <c r="D71" s="372" t="s">
        <v>17</v>
      </c>
      <c r="E71" s="376" t="s">
        <v>64</v>
      </c>
      <c r="F71" s="425" t="s">
        <v>66</v>
      </c>
      <c r="G71" s="372"/>
      <c r="H71" s="377">
        <v>4.5526846537449962E-2</v>
      </c>
      <c r="I71" s="378">
        <v>1</v>
      </c>
      <c r="J71" s="372"/>
      <c r="K71" s="399">
        <f t="shared" si="7"/>
        <v>0</v>
      </c>
      <c r="L71" s="378"/>
      <c r="M71" s="372"/>
    </row>
    <row r="72" spans="2:13" hidden="1" outlineLevel="2" collapsed="1">
      <c r="B72" s="372" t="s">
        <v>62</v>
      </c>
      <c r="C72" s="372" t="s">
        <v>63</v>
      </c>
      <c r="D72" s="372" t="s">
        <v>25</v>
      </c>
      <c r="E72" s="372"/>
      <c r="F72" s="422" t="s">
        <v>16</v>
      </c>
      <c r="G72" s="372"/>
      <c r="H72" s="399">
        <f>SUM(H73:H76)</f>
        <v>0.41389850293631264</v>
      </c>
      <c r="I72" s="378">
        <f>SUM(I73:I76)</f>
        <v>4</v>
      </c>
      <c r="J72" s="372"/>
      <c r="K72" s="399">
        <f>SUM(K73:K76)</f>
        <v>0.12911355532138755</v>
      </c>
      <c r="L72" s="378">
        <f>SUM(L73:L76)</f>
        <v>1</v>
      </c>
      <c r="M72" s="372"/>
    </row>
    <row r="73" spans="2:13" hidden="1" outlineLevel="3">
      <c r="B73" s="372" t="s">
        <v>62</v>
      </c>
      <c r="C73" s="372" t="s">
        <v>63</v>
      </c>
      <c r="D73" s="372" t="s">
        <v>25</v>
      </c>
      <c r="E73" s="372" t="s">
        <v>26</v>
      </c>
      <c r="F73" s="422" t="s">
        <v>67</v>
      </c>
      <c r="G73" s="372"/>
      <c r="H73" s="399">
        <v>0.12911355532138755</v>
      </c>
      <c r="I73" s="378">
        <v>1</v>
      </c>
      <c r="J73" s="372"/>
      <c r="K73" s="399">
        <f t="shared" ref="K73:K76" si="8">IF(L73=1,H73,0)</f>
        <v>0.12911355532138755</v>
      </c>
      <c r="L73" s="378">
        <v>1</v>
      </c>
      <c r="M73" s="372"/>
    </row>
    <row r="74" spans="2:13" hidden="1" outlineLevel="3">
      <c r="B74" s="372" t="s">
        <v>62</v>
      </c>
      <c r="C74" s="372" t="s">
        <v>63</v>
      </c>
      <c r="D74" s="372" t="s">
        <v>25</v>
      </c>
      <c r="E74" s="372" t="s">
        <v>26</v>
      </c>
      <c r="F74" s="422" t="s">
        <v>68</v>
      </c>
      <c r="G74" s="372"/>
      <c r="H74" s="399">
        <v>0.25822711064277509</v>
      </c>
      <c r="I74" s="378">
        <v>1</v>
      </c>
      <c r="J74" s="372"/>
      <c r="K74" s="399">
        <f t="shared" si="8"/>
        <v>0</v>
      </c>
      <c r="L74" s="378"/>
      <c r="M74" s="372"/>
    </row>
    <row r="75" spans="2:13" hidden="1" outlineLevel="3">
      <c r="B75" s="372" t="s">
        <v>62</v>
      </c>
      <c r="C75" s="372" t="s">
        <v>63</v>
      </c>
      <c r="D75" s="372" t="s">
        <v>25</v>
      </c>
      <c r="E75" s="372" t="s">
        <v>26</v>
      </c>
      <c r="F75" s="422" t="s">
        <v>65</v>
      </c>
      <c r="G75" s="372"/>
      <c r="H75" s="399">
        <v>1.4486092893899998E-2</v>
      </c>
      <c r="I75" s="378">
        <v>1</v>
      </c>
      <c r="J75" s="372"/>
      <c r="K75" s="399">
        <f t="shared" si="8"/>
        <v>0</v>
      </c>
      <c r="L75" s="378"/>
      <c r="M75" s="372"/>
    </row>
    <row r="76" spans="2:13" hidden="1" outlineLevel="3">
      <c r="B76" s="372" t="s">
        <v>62</v>
      </c>
      <c r="C76" s="372" t="s">
        <v>63</v>
      </c>
      <c r="D76" s="372" t="s">
        <v>25</v>
      </c>
      <c r="E76" s="372" t="s">
        <v>26</v>
      </c>
      <c r="F76" s="422" t="s">
        <v>23</v>
      </c>
      <c r="G76" s="372"/>
      <c r="H76" s="399">
        <v>1.2071744078249999E-2</v>
      </c>
      <c r="I76" s="378">
        <v>1</v>
      </c>
      <c r="J76" s="372"/>
      <c r="K76" s="399">
        <f t="shared" si="8"/>
        <v>0</v>
      </c>
      <c r="L76" s="378"/>
      <c r="M76" s="372"/>
    </row>
    <row r="77" spans="2:13" hidden="1" outlineLevel="2" collapsed="1">
      <c r="B77" s="372" t="s">
        <v>62</v>
      </c>
      <c r="C77" s="372" t="s">
        <v>63</v>
      </c>
      <c r="D77" s="372" t="s">
        <v>27</v>
      </c>
      <c r="E77" s="372"/>
      <c r="F77" s="425" t="s">
        <v>16</v>
      </c>
      <c r="G77" s="372"/>
      <c r="H77" s="399">
        <f>SUM(H78:H79)</f>
        <v>0.16750548359999998</v>
      </c>
      <c r="I77" s="378">
        <f>SUM(I78:I79)</f>
        <v>2</v>
      </c>
      <c r="J77" s="372"/>
      <c r="K77" s="399">
        <f>SUM(K78:K79)</f>
        <v>0</v>
      </c>
      <c r="L77" s="378">
        <f>SUM(L78:L79)</f>
        <v>0</v>
      </c>
      <c r="M77" s="372"/>
    </row>
    <row r="78" spans="2:13" hidden="1" outlineLevel="3">
      <c r="B78" s="372" t="s">
        <v>62</v>
      </c>
      <c r="C78" s="372" t="s">
        <v>63</v>
      </c>
      <c r="D78" s="372" t="s">
        <v>27</v>
      </c>
      <c r="E78" s="372" t="s">
        <v>28</v>
      </c>
      <c r="F78" s="425" t="s">
        <v>44</v>
      </c>
      <c r="G78" s="372"/>
      <c r="H78" s="399">
        <v>3.8655111599999993E-2</v>
      </c>
      <c r="I78" s="378">
        <v>1</v>
      </c>
      <c r="J78" s="372"/>
      <c r="K78" s="399">
        <f t="shared" ref="K78:K79" si="9">IF(L78=1,H78,0)</f>
        <v>0</v>
      </c>
      <c r="L78" s="378"/>
      <c r="M78" s="372"/>
    </row>
    <row r="79" spans="2:13" hidden="1" outlineLevel="3">
      <c r="B79" s="372" t="s">
        <v>62</v>
      </c>
      <c r="C79" s="372" t="s">
        <v>63</v>
      </c>
      <c r="D79" s="372" t="s">
        <v>27</v>
      </c>
      <c r="E79" s="372" t="s">
        <v>28</v>
      </c>
      <c r="F79" s="425" t="s">
        <v>23</v>
      </c>
      <c r="G79" s="372"/>
      <c r="H79" s="399">
        <v>0.12885037199999999</v>
      </c>
      <c r="I79" s="378">
        <v>1</v>
      </c>
      <c r="J79" s="372"/>
      <c r="K79" s="399">
        <f t="shared" si="9"/>
        <v>0</v>
      </c>
      <c r="L79" s="378"/>
      <c r="M79" s="372"/>
    </row>
    <row r="80" spans="2:13" s="415" customFormat="1" outlineLevel="1" collapsed="1">
      <c r="B80" s="386" t="s">
        <v>69</v>
      </c>
      <c r="C80" s="407" t="s">
        <v>70</v>
      </c>
      <c r="D80" s="386"/>
      <c r="E80" s="386"/>
      <c r="F80" s="426" t="s">
        <v>71</v>
      </c>
      <c r="G80" s="407"/>
      <c r="H80" s="463" t="s">
        <v>72</v>
      </c>
      <c r="I80" s="413">
        <f>SUM(I81)</f>
        <v>0</v>
      </c>
      <c r="J80" s="407"/>
      <c r="K80" s="463" t="s">
        <v>72</v>
      </c>
      <c r="L80" s="413">
        <f>SUM(L81)</f>
        <v>0</v>
      </c>
      <c r="M80" s="407"/>
    </row>
    <row r="81" spans="2:13" hidden="1" outlineLevel="2">
      <c r="B81" s="387" t="s">
        <v>69</v>
      </c>
      <c r="C81" s="387" t="s">
        <v>70</v>
      </c>
      <c r="D81" s="372"/>
      <c r="E81" s="372"/>
      <c r="F81" s="428" t="s">
        <v>73</v>
      </c>
      <c r="G81" s="372"/>
      <c r="H81" s="399" t="s">
        <v>72</v>
      </c>
      <c r="I81" s="378"/>
      <c r="J81" s="372"/>
      <c r="K81" s="399" t="s">
        <v>72</v>
      </c>
      <c r="L81" s="378"/>
      <c r="M81" s="372"/>
    </row>
    <row r="82" spans="2:13" s="415" customFormat="1" outlineLevel="1" collapsed="1">
      <c r="B82" s="386" t="s">
        <v>74</v>
      </c>
      <c r="C82" s="407" t="s">
        <v>75</v>
      </c>
      <c r="D82" s="386"/>
      <c r="E82" s="386"/>
      <c r="F82" s="426" t="s">
        <v>76</v>
      </c>
      <c r="G82" s="407"/>
      <c r="H82" s="412">
        <f>SUM(H83+H92+H96+H100)</f>
        <v>3.7669914999999996</v>
      </c>
      <c r="I82" s="409">
        <f>SUM(I83,I92,I96,I100)</f>
        <v>15</v>
      </c>
      <c r="J82" s="407"/>
      <c r="K82" s="412">
        <f>SUM(K83+K92+K96+K100)</f>
        <v>0</v>
      </c>
      <c r="L82" s="409">
        <f>SUM(L83,L92,L96,L100)</f>
        <v>0</v>
      </c>
      <c r="M82" s="407"/>
    </row>
    <row r="83" spans="2:13" hidden="1" outlineLevel="2" collapsed="1">
      <c r="B83" s="372" t="s">
        <v>74</v>
      </c>
      <c r="C83" s="372" t="s">
        <v>75</v>
      </c>
      <c r="D83" s="372" t="s">
        <v>17</v>
      </c>
      <c r="E83" s="376"/>
      <c r="F83" s="425" t="s">
        <v>77</v>
      </c>
      <c r="G83" s="372"/>
      <c r="H83" s="377">
        <f>SUM(H84:H91)</f>
        <v>3.3658999999999999</v>
      </c>
      <c r="I83" s="378">
        <f>SUM(I84:I91)</f>
        <v>8</v>
      </c>
      <c r="J83" s="372"/>
      <c r="K83" s="377">
        <f>SUM(K84:K91)</f>
        <v>0</v>
      </c>
      <c r="L83" s="378">
        <f>SUM(L84:L91)</f>
        <v>0</v>
      </c>
      <c r="M83" s="372"/>
    </row>
    <row r="84" spans="2:13" hidden="1" outlineLevel="3">
      <c r="B84" s="372" t="s">
        <v>74</v>
      </c>
      <c r="C84" s="372" t="s">
        <v>75</v>
      </c>
      <c r="D84" s="372" t="s">
        <v>17</v>
      </c>
      <c r="E84" s="376" t="s">
        <v>19</v>
      </c>
      <c r="F84" s="425" t="s">
        <v>78</v>
      </c>
      <c r="G84" s="372"/>
      <c r="H84" s="398">
        <v>0.17</v>
      </c>
      <c r="I84" s="378">
        <v>1</v>
      </c>
      <c r="J84" s="372"/>
      <c r="K84" s="399">
        <f t="shared" ref="K84:K91" si="10">IF(L84=1,H84,0)</f>
        <v>0</v>
      </c>
      <c r="L84" s="378"/>
      <c r="M84" s="372"/>
    </row>
    <row r="85" spans="2:13" hidden="1" outlineLevel="3">
      <c r="B85" s="372" t="s">
        <v>74</v>
      </c>
      <c r="C85" s="372" t="s">
        <v>75</v>
      </c>
      <c r="D85" s="372" t="s">
        <v>17</v>
      </c>
      <c r="E85" s="376" t="s">
        <v>19</v>
      </c>
      <c r="F85" s="425" t="s">
        <v>79</v>
      </c>
      <c r="G85" s="372"/>
      <c r="H85" s="398">
        <v>0.17</v>
      </c>
      <c r="I85" s="378">
        <v>1</v>
      </c>
      <c r="J85" s="372"/>
      <c r="K85" s="399">
        <f t="shared" si="10"/>
        <v>0</v>
      </c>
      <c r="L85" s="378"/>
      <c r="M85" s="372"/>
    </row>
    <row r="86" spans="2:13" hidden="1" outlineLevel="3">
      <c r="B86" s="372" t="s">
        <v>74</v>
      </c>
      <c r="C86" s="372" t="s">
        <v>75</v>
      </c>
      <c r="D86" s="372" t="s">
        <v>17</v>
      </c>
      <c r="E86" s="376" t="s">
        <v>19</v>
      </c>
      <c r="F86" s="425" t="s">
        <v>80</v>
      </c>
      <c r="G86" s="372"/>
      <c r="H86" s="398">
        <v>1.18</v>
      </c>
      <c r="I86" s="378">
        <v>1</v>
      </c>
      <c r="J86" s="372"/>
      <c r="K86" s="399">
        <f t="shared" si="10"/>
        <v>0</v>
      </c>
      <c r="L86" s="378"/>
      <c r="M86" s="372"/>
    </row>
    <row r="87" spans="2:13" hidden="1" outlineLevel="3">
      <c r="B87" s="372" t="s">
        <v>74</v>
      </c>
      <c r="C87" s="372" t="s">
        <v>75</v>
      </c>
      <c r="D87" s="372" t="s">
        <v>17</v>
      </c>
      <c r="E87" s="376" t="s">
        <v>19</v>
      </c>
      <c r="F87" s="425" t="s">
        <v>81</v>
      </c>
      <c r="G87" s="372"/>
      <c r="H87" s="398">
        <f>10659000/10^7</f>
        <v>1.0659000000000001</v>
      </c>
      <c r="I87" s="378">
        <v>1</v>
      </c>
      <c r="J87" s="372"/>
      <c r="K87" s="399">
        <f t="shared" si="10"/>
        <v>0</v>
      </c>
      <c r="L87" s="378"/>
      <c r="M87" s="372"/>
    </row>
    <row r="88" spans="2:13" hidden="1" outlineLevel="3">
      <c r="B88" s="372" t="s">
        <v>74</v>
      </c>
      <c r="C88" s="372" t="s">
        <v>75</v>
      </c>
      <c r="D88" s="372" t="s">
        <v>17</v>
      </c>
      <c r="E88" s="376" t="s">
        <v>19</v>
      </c>
      <c r="F88" s="425" t="s">
        <v>82</v>
      </c>
      <c r="G88" s="372"/>
      <c r="H88" s="398">
        <v>0.45</v>
      </c>
      <c r="I88" s="378">
        <v>1</v>
      </c>
      <c r="J88" s="372"/>
      <c r="K88" s="399">
        <f t="shared" si="10"/>
        <v>0</v>
      </c>
      <c r="L88" s="378"/>
      <c r="M88" s="372"/>
    </row>
    <row r="89" spans="2:13" hidden="1" outlineLevel="3">
      <c r="B89" s="372" t="s">
        <v>74</v>
      </c>
      <c r="C89" s="372" t="s">
        <v>75</v>
      </c>
      <c r="D89" s="372" t="s">
        <v>17</v>
      </c>
      <c r="E89" s="376" t="s">
        <v>19</v>
      </c>
      <c r="F89" s="425" t="s">
        <v>83</v>
      </c>
      <c r="G89" s="372"/>
      <c r="H89" s="398">
        <v>0.15</v>
      </c>
      <c r="I89" s="378">
        <v>1</v>
      </c>
      <c r="J89" s="372"/>
      <c r="K89" s="399">
        <f t="shared" si="10"/>
        <v>0</v>
      </c>
      <c r="L89" s="378"/>
      <c r="M89" s="372"/>
    </row>
    <row r="90" spans="2:13" hidden="1" outlineLevel="3">
      <c r="B90" s="372" t="s">
        <v>74</v>
      </c>
      <c r="C90" s="372" t="s">
        <v>75</v>
      </c>
      <c r="D90" s="372" t="s">
        <v>17</v>
      </c>
      <c r="E90" s="376" t="s">
        <v>19</v>
      </c>
      <c r="F90" s="425" t="s">
        <v>84</v>
      </c>
      <c r="G90" s="372"/>
      <c r="H90" s="398">
        <v>0.15</v>
      </c>
      <c r="I90" s="378">
        <v>1</v>
      </c>
      <c r="J90" s="372"/>
      <c r="K90" s="399">
        <f t="shared" si="10"/>
        <v>0</v>
      </c>
      <c r="L90" s="378"/>
      <c r="M90" s="372"/>
    </row>
    <row r="91" spans="2:13" hidden="1" outlineLevel="3">
      <c r="B91" s="372" t="s">
        <v>74</v>
      </c>
      <c r="C91" s="372" t="s">
        <v>75</v>
      </c>
      <c r="D91" s="372" t="s">
        <v>17</v>
      </c>
      <c r="E91" s="376" t="s">
        <v>19</v>
      </c>
      <c r="F91" s="425" t="s">
        <v>85</v>
      </c>
      <c r="G91" s="372"/>
      <c r="H91" s="398">
        <v>0.03</v>
      </c>
      <c r="I91" s="378">
        <v>1</v>
      </c>
      <c r="J91" s="372"/>
      <c r="K91" s="399">
        <f t="shared" si="10"/>
        <v>0</v>
      </c>
      <c r="L91" s="378"/>
      <c r="M91" s="372"/>
    </row>
    <row r="92" spans="2:13" hidden="1" outlineLevel="2" collapsed="1">
      <c r="B92" s="372" t="s">
        <v>74</v>
      </c>
      <c r="C92" s="372" t="s">
        <v>75</v>
      </c>
      <c r="D92" s="372" t="s">
        <v>25</v>
      </c>
      <c r="E92" s="372"/>
      <c r="F92" s="425" t="s">
        <v>77</v>
      </c>
      <c r="G92" s="372"/>
      <c r="H92" s="377">
        <f>SUM(H93:H95)</f>
        <v>0.36</v>
      </c>
      <c r="I92" s="378">
        <f>SUM(I93:I95)</f>
        <v>3</v>
      </c>
      <c r="J92" s="372"/>
      <c r="K92" s="377">
        <f>SUM(K93:K95)</f>
        <v>0</v>
      </c>
      <c r="L92" s="378">
        <f>SUM(L93:L95)</f>
        <v>0</v>
      </c>
      <c r="M92" s="372"/>
    </row>
    <row r="93" spans="2:13" hidden="1" outlineLevel="3">
      <c r="B93" s="372" t="s">
        <v>74</v>
      </c>
      <c r="C93" s="372" t="s">
        <v>75</v>
      </c>
      <c r="D93" s="372" t="s">
        <v>25</v>
      </c>
      <c r="E93" s="372" t="s">
        <v>26</v>
      </c>
      <c r="F93" s="425" t="s">
        <v>86</v>
      </c>
      <c r="G93" s="372"/>
      <c r="H93" s="398">
        <v>0.19</v>
      </c>
      <c r="I93" s="378">
        <v>1</v>
      </c>
      <c r="J93" s="372"/>
      <c r="K93" s="399">
        <f t="shared" ref="K93:K95" si="11">IF(L93=1,H93,0)</f>
        <v>0</v>
      </c>
      <c r="L93" s="378"/>
      <c r="M93" s="372"/>
    </row>
    <row r="94" spans="2:13" hidden="1" outlineLevel="3">
      <c r="B94" s="372" t="s">
        <v>74</v>
      </c>
      <c r="C94" s="372" t="s">
        <v>75</v>
      </c>
      <c r="D94" s="372" t="s">
        <v>25</v>
      </c>
      <c r="E94" s="372" t="s">
        <v>26</v>
      </c>
      <c r="F94" s="425" t="s">
        <v>87</v>
      </c>
      <c r="G94" s="372"/>
      <c r="H94" s="398">
        <v>0.16</v>
      </c>
      <c r="I94" s="378">
        <v>1</v>
      </c>
      <c r="J94" s="372"/>
      <c r="K94" s="399">
        <f t="shared" si="11"/>
        <v>0</v>
      </c>
      <c r="L94" s="378"/>
      <c r="M94" s="372"/>
    </row>
    <row r="95" spans="2:13" hidden="1" outlineLevel="3">
      <c r="B95" s="372" t="s">
        <v>74</v>
      </c>
      <c r="C95" s="372" t="s">
        <v>75</v>
      </c>
      <c r="D95" s="372" t="s">
        <v>25</v>
      </c>
      <c r="E95" s="372" t="s">
        <v>26</v>
      </c>
      <c r="F95" s="425" t="s">
        <v>88</v>
      </c>
      <c r="G95" s="372"/>
      <c r="H95" s="398">
        <v>0.01</v>
      </c>
      <c r="I95" s="378">
        <v>1</v>
      </c>
      <c r="J95" s="372"/>
      <c r="K95" s="399">
        <f t="shared" si="11"/>
        <v>0</v>
      </c>
      <c r="L95" s="378"/>
      <c r="M95" s="372"/>
    </row>
    <row r="96" spans="2:13" hidden="1" outlineLevel="2" collapsed="1">
      <c r="B96" s="372" t="s">
        <v>74</v>
      </c>
      <c r="C96" s="372" t="s">
        <v>75</v>
      </c>
      <c r="D96" s="372" t="s">
        <v>27</v>
      </c>
      <c r="E96" s="372"/>
      <c r="F96" s="425" t="s">
        <v>77</v>
      </c>
      <c r="G96" s="372"/>
      <c r="H96" s="377">
        <f>SUM(H99:H99)</f>
        <v>1.0915E-3</v>
      </c>
      <c r="I96" s="378">
        <f>SUM(I97:I99)</f>
        <v>3</v>
      </c>
      <c r="J96" s="372"/>
      <c r="K96" s="377">
        <f>SUM(K99:K99)</f>
        <v>0</v>
      </c>
      <c r="L96" s="378">
        <f>SUM(L97:L99)</f>
        <v>0</v>
      </c>
      <c r="M96" s="372"/>
    </row>
    <row r="97" spans="2:13" hidden="1" outlineLevel="3">
      <c r="B97" s="372" t="s">
        <v>74</v>
      </c>
      <c r="C97" s="372" t="s">
        <v>75</v>
      </c>
      <c r="D97" s="372" t="s">
        <v>27</v>
      </c>
      <c r="E97" s="372" t="s">
        <v>28</v>
      </c>
      <c r="F97" s="425" t="s">
        <v>87</v>
      </c>
      <c r="G97" s="372"/>
      <c r="H97" s="414">
        <v>0.36</v>
      </c>
      <c r="I97" s="397">
        <v>1</v>
      </c>
      <c r="J97" s="372"/>
      <c r="K97" s="399">
        <f t="shared" ref="K97:K99" si="12">IF(L97=1,H97,0)</f>
        <v>0</v>
      </c>
      <c r="L97" s="397"/>
      <c r="M97" s="372"/>
    </row>
    <row r="98" spans="2:13" hidden="1" outlineLevel="3" collapsed="1">
      <c r="B98" s="372" t="s">
        <v>74</v>
      </c>
      <c r="C98" s="372" t="s">
        <v>75</v>
      </c>
      <c r="D98" s="372" t="s">
        <v>27</v>
      </c>
      <c r="E98" s="372" t="s">
        <v>28</v>
      </c>
      <c r="F98" s="425" t="s">
        <v>89</v>
      </c>
      <c r="G98" s="372"/>
      <c r="H98" s="414">
        <v>2.183E-3</v>
      </c>
      <c r="I98" s="397">
        <v>1</v>
      </c>
      <c r="J98" s="372"/>
      <c r="K98" s="399">
        <f t="shared" si="12"/>
        <v>0</v>
      </c>
      <c r="L98" s="397"/>
      <c r="M98" s="372"/>
    </row>
    <row r="99" spans="2:13" hidden="1" outlineLevel="3">
      <c r="B99" s="372" t="s">
        <v>74</v>
      </c>
      <c r="C99" s="372" t="s">
        <v>75</v>
      </c>
      <c r="D99" s="372" t="s">
        <v>27</v>
      </c>
      <c r="E99" s="372" t="s">
        <v>28</v>
      </c>
      <c r="F99" s="425" t="s">
        <v>88</v>
      </c>
      <c r="G99" s="372"/>
      <c r="H99" s="398">
        <v>1.0915E-3</v>
      </c>
      <c r="I99" s="378">
        <v>1</v>
      </c>
      <c r="J99" s="372"/>
      <c r="K99" s="399">
        <f t="shared" si="12"/>
        <v>0</v>
      </c>
      <c r="L99" s="378"/>
      <c r="M99" s="372"/>
    </row>
    <row r="100" spans="2:13" hidden="1" outlineLevel="2" collapsed="1">
      <c r="B100" s="372" t="s">
        <v>74</v>
      </c>
      <c r="C100" s="372" t="s">
        <v>75</v>
      </c>
      <c r="D100" s="372" t="s">
        <v>58</v>
      </c>
      <c r="E100" s="372"/>
      <c r="F100" s="425" t="s">
        <v>77</v>
      </c>
      <c r="G100" s="372"/>
      <c r="H100" s="377">
        <f>SUM(H101)</f>
        <v>0.04</v>
      </c>
      <c r="I100" s="378">
        <f>SUM(I101)</f>
        <v>1</v>
      </c>
      <c r="J100" s="372"/>
      <c r="K100" s="377">
        <f>SUM(K101)</f>
        <v>0</v>
      </c>
      <c r="L100" s="378">
        <f>SUM(L101)</f>
        <v>0</v>
      </c>
      <c r="M100" s="372"/>
    </row>
    <row r="101" spans="2:13" ht="26.4" hidden="1" outlineLevel="3">
      <c r="B101" s="372" t="s">
        <v>74</v>
      </c>
      <c r="C101" s="372" t="s">
        <v>75</v>
      </c>
      <c r="D101" s="372" t="s">
        <v>58</v>
      </c>
      <c r="E101" s="372" t="s">
        <v>28</v>
      </c>
      <c r="F101" s="425" t="s">
        <v>90</v>
      </c>
      <c r="G101" s="372"/>
      <c r="H101" s="398">
        <v>0.04</v>
      </c>
      <c r="I101" s="378">
        <v>1</v>
      </c>
      <c r="J101" s="372"/>
      <c r="K101" s="399">
        <f>IF(L101=1,H101,0)</f>
        <v>0</v>
      </c>
      <c r="L101" s="378"/>
      <c r="M101" s="372"/>
    </row>
    <row r="102" spans="2:13" s="390" customFormat="1" outlineLevel="1" collapsed="1">
      <c r="B102" s="386" t="s">
        <v>91</v>
      </c>
      <c r="C102" s="407" t="s">
        <v>92</v>
      </c>
      <c r="D102" s="386"/>
      <c r="E102" s="386"/>
      <c r="F102" s="426" t="s">
        <v>76</v>
      </c>
      <c r="G102" s="385"/>
      <c r="H102" s="408">
        <f>SUM(H103+H122+H130+H134)</f>
        <v>8.9238499999999998</v>
      </c>
      <c r="I102" s="409">
        <f>SUM(I103,I122,I130,I134)</f>
        <v>28</v>
      </c>
      <c r="J102" s="385"/>
      <c r="K102" s="408">
        <f>SUM(K103+K122+K130+K134)</f>
        <v>0</v>
      </c>
      <c r="L102" s="409">
        <f>SUM(L103,L122,L130,L134)</f>
        <v>0</v>
      </c>
      <c r="M102" s="385"/>
    </row>
    <row r="103" spans="2:13" ht="26.4" hidden="1" outlineLevel="2" collapsed="1">
      <c r="B103" s="372" t="s">
        <v>91</v>
      </c>
      <c r="C103" s="372" t="s">
        <v>92</v>
      </c>
      <c r="D103" s="372" t="s">
        <v>17</v>
      </c>
      <c r="E103" s="387"/>
      <c r="F103" s="422" t="s">
        <v>93</v>
      </c>
      <c r="G103" s="372"/>
      <c r="H103" s="377">
        <f>SUM(H104:H121)</f>
        <v>7.0838499999999991</v>
      </c>
      <c r="I103" s="378">
        <f>SUM(I104:I121)</f>
        <v>18</v>
      </c>
      <c r="J103" s="372"/>
      <c r="K103" s="377">
        <f>SUM(K104:K121)</f>
        <v>0</v>
      </c>
      <c r="L103" s="378">
        <f>SUM(L104:L121)</f>
        <v>0</v>
      </c>
      <c r="M103" s="372"/>
    </row>
    <row r="104" spans="2:13" hidden="1" outlineLevel="3">
      <c r="B104" s="372" t="s">
        <v>91</v>
      </c>
      <c r="C104" s="372" t="s">
        <v>92</v>
      </c>
      <c r="D104" s="372" t="s">
        <v>17</v>
      </c>
      <c r="E104" s="387" t="s">
        <v>19</v>
      </c>
      <c r="F104" s="425" t="s">
        <v>94</v>
      </c>
      <c r="G104" s="372"/>
      <c r="H104" s="377">
        <v>0.2</v>
      </c>
      <c r="I104" s="378">
        <v>1</v>
      </c>
      <c r="J104" s="372"/>
      <c r="K104" s="399">
        <f t="shared" ref="K104:K121" si="13">IF(L104=1,H104,0)</f>
        <v>0</v>
      </c>
      <c r="L104" s="378"/>
      <c r="M104" s="372"/>
    </row>
    <row r="105" spans="2:13" hidden="1" outlineLevel="3">
      <c r="B105" s="372" t="s">
        <v>91</v>
      </c>
      <c r="C105" s="372" t="s">
        <v>92</v>
      </c>
      <c r="D105" s="372" t="s">
        <v>17</v>
      </c>
      <c r="E105" s="387" t="s">
        <v>19</v>
      </c>
      <c r="F105" s="425" t="s">
        <v>95</v>
      </c>
      <c r="G105" s="372"/>
      <c r="H105" s="377">
        <v>0.41</v>
      </c>
      <c r="I105" s="378">
        <v>1</v>
      </c>
      <c r="J105" s="372"/>
      <c r="K105" s="399">
        <f t="shared" si="13"/>
        <v>0</v>
      </c>
      <c r="L105" s="378"/>
      <c r="M105" s="372"/>
    </row>
    <row r="106" spans="2:13" hidden="1" outlineLevel="3">
      <c r="B106" s="372" t="s">
        <v>91</v>
      </c>
      <c r="C106" s="372" t="s">
        <v>92</v>
      </c>
      <c r="D106" s="372" t="s">
        <v>17</v>
      </c>
      <c r="E106" s="387" t="s">
        <v>19</v>
      </c>
      <c r="F106" s="425" t="s">
        <v>96</v>
      </c>
      <c r="G106" s="372"/>
      <c r="H106" s="377">
        <v>0.61</v>
      </c>
      <c r="I106" s="378">
        <v>1</v>
      </c>
      <c r="J106" s="372"/>
      <c r="K106" s="399">
        <f t="shared" si="13"/>
        <v>0</v>
      </c>
      <c r="L106" s="378"/>
      <c r="M106" s="372"/>
    </row>
    <row r="107" spans="2:13" hidden="1" outlineLevel="3">
      <c r="B107" s="372" t="s">
        <v>91</v>
      </c>
      <c r="C107" s="372" t="s">
        <v>92</v>
      </c>
      <c r="D107" s="372" t="s">
        <v>17</v>
      </c>
      <c r="E107" s="387" t="s">
        <v>19</v>
      </c>
      <c r="F107" s="425" t="s">
        <v>97</v>
      </c>
      <c r="G107" s="372"/>
      <c r="H107" s="377">
        <v>0.82</v>
      </c>
      <c r="I107" s="378">
        <v>1</v>
      </c>
      <c r="J107" s="372"/>
      <c r="K107" s="399">
        <f t="shared" si="13"/>
        <v>0</v>
      </c>
      <c r="L107" s="378"/>
      <c r="M107" s="372"/>
    </row>
    <row r="108" spans="2:13" hidden="1" outlineLevel="3">
      <c r="B108" s="372" t="s">
        <v>91</v>
      </c>
      <c r="C108" s="372" t="s">
        <v>92</v>
      </c>
      <c r="D108" s="372" t="s">
        <v>17</v>
      </c>
      <c r="E108" s="387" t="s">
        <v>19</v>
      </c>
      <c r="F108" s="425" t="s">
        <v>98</v>
      </c>
      <c r="G108" s="372"/>
      <c r="H108" s="377">
        <v>0.48</v>
      </c>
      <c r="I108" s="378">
        <v>1</v>
      </c>
      <c r="J108" s="372"/>
      <c r="K108" s="399">
        <f t="shared" si="13"/>
        <v>0</v>
      </c>
      <c r="L108" s="378"/>
      <c r="M108" s="372"/>
    </row>
    <row r="109" spans="2:13" ht="26.4" hidden="1" outlineLevel="3">
      <c r="B109" s="372" t="s">
        <v>91</v>
      </c>
      <c r="C109" s="372" t="s">
        <v>92</v>
      </c>
      <c r="D109" s="372" t="s">
        <v>17</v>
      </c>
      <c r="E109" s="387" t="s">
        <v>19</v>
      </c>
      <c r="F109" s="425" t="s">
        <v>99</v>
      </c>
      <c r="G109" s="372"/>
      <c r="H109" s="377">
        <v>0.9638500000000001</v>
      </c>
      <c r="I109" s="378">
        <v>1</v>
      </c>
      <c r="J109" s="372"/>
      <c r="K109" s="399">
        <f t="shared" si="13"/>
        <v>0</v>
      </c>
      <c r="L109" s="378"/>
      <c r="M109" s="372"/>
    </row>
    <row r="110" spans="2:13" hidden="1" outlineLevel="3">
      <c r="B110" s="372" t="s">
        <v>91</v>
      </c>
      <c r="C110" s="372" t="s">
        <v>92</v>
      </c>
      <c r="D110" s="372" t="s">
        <v>17</v>
      </c>
      <c r="E110" s="387" t="s">
        <v>19</v>
      </c>
      <c r="F110" s="425" t="s">
        <v>100</v>
      </c>
      <c r="G110" s="372"/>
      <c r="H110" s="377">
        <v>0.52</v>
      </c>
      <c r="I110" s="378">
        <v>1</v>
      </c>
      <c r="J110" s="372"/>
      <c r="K110" s="399">
        <f t="shared" si="13"/>
        <v>0</v>
      </c>
      <c r="L110" s="378"/>
      <c r="M110" s="372"/>
    </row>
    <row r="111" spans="2:13" hidden="1" outlineLevel="3">
      <c r="B111" s="372" t="s">
        <v>91</v>
      </c>
      <c r="C111" s="372" t="s">
        <v>92</v>
      </c>
      <c r="D111" s="372" t="s">
        <v>17</v>
      </c>
      <c r="E111" s="387" t="s">
        <v>19</v>
      </c>
      <c r="F111" s="425" t="s">
        <v>101</v>
      </c>
      <c r="G111" s="372"/>
      <c r="H111" s="377">
        <v>0.52</v>
      </c>
      <c r="I111" s="378">
        <v>1</v>
      </c>
      <c r="J111" s="372"/>
      <c r="K111" s="399">
        <f t="shared" si="13"/>
        <v>0</v>
      </c>
      <c r="L111" s="378"/>
      <c r="M111" s="372"/>
    </row>
    <row r="112" spans="2:13" hidden="1" outlineLevel="3">
      <c r="B112" s="372" t="s">
        <v>91</v>
      </c>
      <c r="C112" s="372" t="s">
        <v>92</v>
      </c>
      <c r="D112" s="372" t="s">
        <v>17</v>
      </c>
      <c r="E112" s="387" t="s">
        <v>19</v>
      </c>
      <c r="F112" s="425" t="s">
        <v>102</v>
      </c>
      <c r="G112" s="372"/>
      <c r="H112" s="377">
        <v>0.52</v>
      </c>
      <c r="I112" s="378">
        <v>1</v>
      </c>
      <c r="J112" s="372"/>
      <c r="K112" s="399">
        <f t="shared" si="13"/>
        <v>0</v>
      </c>
      <c r="L112" s="378"/>
      <c r="M112" s="372"/>
    </row>
    <row r="113" spans="2:13" hidden="1" outlineLevel="3">
      <c r="B113" s="372" t="s">
        <v>91</v>
      </c>
      <c r="C113" s="372" t="s">
        <v>92</v>
      </c>
      <c r="D113" s="372" t="s">
        <v>17</v>
      </c>
      <c r="E113" s="387" t="s">
        <v>19</v>
      </c>
      <c r="F113" s="425" t="s">
        <v>61</v>
      </c>
      <c r="G113" s="372"/>
      <c r="H113" s="377">
        <v>0.17</v>
      </c>
      <c r="I113" s="378">
        <v>1</v>
      </c>
      <c r="J113" s="372"/>
      <c r="K113" s="399">
        <f t="shared" si="13"/>
        <v>0</v>
      </c>
      <c r="L113" s="378"/>
      <c r="M113" s="372"/>
    </row>
    <row r="114" spans="2:13" hidden="1" outlineLevel="3">
      <c r="B114" s="372" t="s">
        <v>91</v>
      </c>
      <c r="C114" s="372" t="s">
        <v>92</v>
      </c>
      <c r="D114" s="372" t="s">
        <v>17</v>
      </c>
      <c r="E114" s="387" t="s">
        <v>19</v>
      </c>
      <c r="F114" s="425" t="s">
        <v>103</v>
      </c>
      <c r="G114" s="372"/>
      <c r="H114" s="377">
        <v>0.48</v>
      </c>
      <c r="I114" s="378">
        <v>1</v>
      </c>
      <c r="J114" s="372"/>
      <c r="K114" s="399">
        <f t="shared" si="13"/>
        <v>0</v>
      </c>
      <c r="L114" s="378"/>
      <c r="M114" s="372"/>
    </row>
    <row r="115" spans="2:13" hidden="1" outlineLevel="3">
      <c r="B115" s="372" t="s">
        <v>91</v>
      </c>
      <c r="C115" s="372" t="s">
        <v>92</v>
      </c>
      <c r="D115" s="372" t="s">
        <v>17</v>
      </c>
      <c r="E115" s="387" t="s">
        <v>19</v>
      </c>
      <c r="F115" s="425" t="s">
        <v>104</v>
      </c>
      <c r="G115" s="372"/>
      <c r="H115" s="377">
        <v>0.24</v>
      </c>
      <c r="I115" s="378">
        <v>1</v>
      </c>
      <c r="J115" s="372"/>
      <c r="K115" s="399">
        <f t="shared" si="13"/>
        <v>0</v>
      </c>
      <c r="L115" s="378"/>
      <c r="M115" s="372"/>
    </row>
    <row r="116" spans="2:13" ht="26.4" hidden="1" outlineLevel="3">
      <c r="B116" s="372" t="s">
        <v>91</v>
      </c>
      <c r="C116" s="372" t="s">
        <v>92</v>
      </c>
      <c r="D116" s="372" t="s">
        <v>17</v>
      </c>
      <c r="E116" s="387" t="s">
        <v>19</v>
      </c>
      <c r="F116" s="425" t="s">
        <v>105</v>
      </c>
      <c r="G116" s="372"/>
      <c r="H116" s="377">
        <v>0.96</v>
      </c>
      <c r="I116" s="378">
        <v>1</v>
      </c>
      <c r="J116" s="372"/>
      <c r="K116" s="399">
        <f t="shared" si="13"/>
        <v>0</v>
      </c>
      <c r="L116" s="378"/>
      <c r="M116" s="372"/>
    </row>
    <row r="117" spans="2:13" hidden="1" outlineLevel="3">
      <c r="B117" s="372" t="s">
        <v>91</v>
      </c>
      <c r="C117" s="372" t="s">
        <v>92</v>
      </c>
      <c r="D117" s="372" t="s">
        <v>17</v>
      </c>
      <c r="E117" s="387" t="s">
        <v>19</v>
      </c>
      <c r="F117" s="425" t="s">
        <v>58</v>
      </c>
      <c r="G117" s="372"/>
      <c r="H117" s="377">
        <v>0.03</v>
      </c>
      <c r="I117" s="378">
        <v>1</v>
      </c>
      <c r="J117" s="372"/>
      <c r="K117" s="399">
        <f t="shared" si="13"/>
        <v>0</v>
      </c>
      <c r="L117" s="378"/>
      <c r="M117" s="372"/>
    </row>
    <row r="118" spans="2:13" hidden="1" outlineLevel="3">
      <c r="B118" s="372" t="s">
        <v>91</v>
      </c>
      <c r="C118" s="372" t="s">
        <v>92</v>
      </c>
      <c r="D118" s="372" t="s">
        <v>17</v>
      </c>
      <c r="E118" s="387" t="s">
        <v>19</v>
      </c>
      <c r="F118" s="425" t="s">
        <v>87</v>
      </c>
      <c r="G118" s="372"/>
      <c r="H118" s="377">
        <v>0.03</v>
      </c>
      <c r="I118" s="378">
        <v>1</v>
      </c>
      <c r="J118" s="372"/>
      <c r="K118" s="399">
        <f t="shared" si="13"/>
        <v>0</v>
      </c>
      <c r="L118" s="378"/>
      <c r="M118" s="372"/>
    </row>
    <row r="119" spans="2:13" hidden="1" outlineLevel="3">
      <c r="B119" s="372" t="s">
        <v>91</v>
      </c>
      <c r="C119" s="372" t="s">
        <v>92</v>
      </c>
      <c r="D119" s="372" t="s">
        <v>17</v>
      </c>
      <c r="E119" s="387" t="s">
        <v>19</v>
      </c>
      <c r="F119" s="425" t="s">
        <v>107</v>
      </c>
      <c r="G119" s="372"/>
      <c r="H119" s="377">
        <v>1.4999999999999999E-2</v>
      </c>
      <c r="I119" s="378">
        <v>1</v>
      </c>
      <c r="J119" s="372"/>
      <c r="K119" s="399">
        <f t="shared" si="13"/>
        <v>0</v>
      </c>
      <c r="L119" s="378"/>
      <c r="M119" s="372"/>
    </row>
    <row r="120" spans="2:13" hidden="1" outlineLevel="3">
      <c r="B120" s="372" t="s">
        <v>91</v>
      </c>
      <c r="C120" s="372" t="s">
        <v>92</v>
      </c>
      <c r="D120" s="372" t="s">
        <v>17</v>
      </c>
      <c r="E120" s="387" t="s">
        <v>19</v>
      </c>
      <c r="F120" s="425" t="s">
        <v>108</v>
      </c>
      <c r="G120" s="372"/>
      <c r="H120" s="377">
        <v>1.4999999999999999E-2</v>
      </c>
      <c r="I120" s="378">
        <v>1</v>
      </c>
      <c r="J120" s="372"/>
      <c r="K120" s="399">
        <f t="shared" si="13"/>
        <v>0</v>
      </c>
      <c r="L120" s="378"/>
      <c r="M120" s="372"/>
    </row>
    <row r="121" spans="2:13" hidden="1" outlineLevel="3">
      <c r="B121" s="372" t="s">
        <v>91</v>
      </c>
      <c r="C121" s="372" t="s">
        <v>92</v>
      </c>
      <c r="D121" s="372" t="s">
        <v>17</v>
      </c>
      <c r="E121" s="387" t="s">
        <v>19</v>
      </c>
      <c r="F121" s="425" t="s">
        <v>86</v>
      </c>
      <c r="G121" s="372"/>
      <c r="H121" s="377">
        <v>0.1</v>
      </c>
      <c r="I121" s="378">
        <v>1</v>
      </c>
      <c r="J121" s="372"/>
      <c r="K121" s="399">
        <f t="shared" si="13"/>
        <v>0</v>
      </c>
      <c r="L121" s="378"/>
      <c r="M121" s="372"/>
    </row>
    <row r="122" spans="2:13" hidden="1" outlineLevel="2" collapsed="1">
      <c r="B122" s="372" t="s">
        <v>91</v>
      </c>
      <c r="C122" s="372" t="s">
        <v>92</v>
      </c>
      <c r="D122" s="372" t="s">
        <v>25</v>
      </c>
      <c r="E122" s="372"/>
      <c r="F122" s="425" t="s">
        <v>77</v>
      </c>
      <c r="G122" s="372"/>
      <c r="H122" s="377">
        <f>SUM(H123:H129)</f>
        <v>1.7000000000000002</v>
      </c>
      <c r="I122" s="378">
        <f>SUM(I123:I129)</f>
        <v>7</v>
      </c>
      <c r="J122" s="372"/>
      <c r="K122" s="377">
        <f>SUM(K123:K129)</f>
        <v>0</v>
      </c>
      <c r="L122" s="378">
        <f>SUM(L123:L129)</f>
        <v>0</v>
      </c>
      <c r="M122" s="372"/>
    </row>
    <row r="123" spans="2:13" hidden="1" outlineLevel="3">
      <c r="B123" s="372" t="s">
        <v>91</v>
      </c>
      <c r="C123" s="372" t="s">
        <v>92</v>
      </c>
      <c r="D123" s="372" t="s">
        <v>25</v>
      </c>
      <c r="E123" s="372" t="s">
        <v>26</v>
      </c>
      <c r="F123" s="425" t="s">
        <v>103</v>
      </c>
      <c r="G123" s="372"/>
      <c r="H123" s="398">
        <v>0.2</v>
      </c>
      <c r="I123" s="378">
        <v>1</v>
      </c>
      <c r="J123" s="372"/>
      <c r="K123" s="399">
        <f t="shared" ref="K123:K129" si="14">IF(L123=1,H123,0)</f>
        <v>0</v>
      </c>
      <c r="L123" s="378"/>
      <c r="M123" s="372"/>
    </row>
    <row r="124" spans="2:13" hidden="1" outlineLevel="3">
      <c r="B124" s="372" t="s">
        <v>91</v>
      </c>
      <c r="C124" s="372" t="s">
        <v>92</v>
      </c>
      <c r="D124" s="372" t="s">
        <v>25</v>
      </c>
      <c r="E124" s="372" t="s">
        <v>26</v>
      </c>
      <c r="F124" s="425" t="s">
        <v>104</v>
      </c>
      <c r="G124" s="372"/>
      <c r="H124" s="398">
        <v>0.4</v>
      </c>
      <c r="I124" s="397">
        <v>1</v>
      </c>
      <c r="J124" s="372"/>
      <c r="K124" s="399">
        <f t="shared" si="14"/>
        <v>0</v>
      </c>
      <c r="L124" s="397"/>
      <c r="M124" s="372"/>
    </row>
    <row r="125" spans="2:13" hidden="1" outlineLevel="3">
      <c r="B125" s="372" t="s">
        <v>91</v>
      </c>
      <c r="C125" s="372" t="s">
        <v>92</v>
      </c>
      <c r="D125" s="372" t="s">
        <v>25</v>
      </c>
      <c r="E125" s="372" t="s">
        <v>26</v>
      </c>
      <c r="F125" s="425" t="s">
        <v>109</v>
      </c>
      <c r="G125" s="372"/>
      <c r="H125" s="398">
        <v>0.32</v>
      </c>
      <c r="I125" s="397">
        <v>1</v>
      </c>
      <c r="J125" s="372"/>
      <c r="K125" s="399">
        <f t="shared" si="14"/>
        <v>0</v>
      </c>
      <c r="L125" s="397"/>
      <c r="M125" s="372"/>
    </row>
    <row r="126" spans="2:13" hidden="1" outlineLevel="3">
      <c r="B126" s="372" t="s">
        <v>91</v>
      </c>
      <c r="C126" s="372" t="s">
        <v>92</v>
      </c>
      <c r="D126" s="372" t="s">
        <v>25</v>
      </c>
      <c r="E126" s="372" t="s">
        <v>26</v>
      </c>
      <c r="F126" s="425" t="s">
        <v>110</v>
      </c>
      <c r="G126" s="372"/>
      <c r="H126" s="398">
        <v>0.32</v>
      </c>
      <c r="I126" s="397">
        <v>1</v>
      </c>
      <c r="J126" s="372"/>
      <c r="K126" s="399">
        <f t="shared" si="14"/>
        <v>0</v>
      </c>
      <c r="L126" s="397"/>
      <c r="M126" s="372"/>
    </row>
    <row r="127" spans="2:13" hidden="1" outlineLevel="3">
      <c r="B127" s="372" t="s">
        <v>91</v>
      </c>
      <c r="C127" s="372" t="s">
        <v>92</v>
      </c>
      <c r="D127" s="372" t="s">
        <v>25</v>
      </c>
      <c r="E127" s="372" t="s">
        <v>26</v>
      </c>
      <c r="F127" s="425" t="s">
        <v>111</v>
      </c>
      <c r="G127" s="372"/>
      <c r="H127" s="398">
        <v>0.43</v>
      </c>
      <c r="I127" s="397">
        <v>1</v>
      </c>
      <c r="J127" s="372"/>
      <c r="K127" s="399">
        <f t="shared" si="14"/>
        <v>0</v>
      </c>
      <c r="L127" s="397"/>
      <c r="M127" s="372"/>
    </row>
    <row r="128" spans="2:13" hidden="1" outlineLevel="3">
      <c r="B128" s="372" t="s">
        <v>91</v>
      </c>
      <c r="C128" s="372" t="s">
        <v>92</v>
      </c>
      <c r="D128" s="372" t="s">
        <v>25</v>
      </c>
      <c r="E128" s="372" t="s">
        <v>26</v>
      </c>
      <c r="F128" s="425" t="s">
        <v>86</v>
      </c>
      <c r="G128" s="372"/>
      <c r="H128" s="398">
        <v>0.02</v>
      </c>
      <c r="I128" s="378">
        <v>1</v>
      </c>
      <c r="J128" s="372"/>
      <c r="K128" s="399">
        <f t="shared" si="14"/>
        <v>0</v>
      </c>
      <c r="L128" s="378"/>
      <c r="M128" s="372"/>
    </row>
    <row r="129" spans="1:13" hidden="1" outlineLevel="3">
      <c r="A129" s="372"/>
      <c r="B129" s="372" t="s">
        <v>91</v>
      </c>
      <c r="C129" s="372" t="s">
        <v>92</v>
      </c>
      <c r="D129" s="372" t="s">
        <v>25</v>
      </c>
      <c r="E129" s="372" t="s">
        <v>26</v>
      </c>
      <c r="F129" s="425" t="s">
        <v>87</v>
      </c>
      <c r="G129" s="372"/>
      <c r="H129" s="398">
        <v>0.01</v>
      </c>
      <c r="I129" s="378">
        <v>1</v>
      </c>
      <c r="J129" s="372"/>
      <c r="K129" s="399">
        <f t="shared" si="14"/>
        <v>0</v>
      </c>
      <c r="L129" s="378"/>
      <c r="M129" s="372"/>
    </row>
    <row r="130" spans="1:13" hidden="1" outlineLevel="2" collapsed="1">
      <c r="A130" s="372"/>
      <c r="B130" s="372" t="s">
        <v>91</v>
      </c>
      <c r="C130" s="372" t="s">
        <v>92</v>
      </c>
      <c r="D130" s="372" t="s">
        <v>27</v>
      </c>
      <c r="E130" s="372"/>
      <c r="F130" s="422" t="s">
        <v>112</v>
      </c>
      <c r="G130" s="372"/>
      <c r="H130" s="377">
        <f>SUM(H131:H133)</f>
        <v>0.14000000000000001</v>
      </c>
      <c r="I130" s="378">
        <f>SUM(I131:I133)</f>
        <v>3</v>
      </c>
      <c r="J130" s="372"/>
      <c r="K130" s="377">
        <f>SUM(K131:K133)</f>
        <v>0</v>
      </c>
      <c r="L130" s="378">
        <f>SUM(L131:L133)</f>
        <v>0</v>
      </c>
      <c r="M130" s="372"/>
    </row>
    <row r="131" spans="1:13" hidden="1" outlineLevel="3">
      <c r="A131" s="372"/>
      <c r="B131" s="372" t="s">
        <v>91</v>
      </c>
      <c r="C131" s="372" t="s">
        <v>92</v>
      </c>
      <c r="D131" s="372" t="s">
        <v>27</v>
      </c>
      <c r="E131" s="372" t="s">
        <v>28</v>
      </c>
      <c r="F131" s="452" t="s">
        <v>113</v>
      </c>
      <c r="G131" s="372"/>
      <c r="H131" s="398">
        <v>0.02</v>
      </c>
      <c r="I131" s="378">
        <v>1</v>
      </c>
      <c r="J131" s="372"/>
      <c r="K131" s="399">
        <f t="shared" ref="K131:K133" si="15">IF(L131=1,H131,0)</f>
        <v>0</v>
      </c>
      <c r="L131" s="378"/>
      <c r="M131" s="372"/>
    </row>
    <row r="132" spans="1:13" hidden="1" outlineLevel="3">
      <c r="A132" s="372"/>
      <c r="B132" s="372" t="s">
        <v>91</v>
      </c>
      <c r="C132" s="372" t="s">
        <v>92</v>
      </c>
      <c r="D132" s="372" t="s">
        <v>27</v>
      </c>
      <c r="E132" s="372" t="s">
        <v>28</v>
      </c>
      <c r="F132" s="425" t="s">
        <v>114</v>
      </c>
      <c r="G132" s="372"/>
      <c r="H132" s="398">
        <v>0.06</v>
      </c>
      <c r="I132" s="378">
        <v>1</v>
      </c>
      <c r="J132" s="372"/>
      <c r="K132" s="399">
        <f t="shared" si="15"/>
        <v>0</v>
      </c>
      <c r="L132" s="378"/>
      <c r="M132" s="372"/>
    </row>
    <row r="133" spans="1:13" hidden="1" outlineLevel="3">
      <c r="A133" s="372"/>
      <c r="B133" s="372" t="s">
        <v>91</v>
      </c>
      <c r="C133" s="372" t="s">
        <v>92</v>
      </c>
      <c r="D133" s="372" t="s">
        <v>27</v>
      </c>
      <c r="E133" s="372" t="s">
        <v>28</v>
      </c>
      <c r="F133" s="425" t="s">
        <v>115</v>
      </c>
      <c r="G133" s="372"/>
      <c r="H133" s="398">
        <v>0.06</v>
      </c>
      <c r="I133" s="378">
        <v>1</v>
      </c>
      <c r="J133" s="372"/>
      <c r="K133" s="399">
        <f t="shared" si="15"/>
        <v>0</v>
      </c>
      <c r="L133" s="378"/>
      <c r="M133" s="372"/>
    </row>
    <row r="134" spans="1:13" hidden="1" outlineLevel="2">
      <c r="A134" s="372"/>
      <c r="B134" s="372" t="s">
        <v>91</v>
      </c>
      <c r="C134" s="372" t="s">
        <v>92</v>
      </c>
      <c r="D134" s="372" t="s">
        <v>58</v>
      </c>
      <c r="E134" s="372"/>
      <c r="F134" s="422" t="s">
        <v>112</v>
      </c>
      <c r="G134" s="372"/>
      <c r="H134" s="377"/>
      <c r="I134" s="378"/>
      <c r="J134" s="372"/>
      <c r="K134" s="377"/>
      <c r="L134" s="378"/>
      <c r="M134" s="372"/>
    </row>
    <row r="135" spans="1:13" s="390" customFormat="1" outlineLevel="1" collapsed="1">
      <c r="A135" s="385"/>
      <c r="B135" s="380" t="s">
        <v>120</v>
      </c>
      <c r="C135" s="385" t="s">
        <v>121</v>
      </c>
      <c r="D135" s="380"/>
      <c r="E135" s="380"/>
      <c r="F135" s="426" t="s">
        <v>76</v>
      </c>
      <c r="G135" s="385"/>
      <c r="H135" s="410">
        <f>H136+H138+H142+H143</f>
        <v>8.4072167695988034E-2</v>
      </c>
      <c r="I135" s="396">
        <f>I136+I138+I142+I143</f>
        <v>3</v>
      </c>
      <c r="J135" s="385"/>
      <c r="K135" s="410">
        <f>K136+K138+K142+K143</f>
        <v>0</v>
      </c>
      <c r="L135" s="396">
        <f>L136+L138+L142+L143</f>
        <v>0</v>
      </c>
      <c r="M135" s="385"/>
    </row>
    <row r="136" spans="1:13" hidden="1" outlineLevel="2" collapsed="1">
      <c r="A136" s="372"/>
      <c r="B136" s="376" t="s">
        <v>120</v>
      </c>
      <c r="C136" s="372" t="s">
        <v>121</v>
      </c>
      <c r="D136" s="372" t="s">
        <v>17</v>
      </c>
      <c r="E136" s="376"/>
      <c r="F136" s="422" t="s">
        <v>77</v>
      </c>
      <c r="G136" s="372"/>
      <c r="H136" s="399">
        <f>SUM(H137:H137)</f>
        <v>0</v>
      </c>
      <c r="I136" s="378">
        <f>SUM(I137:I137)</f>
        <v>0</v>
      </c>
      <c r="J136" s="372"/>
      <c r="K136" s="399">
        <f>SUM(K137:K137)</f>
        <v>0</v>
      </c>
      <c r="L136" s="378">
        <f>SUM(L137:L137)</f>
        <v>0</v>
      </c>
      <c r="M136" s="372"/>
    </row>
    <row r="137" spans="1:13" hidden="1" outlineLevel="3">
      <c r="A137" s="372"/>
      <c r="B137" s="392"/>
      <c r="C137" s="393"/>
      <c r="D137" s="393"/>
      <c r="E137" s="392"/>
      <c r="F137" s="429"/>
      <c r="G137" s="372"/>
      <c r="H137" s="437"/>
      <c r="I137" s="438"/>
      <c r="J137" s="372"/>
      <c r="K137" s="437"/>
      <c r="L137" s="438"/>
      <c r="M137" s="372"/>
    </row>
    <row r="138" spans="1:13" hidden="1" outlineLevel="2" collapsed="1">
      <c r="A138" s="372"/>
      <c r="B138" s="376" t="s">
        <v>120</v>
      </c>
      <c r="C138" s="372" t="s">
        <v>121</v>
      </c>
      <c r="D138" s="372" t="s">
        <v>25</v>
      </c>
      <c r="E138" s="372"/>
      <c r="F138" s="422" t="s">
        <v>77</v>
      </c>
      <c r="G138" s="372"/>
      <c r="H138" s="377">
        <f>SUM(H139:H141)</f>
        <v>8.4072167695988034E-2</v>
      </c>
      <c r="I138" s="378">
        <f>SUM(I139:I141)</f>
        <v>3</v>
      </c>
      <c r="J138" s="372"/>
      <c r="K138" s="377">
        <f>SUM(K139:K141)</f>
        <v>0</v>
      </c>
      <c r="L138" s="378">
        <f>SUM(L139:L141)</f>
        <v>0</v>
      </c>
      <c r="M138" s="372"/>
    </row>
    <row r="139" spans="1:13" hidden="1" outlineLevel="3">
      <c r="A139" s="372"/>
      <c r="B139" s="376" t="s">
        <v>120</v>
      </c>
      <c r="C139" s="372" t="s">
        <v>121</v>
      </c>
      <c r="D139" s="372" t="s">
        <v>25</v>
      </c>
      <c r="E139" s="372" t="s">
        <v>26</v>
      </c>
      <c r="F139" s="422" t="s">
        <v>122</v>
      </c>
      <c r="G139" s="372"/>
      <c r="H139" s="377">
        <v>6.0248605439999423E-2</v>
      </c>
      <c r="I139" s="378">
        <v>1</v>
      </c>
      <c r="J139" s="372"/>
      <c r="K139" s="399">
        <f t="shared" ref="K139:K141" si="16">IF(L139=1,H139,0)</f>
        <v>0</v>
      </c>
      <c r="L139" s="378"/>
      <c r="M139" s="372"/>
    </row>
    <row r="140" spans="1:13" ht="26.4" hidden="1" outlineLevel="3">
      <c r="A140" s="372"/>
      <c r="B140" s="376" t="s">
        <v>120</v>
      </c>
      <c r="C140" s="372" t="s">
        <v>121</v>
      </c>
      <c r="D140" s="372" t="s">
        <v>25</v>
      </c>
      <c r="E140" s="372" t="s">
        <v>26</v>
      </c>
      <c r="F140" s="422" t="s">
        <v>123</v>
      </c>
      <c r="G140" s="372"/>
      <c r="H140" s="377">
        <v>1.1911781127994301E-2</v>
      </c>
      <c r="I140" s="378">
        <v>1</v>
      </c>
      <c r="J140" s="372"/>
      <c r="K140" s="399">
        <f t="shared" si="16"/>
        <v>0</v>
      </c>
      <c r="L140" s="378"/>
      <c r="M140" s="372"/>
    </row>
    <row r="141" spans="1:13" hidden="1" outlineLevel="3">
      <c r="A141" s="372"/>
      <c r="B141" s="376" t="s">
        <v>120</v>
      </c>
      <c r="C141" s="372" t="s">
        <v>121</v>
      </c>
      <c r="D141" s="372" t="s">
        <v>25</v>
      </c>
      <c r="E141" s="372" t="s">
        <v>26</v>
      </c>
      <c r="F141" s="422" t="s">
        <v>124</v>
      </c>
      <c r="G141" s="372"/>
      <c r="H141" s="377">
        <v>1.1911781127994301E-2</v>
      </c>
      <c r="I141" s="378">
        <v>1</v>
      </c>
      <c r="J141" s="372"/>
      <c r="K141" s="399">
        <f t="shared" si="16"/>
        <v>0</v>
      </c>
      <c r="L141" s="378"/>
      <c r="M141" s="372"/>
    </row>
    <row r="142" spans="1:13" hidden="1" outlineLevel="2">
      <c r="A142" s="372"/>
      <c r="B142" s="376" t="s">
        <v>120</v>
      </c>
      <c r="C142" s="372" t="s">
        <v>121</v>
      </c>
      <c r="D142" s="372" t="s">
        <v>27</v>
      </c>
      <c r="E142" s="372"/>
      <c r="F142" s="422" t="s">
        <v>77</v>
      </c>
      <c r="G142" s="372"/>
      <c r="H142" s="377"/>
      <c r="I142" s="378"/>
      <c r="J142" s="372"/>
      <c r="K142" s="377"/>
      <c r="L142" s="378"/>
      <c r="M142" s="372"/>
    </row>
    <row r="143" spans="1:13" hidden="1" outlineLevel="2">
      <c r="A143" s="372"/>
      <c r="B143" s="376" t="s">
        <v>120</v>
      </c>
      <c r="C143" s="372" t="s">
        <v>121</v>
      </c>
      <c r="D143" s="372" t="s">
        <v>58</v>
      </c>
      <c r="E143" s="372"/>
      <c r="F143" s="422" t="s">
        <v>77</v>
      </c>
      <c r="G143" s="372"/>
      <c r="H143" s="377"/>
      <c r="I143" s="378"/>
      <c r="J143" s="372"/>
      <c r="K143" s="377"/>
      <c r="L143" s="378"/>
      <c r="M143" s="372"/>
    </row>
    <row r="144" spans="1:13" s="390" customFormat="1" outlineLevel="1" collapsed="1">
      <c r="A144" s="385"/>
      <c r="B144" s="380" t="s">
        <v>125</v>
      </c>
      <c r="C144" s="385" t="s">
        <v>126</v>
      </c>
      <c r="D144" s="380"/>
      <c r="E144" s="380"/>
      <c r="F144" s="426" t="s">
        <v>76</v>
      </c>
      <c r="G144" s="385"/>
      <c r="H144" s="410">
        <f>SUM(H145+H148)</f>
        <v>0.41918995130000003</v>
      </c>
      <c r="I144" s="396">
        <f>I145+I148+I152+I153</f>
        <v>5</v>
      </c>
      <c r="J144" s="385"/>
      <c r="K144" s="410">
        <f>SUM(K145+K148)</f>
        <v>0</v>
      </c>
      <c r="L144" s="396">
        <f>L145+L148+L152+L153</f>
        <v>0</v>
      </c>
      <c r="M144" s="385"/>
    </row>
    <row r="145" spans="1:12" hidden="1" outlineLevel="2" collapsed="1">
      <c r="A145" s="372"/>
      <c r="B145" s="376" t="s">
        <v>125</v>
      </c>
      <c r="C145" s="372" t="s">
        <v>126</v>
      </c>
      <c r="D145" s="372" t="s">
        <v>17</v>
      </c>
      <c r="E145" s="376"/>
      <c r="F145" s="422" t="s">
        <v>77</v>
      </c>
      <c r="G145" s="372"/>
      <c r="H145" s="377">
        <f>SUM(H146:H147)</f>
        <v>0.25</v>
      </c>
      <c r="I145" s="378">
        <f>SUM(I146:I147)</f>
        <v>2</v>
      </c>
      <c r="J145" s="372"/>
      <c r="K145" s="377">
        <f>SUM(K146:K147)</f>
        <v>0</v>
      </c>
      <c r="L145" s="378">
        <f>SUM(L146:L147)</f>
        <v>0</v>
      </c>
    </row>
    <row r="146" spans="1:12" hidden="1" outlineLevel="3">
      <c r="A146" s="372"/>
      <c r="B146" s="376" t="s">
        <v>125</v>
      </c>
      <c r="C146" s="372" t="s">
        <v>126</v>
      </c>
      <c r="D146" s="372" t="s">
        <v>17</v>
      </c>
      <c r="E146" s="376" t="s">
        <v>127</v>
      </c>
      <c r="F146" s="422" t="s">
        <v>122</v>
      </c>
      <c r="G146" s="372"/>
      <c r="H146" s="377">
        <v>7.0000000000000007E-2</v>
      </c>
      <c r="I146" s="378">
        <v>1</v>
      </c>
      <c r="J146" s="372"/>
      <c r="K146" s="399">
        <f t="shared" ref="K146:K147" si="17">IF(L146=1,H146,0)</f>
        <v>0</v>
      </c>
      <c r="L146" s="378"/>
    </row>
    <row r="147" spans="1:12" hidden="1" outlineLevel="3">
      <c r="A147" s="372"/>
      <c r="B147" s="376" t="s">
        <v>125</v>
      </c>
      <c r="C147" s="372" t="s">
        <v>126</v>
      </c>
      <c r="D147" s="372" t="s">
        <v>17</v>
      </c>
      <c r="E147" s="376" t="s">
        <v>127</v>
      </c>
      <c r="F147" s="422" t="s">
        <v>128</v>
      </c>
      <c r="G147" s="372"/>
      <c r="H147" s="377">
        <v>0.18</v>
      </c>
      <c r="I147" s="378">
        <v>1</v>
      </c>
      <c r="J147" s="372"/>
      <c r="K147" s="399">
        <f t="shared" si="17"/>
        <v>0</v>
      </c>
      <c r="L147" s="378"/>
    </row>
    <row r="148" spans="1:12" hidden="1" outlineLevel="2" collapsed="1">
      <c r="A148" s="372"/>
      <c r="B148" s="376" t="s">
        <v>125</v>
      </c>
      <c r="C148" s="372" t="s">
        <v>126</v>
      </c>
      <c r="D148" s="372" t="s">
        <v>25</v>
      </c>
      <c r="E148" s="372"/>
      <c r="F148" s="422" t="s">
        <v>77</v>
      </c>
      <c r="G148" s="372"/>
      <c r="H148" s="377">
        <f>SUM(H149:H151)</f>
        <v>0.16918995130000003</v>
      </c>
      <c r="I148" s="378">
        <f>SUM(I149:I151)</f>
        <v>3</v>
      </c>
      <c r="J148" s="372"/>
      <c r="K148" s="377">
        <f>SUM(K149:K151)</f>
        <v>0</v>
      </c>
      <c r="L148" s="378">
        <f>SUM(L149:L151)</f>
        <v>0</v>
      </c>
    </row>
    <row r="149" spans="1:12" hidden="1" outlineLevel="3" collapsed="1">
      <c r="A149" s="372"/>
      <c r="B149" s="376" t="s">
        <v>125</v>
      </c>
      <c r="C149" s="372" t="s">
        <v>126</v>
      </c>
      <c r="D149" s="372" t="s">
        <v>25</v>
      </c>
      <c r="E149" s="372" t="s">
        <v>26</v>
      </c>
      <c r="F149" s="422" t="s">
        <v>128</v>
      </c>
      <c r="G149" s="372"/>
      <c r="H149" s="399">
        <v>7.0000000000000007E-2</v>
      </c>
      <c r="I149" s="397">
        <v>1</v>
      </c>
      <c r="J149" s="372"/>
      <c r="K149" s="399">
        <f t="shared" ref="K149:K151" si="18">IF(L149=1,H149,0)</f>
        <v>0</v>
      </c>
      <c r="L149" s="397"/>
    </row>
    <row r="150" spans="1:12" hidden="1" outlineLevel="3">
      <c r="A150" s="372"/>
      <c r="B150" s="376" t="s">
        <v>125</v>
      </c>
      <c r="C150" s="372" t="s">
        <v>126</v>
      </c>
      <c r="D150" s="372" t="s">
        <v>25</v>
      </c>
      <c r="E150" s="372" t="s">
        <v>26</v>
      </c>
      <c r="F150" s="422" t="s">
        <v>122</v>
      </c>
      <c r="G150" s="372"/>
      <c r="H150" s="377">
        <v>5.4103609800000001E-2</v>
      </c>
      <c r="I150" s="378">
        <v>1</v>
      </c>
      <c r="J150" s="372"/>
      <c r="K150" s="399">
        <f t="shared" si="18"/>
        <v>0</v>
      </c>
      <c r="L150" s="378"/>
    </row>
    <row r="151" spans="1:12" hidden="1" outlineLevel="3">
      <c r="A151" s="372"/>
      <c r="B151" s="376" t="s">
        <v>125</v>
      </c>
      <c r="C151" s="372" t="s">
        <v>126</v>
      </c>
      <c r="D151" s="372" t="s">
        <v>25</v>
      </c>
      <c r="E151" s="372" t="s">
        <v>26</v>
      </c>
      <c r="F151" s="422" t="s">
        <v>129</v>
      </c>
      <c r="G151" s="372"/>
      <c r="H151" s="377">
        <v>4.5086341500000002E-2</v>
      </c>
      <c r="I151" s="378">
        <v>1</v>
      </c>
      <c r="J151" s="372"/>
      <c r="K151" s="399">
        <f t="shared" si="18"/>
        <v>0</v>
      </c>
      <c r="L151" s="378"/>
    </row>
    <row r="152" spans="1:12" hidden="1" outlineLevel="2">
      <c r="A152" s="372">
        <v>0</v>
      </c>
      <c r="B152" s="376" t="s">
        <v>125</v>
      </c>
      <c r="C152" s="372" t="s">
        <v>126</v>
      </c>
      <c r="D152" s="372" t="s">
        <v>27</v>
      </c>
      <c r="E152" s="372"/>
      <c r="F152" s="422" t="s">
        <v>77</v>
      </c>
      <c r="G152" s="372"/>
      <c r="H152" s="377"/>
      <c r="I152" s="378">
        <v>0</v>
      </c>
      <c r="J152" s="372"/>
      <c r="K152" s="377"/>
      <c r="L152" s="378">
        <v>0</v>
      </c>
    </row>
    <row r="153" spans="1:12" hidden="1" outlineLevel="2">
      <c r="A153" s="372"/>
      <c r="B153" s="376" t="s">
        <v>125</v>
      </c>
      <c r="C153" s="372" t="s">
        <v>126</v>
      </c>
      <c r="D153" s="372" t="s">
        <v>58</v>
      </c>
      <c r="E153" s="372"/>
      <c r="F153" s="422" t="s">
        <v>77</v>
      </c>
      <c r="G153" s="372"/>
      <c r="H153" s="377"/>
      <c r="I153" s="378">
        <v>0</v>
      </c>
      <c r="J153" s="372"/>
      <c r="K153" s="377"/>
      <c r="L153" s="378">
        <v>0</v>
      </c>
    </row>
    <row r="154" spans="1:12" s="390" customFormat="1" outlineLevel="1" collapsed="1">
      <c r="A154" s="385"/>
      <c r="B154" s="380" t="s">
        <v>130</v>
      </c>
      <c r="C154" s="385" t="s">
        <v>131</v>
      </c>
      <c r="D154" s="380"/>
      <c r="E154" s="380"/>
      <c r="F154" s="424" t="s">
        <v>132</v>
      </c>
      <c r="G154" s="385"/>
      <c r="H154" s="410">
        <f>SUM(H155+H160+H172+H175)</f>
        <v>3.5270129872115201</v>
      </c>
      <c r="I154" s="396">
        <f>I155+I160+I172+I175</f>
        <v>17</v>
      </c>
      <c r="J154" s="385"/>
      <c r="K154" s="410">
        <f>SUM(K155+K160+K172+K175)</f>
        <v>2.5170129872115203</v>
      </c>
      <c r="L154" s="396">
        <f>L155+L160+L172+L175</f>
        <v>7</v>
      </c>
    </row>
    <row r="155" spans="1:12" hidden="1" outlineLevel="2" collapsed="1">
      <c r="A155" s="372"/>
      <c r="B155" s="376" t="s">
        <v>130</v>
      </c>
      <c r="C155" s="372" t="s">
        <v>131</v>
      </c>
      <c r="D155" s="372" t="s">
        <v>17</v>
      </c>
      <c r="E155" s="376"/>
      <c r="F155" s="422" t="s">
        <v>77</v>
      </c>
      <c r="G155" s="372"/>
      <c r="H155" s="377">
        <f>SUM(H156:H159)</f>
        <v>2.3753571</v>
      </c>
      <c r="I155" s="378">
        <f>SUM(I156:I159)</f>
        <v>4</v>
      </c>
      <c r="J155" s="372"/>
      <c r="K155" s="377">
        <f>SUM(K156:K159)</f>
        <v>2.3453571000000002</v>
      </c>
      <c r="L155" s="378">
        <f>SUM(L156:L159)</f>
        <v>3</v>
      </c>
    </row>
    <row r="156" spans="1:12" hidden="1" outlineLevel="3">
      <c r="A156" s="372"/>
      <c r="B156" s="376" t="s">
        <v>130</v>
      </c>
      <c r="C156" s="372" t="s">
        <v>131</v>
      </c>
      <c r="D156" s="372" t="s">
        <v>17</v>
      </c>
      <c r="E156" s="376" t="s">
        <v>127</v>
      </c>
      <c r="F156" s="422" t="s">
        <v>139</v>
      </c>
      <c r="G156" s="372"/>
      <c r="H156" s="377">
        <v>0.3</v>
      </c>
      <c r="I156" s="378">
        <v>1</v>
      </c>
      <c r="J156" s="372"/>
      <c r="K156" s="399">
        <f t="shared" ref="K156:K159" si="19">IF(L156=1,H156,0)</f>
        <v>0.3</v>
      </c>
      <c r="L156" s="378">
        <v>1</v>
      </c>
    </row>
    <row r="157" spans="1:12" hidden="1" outlineLevel="3">
      <c r="A157" s="372"/>
      <c r="B157" s="376" t="s">
        <v>130</v>
      </c>
      <c r="C157" s="372" t="s">
        <v>131</v>
      </c>
      <c r="D157" s="372" t="s">
        <v>17</v>
      </c>
      <c r="E157" s="376" t="s">
        <v>127</v>
      </c>
      <c r="F157" s="422" t="s">
        <v>140</v>
      </c>
      <c r="G157" s="372"/>
      <c r="H157" s="377">
        <v>0.3</v>
      </c>
      <c r="I157" s="378">
        <v>1</v>
      </c>
      <c r="J157" s="372"/>
      <c r="K157" s="399">
        <f t="shared" si="19"/>
        <v>0.3</v>
      </c>
      <c r="L157" s="378">
        <v>1</v>
      </c>
    </row>
    <row r="158" spans="1:12" hidden="1" outlineLevel="3">
      <c r="A158" s="372"/>
      <c r="B158" s="376" t="s">
        <v>130</v>
      </c>
      <c r="C158" s="372" t="s">
        <v>131</v>
      </c>
      <c r="D158" s="372" t="s">
        <v>17</v>
      </c>
      <c r="E158" s="376" t="s">
        <v>127</v>
      </c>
      <c r="F158" s="422" t="s">
        <v>141</v>
      </c>
      <c r="G158" s="372"/>
      <c r="H158" s="377">
        <v>0.03</v>
      </c>
      <c r="I158" s="378">
        <v>1</v>
      </c>
      <c r="J158" s="372"/>
      <c r="K158" s="399">
        <f t="shared" si="19"/>
        <v>0</v>
      </c>
      <c r="L158" s="378"/>
    </row>
    <row r="159" spans="1:12" hidden="1" outlineLevel="3">
      <c r="A159" s="372"/>
      <c r="B159" s="376" t="s">
        <v>130</v>
      </c>
      <c r="C159" s="372" t="s">
        <v>131</v>
      </c>
      <c r="D159" s="372" t="s">
        <v>17</v>
      </c>
      <c r="E159" s="376" t="s">
        <v>127</v>
      </c>
      <c r="F159" s="422" t="s">
        <v>146</v>
      </c>
      <c r="G159" s="372"/>
      <c r="H159" s="377">
        <v>1.7453571000000001</v>
      </c>
      <c r="I159" s="378">
        <v>1</v>
      </c>
      <c r="J159" s="372"/>
      <c r="K159" s="399">
        <f t="shared" si="19"/>
        <v>1.7453571000000001</v>
      </c>
      <c r="L159" s="378">
        <v>1</v>
      </c>
    </row>
    <row r="160" spans="1:12" hidden="1" outlineLevel="2" collapsed="1">
      <c r="A160" s="372"/>
      <c r="B160" s="376" t="s">
        <v>130</v>
      </c>
      <c r="C160" s="372" t="s">
        <v>131</v>
      </c>
      <c r="D160" s="372" t="s">
        <v>25</v>
      </c>
      <c r="E160" s="372"/>
      <c r="F160" s="422" t="s">
        <v>77</v>
      </c>
      <c r="G160" s="372"/>
      <c r="H160" s="377">
        <f>SUM(H161:H171)</f>
        <v>1.1200000000000001</v>
      </c>
      <c r="I160" s="378">
        <f>SUM(I161:I171)</f>
        <v>11</v>
      </c>
      <c r="J160" s="372"/>
      <c r="K160" s="377">
        <f>SUM(K161:K171)</f>
        <v>0.14000000000000001</v>
      </c>
      <c r="L160" s="378">
        <f>SUM(L161:L171)</f>
        <v>2</v>
      </c>
    </row>
    <row r="161" spans="1:12" hidden="1" outlineLevel="3">
      <c r="A161" s="372"/>
      <c r="B161" s="376" t="s">
        <v>130</v>
      </c>
      <c r="C161" s="372" t="s">
        <v>131</v>
      </c>
      <c r="D161" s="372" t="s">
        <v>25</v>
      </c>
      <c r="E161" s="372" t="s">
        <v>26</v>
      </c>
      <c r="F161" s="422" t="s">
        <v>147</v>
      </c>
      <c r="G161" s="372"/>
      <c r="H161" s="377">
        <v>7.0000000000000007E-2</v>
      </c>
      <c r="I161" s="378">
        <v>1</v>
      </c>
      <c r="J161" s="372"/>
      <c r="K161" s="399">
        <f t="shared" ref="K161:K171" si="20">IF(L161=1,H161,0)</f>
        <v>7.0000000000000007E-2</v>
      </c>
      <c r="L161" s="378">
        <v>1</v>
      </c>
    </row>
    <row r="162" spans="1:12" hidden="1" outlineLevel="3">
      <c r="A162" s="372"/>
      <c r="B162" s="376" t="s">
        <v>130</v>
      </c>
      <c r="C162" s="372" t="s">
        <v>131</v>
      </c>
      <c r="D162" s="372" t="s">
        <v>25</v>
      </c>
      <c r="E162" s="372" t="s">
        <v>26</v>
      </c>
      <c r="F162" s="422" t="s">
        <v>148</v>
      </c>
      <c r="G162" s="372"/>
      <c r="H162" s="377">
        <v>7.0000000000000007E-2</v>
      </c>
      <c r="I162" s="378">
        <v>1</v>
      </c>
      <c r="J162" s="372"/>
      <c r="K162" s="399">
        <f t="shared" si="20"/>
        <v>7.0000000000000007E-2</v>
      </c>
      <c r="L162" s="378">
        <v>1</v>
      </c>
    </row>
    <row r="163" spans="1:12" hidden="1" outlineLevel="3">
      <c r="A163" s="372"/>
      <c r="B163" s="376" t="s">
        <v>130</v>
      </c>
      <c r="C163" s="372" t="s">
        <v>131</v>
      </c>
      <c r="D163" s="372" t="s">
        <v>25</v>
      </c>
      <c r="E163" s="372" t="s">
        <v>26</v>
      </c>
      <c r="F163" s="422" t="s">
        <v>149</v>
      </c>
      <c r="G163" s="372"/>
      <c r="H163" s="377">
        <v>7.0000000000000007E-2</v>
      </c>
      <c r="I163" s="378">
        <v>1</v>
      </c>
      <c r="J163" s="372"/>
      <c r="K163" s="399">
        <f t="shared" si="20"/>
        <v>0</v>
      </c>
      <c r="L163" s="378"/>
    </row>
    <row r="164" spans="1:12" hidden="1" outlineLevel="3">
      <c r="A164" s="372"/>
      <c r="B164" s="376" t="s">
        <v>130</v>
      </c>
      <c r="C164" s="372" t="s">
        <v>131</v>
      </c>
      <c r="D164" s="372" t="s">
        <v>25</v>
      </c>
      <c r="E164" s="372" t="s">
        <v>26</v>
      </c>
      <c r="F164" s="422" t="s">
        <v>150</v>
      </c>
      <c r="G164" s="372"/>
      <c r="H164" s="377">
        <v>7.0000000000000007E-2</v>
      </c>
      <c r="I164" s="378">
        <v>1</v>
      </c>
      <c r="J164" s="372"/>
      <c r="K164" s="399">
        <f t="shared" si="20"/>
        <v>0</v>
      </c>
      <c r="L164" s="378"/>
    </row>
    <row r="165" spans="1:12" hidden="1" outlineLevel="3">
      <c r="A165" s="372"/>
      <c r="B165" s="376" t="s">
        <v>130</v>
      </c>
      <c r="C165" s="372" t="s">
        <v>131</v>
      </c>
      <c r="D165" s="372" t="s">
        <v>25</v>
      </c>
      <c r="E165" s="372" t="s">
        <v>26</v>
      </c>
      <c r="F165" s="422" t="s">
        <v>151</v>
      </c>
      <c r="G165" s="372"/>
      <c r="H165" s="377">
        <v>7.0000000000000007E-2</v>
      </c>
      <c r="I165" s="378">
        <v>1</v>
      </c>
      <c r="J165" s="372"/>
      <c r="K165" s="399">
        <f t="shared" si="20"/>
        <v>0</v>
      </c>
      <c r="L165" s="378"/>
    </row>
    <row r="166" spans="1:12" hidden="1" outlineLevel="3">
      <c r="A166" s="372"/>
      <c r="B166" s="376" t="s">
        <v>130</v>
      </c>
      <c r="C166" s="372" t="s">
        <v>131</v>
      </c>
      <c r="D166" s="372" t="s">
        <v>25</v>
      </c>
      <c r="E166" s="372" t="s">
        <v>26</v>
      </c>
      <c r="F166" s="422" t="s">
        <v>152</v>
      </c>
      <c r="G166" s="372"/>
      <c r="H166" s="377">
        <v>7.0000000000000007E-2</v>
      </c>
      <c r="I166" s="378">
        <v>1</v>
      </c>
      <c r="J166" s="372"/>
      <c r="K166" s="399">
        <f t="shared" si="20"/>
        <v>0</v>
      </c>
      <c r="L166" s="378"/>
    </row>
    <row r="167" spans="1:12" hidden="1" outlineLevel="3">
      <c r="A167" s="372"/>
      <c r="B167" s="376" t="s">
        <v>130</v>
      </c>
      <c r="C167" s="372" t="s">
        <v>131</v>
      </c>
      <c r="D167" s="372" t="s">
        <v>25</v>
      </c>
      <c r="E167" s="372" t="s">
        <v>26</v>
      </c>
      <c r="F167" s="422" t="s">
        <v>153</v>
      </c>
      <c r="G167" s="372"/>
      <c r="H167" s="377">
        <v>0.13</v>
      </c>
      <c r="I167" s="378">
        <v>1</v>
      </c>
      <c r="J167" s="372"/>
      <c r="K167" s="399">
        <f t="shared" si="20"/>
        <v>0</v>
      </c>
      <c r="L167" s="378"/>
    </row>
    <row r="168" spans="1:12" hidden="1" outlineLevel="3">
      <c r="A168" s="372"/>
      <c r="B168" s="376" t="s">
        <v>130</v>
      </c>
      <c r="C168" s="372" t="s">
        <v>131</v>
      </c>
      <c r="D168" s="372" t="s">
        <v>25</v>
      </c>
      <c r="E168" s="372" t="s">
        <v>26</v>
      </c>
      <c r="F168" s="422" t="s">
        <v>154</v>
      </c>
      <c r="G168" s="372"/>
      <c r="H168" s="377">
        <v>0.18</v>
      </c>
      <c r="I168" s="378">
        <v>1</v>
      </c>
      <c r="J168" s="372"/>
      <c r="K168" s="399">
        <f t="shared" si="20"/>
        <v>0</v>
      </c>
      <c r="L168" s="378"/>
    </row>
    <row r="169" spans="1:12" hidden="1" outlineLevel="3">
      <c r="A169" s="372"/>
      <c r="B169" s="376" t="s">
        <v>130</v>
      </c>
      <c r="C169" s="372" t="s">
        <v>131</v>
      </c>
      <c r="D169" s="372" t="s">
        <v>25</v>
      </c>
      <c r="E169" s="372" t="s">
        <v>26</v>
      </c>
      <c r="F169" s="422" t="s">
        <v>155</v>
      </c>
      <c r="G169" s="372"/>
      <c r="H169" s="377">
        <v>0.13</v>
      </c>
      <c r="I169" s="378">
        <v>1</v>
      </c>
      <c r="J169" s="372"/>
      <c r="K169" s="399">
        <f t="shared" si="20"/>
        <v>0</v>
      </c>
      <c r="L169" s="378"/>
    </row>
    <row r="170" spans="1:12" hidden="1" outlineLevel="3">
      <c r="A170" s="372"/>
      <c r="B170" s="376" t="s">
        <v>130</v>
      </c>
      <c r="C170" s="372" t="s">
        <v>131</v>
      </c>
      <c r="D170" s="372" t="s">
        <v>25</v>
      </c>
      <c r="E170" s="372" t="s">
        <v>26</v>
      </c>
      <c r="F170" s="422" t="s">
        <v>156</v>
      </c>
      <c r="G170" s="372"/>
      <c r="H170" s="377">
        <v>0.13</v>
      </c>
      <c r="I170" s="378">
        <v>1</v>
      </c>
      <c r="J170" s="372"/>
      <c r="K170" s="399">
        <f t="shared" si="20"/>
        <v>0</v>
      </c>
      <c r="L170" s="378"/>
    </row>
    <row r="171" spans="1:12" hidden="1" outlineLevel="3">
      <c r="A171" s="372"/>
      <c r="B171" s="376" t="s">
        <v>130</v>
      </c>
      <c r="C171" s="372" t="s">
        <v>131</v>
      </c>
      <c r="D171" s="372" t="s">
        <v>25</v>
      </c>
      <c r="E171" s="372" t="s">
        <v>26</v>
      </c>
      <c r="F171" s="422" t="s">
        <v>143</v>
      </c>
      <c r="G171" s="372"/>
      <c r="H171" s="377">
        <v>0.13</v>
      </c>
      <c r="I171" s="378">
        <v>1</v>
      </c>
      <c r="J171" s="372"/>
      <c r="K171" s="399">
        <f t="shared" si="20"/>
        <v>0</v>
      </c>
      <c r="L171" s="378"/>
    </row>
    <row r="172" spans="1:12" hidden="1" outlineLevel="2" collapsed="1">
      <c r="A172" s="372"/>
      <c r="B172" s="376" t="s">
        <v>130</v>
      </c>
      <c r="C172" s="372" t="s">
        <v>131</v>
      </c>
      <c r="D172" s="372" t="s">
        <v>27</v>
      </c>
      <c r="E172" s="372"/>
      <c r="F172" s="422" t="s">
        <v>77</v>
      </c>
      <c r="G172" s="372"/>
      <c r="H172" s="377">
        <f>SUM(H173:H174)</f>
        <v>3.1655887211519997E-2</v>
      </c>
      <c r="I172" s="378">
        <f>SUM(I173:I174)</f>
        <v>2</v>
      </c>
      <c r="J172" s="372"/>
      <c r="K172" s="377">
        <f>SUM(K173:K174)</f>
        <v>3.1655887211519997E-2</v>
      </c>
      <c r="L172" s="378">
        <f>SUM(L173:L174)</f>
        <v>2</v>
      </c>
    </row>
    <row r="173" spans="1:12" hidden="1" outlineLevel="3">
      <c r="A173" s="372"/>
      <c r="B173" s="376" t="s">
        <v>130</v>
      </c>
      <c r="C173" s="372" t="s">
        <v>131</v>
      </c>
      <c r="D173" s="372" t="s">
        <v>27</v>
      </c>
      <c r="E173" s="372" t="s">
        <v>28</v>
      </c>
      <c r="F173" s="422" t="s">
        <v>157</v>
      </c>
      <c r="G173" s="372"/>
      <c r="H173" s="377">
        <v>1.5827943605759998E-2</v>
      </c>
      <c r="I173" s="378">
        <v>1</v>
      </c>
      <c r="J173" s="372"/>
      <c r="K173" s="399">
        <f t="shared" ref="K173:K174" si="21">IF(L173=1,H173,0)</f>
        <v>1.5827943605759998E-2</v>
      </c>
      <c r="L173" s="378">
        <v>1</v>
      </c>
    </row>
    <row r="174" spans="1:12" hidden="1" outlineLevel="3">
      <c r="A174" s="372"/>
      <c r="B174" s="376" t="s">
        <v>130</v>
      </c>
      <c r="C174" s="372" t="s">
        <v>131</v>
      </c>
      <c r="D174" s="372" t="s">
        <v>27</v>
      </c>
      <c r="E174" s="372" t="s">
        <v>28</v>
      </c>
      <c r="F174" s="422" t="s">
        <v>158</v>
      </c>
      <c r="G174" s="372"/>
      <c r="H174" s="377">
        <v>1.5827943605759998E-2</v>
      </c>
      <c r="I174" s="378">
        <v>1</v>
      </c>
      <c r="J174" s="372"/>
      <c r="K174" s="399">
        <f t="shared" si="21"/>
        <v>1.5827943605759998E-2</v>
      </c>
      <c r="L174" s="378">
        <v>1</v>
      </c>
    </row>
    <row r="175" spans="1:12" hidden="1" outlineLevel="2">
      <c r="A175" s="372"/>
      <c r="B175" s="376" t="s">
        <v>130</v>
      </c>
      <c r="C175" s="372" t="s">
        <v>131</v>
      </c>
      <c r="D175" s="372" t="s">
        <v>58</v>
      </c>
      <c r="E175" s="372"/>
      <c r="F175" s="422" t="s">
        <v>77</v>
      </c>
      <c r="G175" s="372"/>
      <c r="H175" s="377"/>
      <c r="I175" s="378">
        <v>0</v>
      </c>
      <c r="J175" s="372"/>
      <c r="K175" s="377"/>
      <c r="L175" s="378">
        <v>0</v>
      </c>
    </row>
    <row r="176" spans="1:12" s="390" customFormat="1" ht="26.4" outlineLevel="1" collapsed="1">
      <c r="A176" s="385"/>
      <c r="B176" s="386" t="s">
        <v>160</v>
      </c>
      <c r="C176" s="386" t="s">
        <v>22</v>
      </c>
      <c r="D176" s="386"/>
      <c r="E176" s="386"/>
      <c r="F176" s="426" t="s">
        <v>161</v>
      </c>
      <c r="G176" s="385"/>
      <c r="H176" s="405">
        <f>H177+H181+H186</f>
        <v>0.63298114171514985</v>
      </c>
      <c r="I176" s="409">
        <f>I177+I181+I186</f>
        <v>9</v>
      </c>
      <c r="J176" s="385"/>
      <c r="K176" s="405">
        <f>K177+K181+K186</f>
        <v>0</v>
      </c>
      <c r="L176" s="409">
        <f>L177+L181+L186</f>
        <v>0</v>
      </c>
    </row>
    <row r="177" spans="1:12" hidden="1" outlineLevel="2" collapsed="1">
      <c r="A177" s="372"/>
      <c r="B177" s="376" t="s">
        <v>160</v>
      </c>
      <c r="C177" s="372" t="s">
        <v>22</v>
      </c>
      <c r="D177" s="372" t="s">
        <v>17</v>
      </c>
      <c r="E177" s="376"/>
      <c r="F177" s="422" t="s">
        <v>162</v>
      </c>
      <c r="G177" s="372"/>
      <c r="H177" s="399">
        <f>SUM(H178:H180)</f>
        <v>0.30105801900000001</v>
      </c>
      <c r="I177" s="397">
        <f>SUM(I178:I180)</f>
        <v>3</v>
      </c>
      <c r="J177" s="372"/>
      <c r="K177" s="399">
        <f>SUM(K178:K180)</f>
        <v>0</v>
      </c>
      <c r="L177" s="397">
        <f>SUM(L178:L180)</f>
        <v>0</v>
      </c>
    </row>
    <row r="178" spans="1:12" hidden="1" outlineLevel="3">
      <c r="A178" s="372"/>
      <c r="B178" s="376" t="s">
        <v>160</v>
      </c>
      <c r="C178" s="372" t="s">
        <v>22</v>
      </c>
      <c r="D178" s="372" t="s">
        <v>17</v>
      </c>
      <c r="E178" s="376" t="s">
        <v>127</v>
      </c>
      <c r="F178" s="422" t="s">
        <v>163</v>
      </c>
      <c r="G178" s="372"/>
      <c r="H178" s="399">
        <v>9.2092275000000001E-2</v>
      </c>
      <c r="I178" s="397">
        <v>1</v>
      </c>
      <c r="J178" s="372"/>
      <c r="K178" s="399">
        <f t="shared" ref="K178:K180" si="22">IF(L178=1,H178,0)</f>
        <v>0</v>
      </c>
      <c r="L178" s="397"/>
    </row>
    <row r="179" spans="1:12" hidden="1" outlineLevel="3">
      <c r="A179" s="372"/>
      <c r="B179" s="376" t="s">
        <v>160</v>
      </c>
      <c r="C179" s="372" t="s">
        <v>22</v>
      </c>
      <c r="D179" s="372" t="s">
        <v>17</v>
      </c>
      <c r="E179" s="376" t="s">
        <v>127</v>
      </c>
      <c r="F179" s="422" t="s">
        <v>164</v>
      </c>
      <c r="G179" s="372"/>
      <c r="H179" s="399">
        <v>0.13060359000000002</v>
      </c>
      <c r="I179" s="397">
        <v>1</v>
      </c>
      <c r="J179" s="372"/>
      <c r="K179" s="399">
        <f t="shared" si="22"/>
        <v>0</v>
      </c>
      <c r="L179" s="397"/>
    </row>
    <row r="180" spans="1:12" hidden="1" outlineLevel="3">
      <c r="A180" s="372"/>
      <c r="B180" s="376" t="s">
        <v>160</v>
      </c>
      <c r="C180" s="372" t="s">
        <v>22</v>
      </c>
      <c r="D180" s="372" t="s">
        <v>17</v>
      </c>
      <c r="E180" s="376" t="s">
        <v>127</v>
      </c>
      <c r="F180" s="422" t="s">
        <v>165</v>
      </c>
      <c r="G180" s="372"/>
      <c r="H180" s="399">
        <v>7.8362154000000003E-2</v>
      </c>
      <c r="I180" s="397">
        <v>1</v>
      </c>
      <c r="J180" s="372"/>
      <c r="K180" s="399">
        <f t="shared" si="22"/>
        <v>0</v>
      </c>
      <c r="L180" s="397"/>
    </row>
    <row r="181" spans="1:12" hidden="1" outlineLevel="2" collapsed="1">
      <c r="A181" s="372"/>
      <c r="B181" s="376" t="s">
        <v>160</v>
      </c>
      <c r="C181" s="372" t="s">
        <v>22</v>
      </c>
      <c r="D181" s="372" t="s">
        <v>25</v>
      </c>
      <c r="E181" s="372"/>
      <c r="F181" s="422" t="s">
        <v>162</v>
      </c>
      <c r="G181" s="372"/>
      <c r="H181" s="399">
        <f>SUM(H182:H185)</f>
        <v>0.28480034280014982</v>
      </c>
      <c r="I181" s="397">
        <f>SUM(I182:I185)</f>
        <v>4</v>
      </c>
      <c r="J181" s="372"/>
      <c r="K181" s="399">
        <f>SUM(K182:K185)</f>
        <v>0</v>
      </c>
      <c r="L181" s="397">
        <f>SUM(L182:L185)</f>
        <v>0</v>
      </c>
    </row>
    <row r="182" spans="1:12" hidden="1" outlineLevel="3">
      <c r="A182" s="372"/>
      <c r="B182" s="376" t="s">
        <v>160</v>
      </c>
      <c r="C182" s="372" t="s">
        <v>22</v>
      </c>
      <c r="D182" s="372" t="s">
        <v>25</v>
      </c>
      <c r="E182" s="372" t="s">
        <v>26</v>
      </c>
      <c r="F182" s="422" t="s">
        <v>166</v>
      </c>
      <c r="G182" s="372"/>
      <c r="H182" s="399">
        <v>9.7617811500000009E-3</v>
      </c>
      <c r="I182" s="397">
        <v>1</v>
      </c>
      <c r="J182" s="372"/>
      <c r="K182" s="399">
        <f t="shared" ref="K182:K185" si="23">IF(L182=1,H182,0)</f>
        <v>0</v>
      </c>
      <c r="L182" s="397"/>
    </row>
    <row r="183" spans="1:12" hidden="1" outlineLevel="3">
      <c r="A183" s="372"/>
      <c r="B183" s="376" t="s">
        <v>160</v>
      </c>
      <c r="C183" s="372" t="s">
        <v>22</v>
      </c>
      <c r="D183" s="372" t="s">
        <v>25</v>
      </c>
      <c r="E183" s="372" t="s">
        <v>26</v>
      </c>
      <c r="F183" s="422" t="s">
        <v>163</v>
      </c>
      <c r="G183" s="372"/>
      <c r="H183" s="399">
        <v>3.9047124600000004E-2</v>
      </c>
      <c r="I183" s="397">
        <v>1</v>
      </c>
      <c r="J183" s="372"/>
      <c r="K183" s="399">
        <f t="shared" si="23"/>
        <v>0</v>
      </c>
      <c r="L183" s="397"/>
    </row>
    <row r="184" spans="1:12" hidden="1" outlineLevel="3">
      <c r="A184" s="372"/>
      <c r="B184" s="376" t="s">
        <v>160</v>
      </c>
      <c r="C184" s="372" t="s">
        <v>22</v>
      </c>
      <c r="D184" s="372" t="s">
        <v>25</v>
      </c>
      <c r="E184" s="372" t="s">
        <v>26</v>
      </c>
      <c r="F184" s="422" t="s">
        <v>164</v>
      </c>
      <c r="G184" s="372"/>
      <c r="H184" s="399">
        <v>0.11799571852507491</v>
      </c>
      <c r="I184" s="397">
        <v>1</v>
      </c>
      <c r="J184" s="372"/>
      <c r="K184" s="399">
        <f t="shared" si="23"/>
        <v>0</v>
      </c>
      <c r="L184" s="397"/>
    </row>
    <row r="185" spans="1:12" hidden="1" outlineLevel="3">
      <c r="A185" s="372"/>
      <c r="B185" s="376" t="s">
        <v>160</v>
      </c>
      <c r="C185" s="372" t="s">
        <v>22</v>
      </c>
      <c r="D185" s="372" t="s">
        <v>25</v>
      </c>
      <c r="E185" s="372" t="s">
        <v>26</v>
      </c>
      <c r="F185" s="422" t="s">
        <v>165</v>
      </c>
      <c r="G185" s="372"/>
      <c r="H185" s="399">
        <v>0.11799571852507491</v>
      </c>
      <c r="I185" s="397">
        <v>1</v>
      </c>
      <c r="J185" s="372"/>
      <c r="K185" s="399">
        <f t="shared" si="23"/>
        <v>0</v>
      </c>
      <c r="L185" s="397"/>
    </row>
    <row r="186" spans="1:12" hidden="1" outlineLevel="2" collapsed="1">
      <c r="A186" s="372"/>
      <c r="B186" s="376" t="s">
        <v>160</v>
      </c>
      <c r="C186" s="372" t="s">
        <v>22</v>
      </c>
      <c r="D186" s="372" t="s">
        <v>27</v>
      </c>
      <c r="E186" s="372"/>
      <c r="F186" s="422" t="s">
        <v>162</v>
      </c>
      <c r="G186" s="372"/>
      <c r="H186" s="399">
        <f>SUM(H187:H188)</f>
        <v>4.7122779914999996E-2</v>
      </c>
      <c r="I186" s="378">
        <f>SUM(I187:I188)</f>
        <v>2</v>
      </c>
      <c r="J186" s="372"/>
      <c r="K186" s="399">
        <f>SUM(K187:K188)</f>
        <v>0</v>
      </c>
      <c r="L186" s="378">
        <f>SUM(L187:L188)</f>
        <v>0</v>
      </c>
    </row>
    <row r="187" spans="1:12" hidden="1" outlineLevel="3">
      <c r="A187" s="372"/>
      <c r="B187" s="376" t="s">
        <v>160</v>
      </c>
      <c r="C187" s="372" t="s">
        <v>22</v>
      </c>
      <c r="D187" s="372" t="s">
        <v>27</v>
      </c>
      <c r="E187" s="372" t="s">
        <v>28</v>
      </c>
      <c r="F187" s="422" t="s">
        <v>163</v>
      </c>
      <c r="G187" s="372"/>
      <c r="H187" s="399">
        <v>1.6300332674999998E-2</v>
      </c>
      <c r="I187" s="397">
        <v>1</v>
      </c>
      <c r="J187" s="372"/>
      <c r="K187" s="399">
        <f t="shared" ref="K187:K188" si="24">IF(L187=1,H187,0)</f>
        <v>0</v>
      </c>
      <c r="L187" s="397"/>
    </row>
    <row r="188" spans="1:12" hidden="1" outlineLevel="3">
      <c r="A188" s="372"/>
      <c r="B188" s="376" t="s">
        <v>160</v>
      </c>
      <c r="C188" s="372" t="s">
        <v>22</v>
      </c>
      <c r="D188" s="372" t="s">
        <v>27</v>
      </c>
      <c r="E188" s="372" t="s">
        <v>28</v>
      </c>
      <c r="F188" s="424" t="s">
        <v>164</v>
      </c>
      <c r="G188" s="372"/>
      <c r="H188" s="399">
        <v>3.0822447240000002E-2</v>
      </c>
      <c r="I188" s="397">
        <v>1</v>
      </c>
      <c r="J188" s="372"/>
      <c r="K188" s="399">
        <f t="shared" si="24"/>
        <v>0</v>
      </c>
      <c r="L188" s="397"/>
    </row>
    <row r="189" spans="1:12" outlineLevel="1" collapsed="1">
      <c r="A189" s="372"/>
      <c r="B189" s="380" t="s">
        <v>167</v>
      </c>
      <c r="C189" s="385" t="s">
        <v>121</v>
      </c>
      <c r="D189" s="380"/>
      <c r="E189" s="380"/>
      <c r="F189" s="426" t="s">
        <v>76</v>
      </c>
      <c r="G189" s="372"/>
      <c r="H189" s="410">
        <f>SUM(H190+H196+H202)</f>
        <v>1.3800000000000001</v>
      </c>
      <c r="I189" s="396">
        <f>I190+I196+I202+I204</f>
        <v>11</v>
      </c>
      <c r="J189" s="372"/>
      <c r="K189" s="410">
        <f>SUM(K190+K196+K202)</f>
        <v>0.51</v>
      </c>
      <c r="L189" s="396">
        <f>L190+L196+L202+L204</f>
        <v>1</v>
      </c>
    </row>
    <row r="190" spans="1:12" hidden="1" outlineLevel="2" collapsed="1">
      <c r="A190" s="372"/>
      <c r="B190" s="376" t="s">
        <v>167</v>
      </c>
      <c r="C190" s="372" t="s">
        <v>121</v>
      </c>
      <c r="D190" s="372" t="s">
        <v>17</v>
      </c>
      <c r="E190" s="376"/>
      <c r="F190" s="422" t="s">
        <v>77</v>
      </c>
      <c r="G190" s="372"/>
      <c r="H190" s="377">
        <f>SUM(H191:H195)</f>
        <v>0.96000000000000008</v>
      </c>
      <c r="I190" s="378">
        <f>SUM(I191:I195)</f>
        <v>5</v>
      </c>
      <c r="J190" s="372"/>
      <c r="K190" s="377">
        <f>SUM(K191:K195)</f>
        <v>0.51</v>
      </c>
      <c r="L190" s="378">
        <f>SUM(L191:L195)</f>
        <v>1</v>
      </c>
    </row>
    <row r="191" spans="1:12" hidden="1" outlineLevel="3">
      <c r="A191" s="372"/>
      <c r="B191" s="376" t="s">
        <v>167</v>
      </c>
      <c r="C191" s="372" t="s">
        <v>121</v>
      </c>
      <c r="D191" s="372" t="s">
        <v>17</v>
      </c>
      <c r="E191" s="376" t="s">
        <v>127</v>
      </c>
      <c r="F191" s="422" t="s">
        <v>168</v>
      </c>
      <c r="G191" s="372"/>
      <c r="H191" s="377">
        <v>0.51</v>
      </c>
      <c r="I191" s="378">
        <v>1</v>
      </c>
      <c r="J191" s="372"/>
      <c r="K191" s="399">
        <f t="shared" ref="K191:K195" si="25">IF(L191=1,H191,0)</f>
        <v>0.51</v>
      </c>
      <c r="L191" s="378">
        <v>1</v>
      </c>
    </row>
    <row r="192" spans="1:12" hidden="1" outlineLevel="3">
      <c r="A192" s="372"/>
      <c r="B192" s="376" t="s">
        <v>167</v>
      </c>
      <c r="C192" s="372" t="s">
        <v>121</v>
      </c>
      <c r="D192" s="372" t="s">
        <v>17</v>
      </c>
      <c r="E192" s="376" t="s">
        <v>127</v>
      </c>
      <c r="F192" s="422" t="s">
        <v>169</v>
      </c>
      <c r="G192" s="372"/>
      <c r="H192" s="377">
        <v>0.3</v>
      </c>
      <c r="I192" s="378">
        <v>1</v>
      </c>
      <c r="J192" s="372"/>
      <c r="K192" s="399">
        <f t="shared" si="25"/>
        <v>0</v>
      </c>
      <c r="L192" s="378"/>
    </row>
    <row r="193" spans="1:12" hidden="1" outlineLevel="3">
      <c r="A193" s="372"/>
      <c r="B193" s="376" t="s">
        <v>167</v>
      </c>
      <c r="C193" s="372" t="s">
        <v>121</v>
      </c>
      <c r="D193" s="372" t="s">
        <v>17</v>
      </c>
      <c r="E193" s="376" t="s">
        <v>127</v>
      </c>
      <c r="F193" s="422" t="s">
        <v>141</v>
      </c>
      <c r="G193" s="372"/>
      <c r="H193" s="377">
        <v>0.09</v>
      </c>
      <c r="I193" s="378">
        <v>1</v>
      </c>
      <c r="J193" s="372"/>
      <c r="K193" s="399">
        <f t="shared" si="25"/>
        <v>0</v>
      </c>
      <c r="L193" s="378"/>
    </row>
    <row r="194" spans="1:12" hidden="1" outlineLevel="3">
      <c r="A194" s="372"/>
      <c r="B194" s="376" t="s">
        <v>167</v>
      </c>
      <c r="C194" s="372" t="s">
        <v>121</v>
      </c>
      <c r="D194" s="372" t="s">
        <v>17</v>
      </c>
      <c r="E194" s="376" t="s">
        <v>127</v>
      </c>
      <c r="F194" s="422" t="s">
        <v>122</v>
      </c>
      <c r="G194" s="372"/>
      <c r="H194" s="377">
        <v>0.03</v>
      </c>
      <c r="I194" s="378">
        <v>1</v>
      </c>
      <c r="J194" s="372"/>
      <c r="K194" s="399">
        <f t="shared" si="25"/>
        <v>0</v>
      </c>
      <c r="L194" s="378"/>
    </row>
    <row r="195" spans="1:12" hidden="1" outlineLevel="3">
      <c r="A195" s="372"/>
      <c r="B195" s="376" t="s">
        <v>167</v>
      </c>
      <c r="C195" s="372" t="s">
        <v>121</v>
      </c>
      <c r="D195" s="372" t="s">
        <v>17</v>
      </c>
      <c r="E195" s="376" t="s">
        <v>127</v>
      </c>
      <c r="F195" s="422" t="s">
        <v>129</v>
      </c>
      <c r="G195" s="372"/>
      <c r="H195" s="377">
        <v>0.03</v>
      </c>
      <c r="I195" s="378">
        <v>1</v>
      </c>
      <c r="J195" s="372"/>
      <c r="K195" s="399">
        <f t="shared" si="25"/>
        <v>0</v>
      </c>
      <c r="L195" s="378"/>
    </row>
    <row r="196" spans="1:12" hidden="1" outlineLevel="2" collapsed="1">
      <c r="A196" s="372"/>
      <c r="B196" s="376" t="s">
        <v>167</v>
      </c>
      <c r="C196" s="372" t="s">
        <v>121</v>
      </c>
      <c r="D196" s="372" t="s">
        <v>25</v>
      </c>
      <c r="E196" s="372"/>
      <c r="F196" s="422" t="s">
        <v>77</v>
      </c>
      <c r="G196" s="372"/>
      <c r="H196" s="377">
        <f>SUM(H197:H201)</f>
        <v>0.38000000000000006</v>
      </c>
      <c r="I196" s="378">
        <f>SUM(I197:I201)</f>
        <v>5</v>
      </c>
      <c r="J196" s="372"/>
      <c r="K196" s="377">
        <f>SUM(K197:K201)</f>
        <v>0</v>
      </c>
      <c r="L196" s="378">
        <f>SUM(L197:L201)</f>
        <v>0</v>
      </c>
    </row>
    <row r="197" spans="1:12" hidden="1" outlineLevel="3">
      <c r="A197" s="372"/>
      <c r="B197" s="376" t="s">
        <v>167</v>
      </c>
      <c r="C197" s="372" t="s">
        <v>121</v>
      </c>
      <c r="D197" s="372" t="s">
        <v>25</v>
      </c>
      <c r="E197" s="372" t="s">
        <v>26</v>
      </c>
      <c r="F197" s="422" t="s">
        <v>170</v>
      </c>
      <c r="G197" s="372"/>
      <c r="H197" s="377">
        <v>0.08</v>
      </c>
      <c r="I197" s="378">
        <v>1</v>
      </c>
      <c r="J197" s="372"/>
      <c r="K197" s="399">
        <f t="shared" ref="K197:K201" si="26">IF(L197=1,H197,0)</f>
        <v>0</v>
      </c>
      <c r="L197" s="378"/>
    </row>
    <row r="198" spans="1:12" hidden="1" outlineLevel="3">
      <c r="A198" s="372"/>
      <c r="B198" s="376" t="s">
        <v>167</v>
      </c>
      <c r="C198" s="372" t="s">
        <v>121</v>
      </c>
      <c r="D198" s="372" t="s">
        <v>25</v>
      </c>
      <c r="E198" s="372" t="s">
        <v>26</v>
      </c>
      <c r="F198" s="422" t="s">
        <v>171</v>
      </c>
      <c r="G198" s="372"/>
      <c r="H198" s="399">
        <v>0.17</v>
      </c>
      <c r="I198" s="378">
        <v>1</v>
      </c>
      <c r="J198" s="372"/>
      <c r="K198" s="399">
        <f t="shared" si="26"/>
        <v>0</v>
      </c>
      <c r="L198" s="378"/>
    </row>
    <row r="199" spans="1:12" hidden="1" outlineLevel="3">
      <c r="A199" s="372"/>
      <c r="B199" s="376" t="s">
        <v>167</v>
      </c>
      <c r="C199" s="372" t="s">
        <v>121</v>
      </c>
      <c r="D199" s="372" t="s">
        <v>25</v>
      </c>
      <c r="E199" s="372" t="s">
        <v>26</v>
      </c>
      <c r="F199" s="422" t="s">
        <v>122</v>
      </c>
      <c r="G199" s="372"/>
      <c r="H199" s="377">
        <v>0.03</v>
      </c>
      <c r="I199" s="378">
        <v>1</v>
      </c>
      <c r="J199" s="372"/>
      <c r="K199" s="399">
        <f t="shared" si="26"/>
        <v>0</v>
      </c>
      <c r="L199" s="378"/>
    </row>
    <row r="200" spans="1:12" hidden="1" outlineLevel="3">
      <c r="A200" s="372"/>
      <c r="B200" s="376" t="s">
        <v>167</v>
      </c>
      <c r="C200" s="372" t="s">
        <v>121</v>
      </c>
      <c r="D200" s="372" t="s">
        <v>25</v>
      </c>
      <c r="E200" s="372" t="s">
        <v>26</v>
      </c>
      <c r="F200" s="422" t="s">
        <v>129</v>
      </c>
      <c r="G200" s="372"/>
      <c r="H200" s="377">
        <v>0.03</v>
      </c>
      <c r="I200" s="378">
        <v>1</v>
      </c>
      <c r="J200" s="372"/>
      <c r="K200" s="399">
        <f t="shared" si="26"/>
        <v>0</v>
      </c>
      <c r="L200" s="378"/>
    </row>
    <row r="201" spans="1:12" ht="26.4" hidden="1" outlineLevel="3">
      <c r="A201" s="372"/>
      <c r="B201" s="376" t="s">
        <v>167</v>
      </c>
      <c r="C201" s="372" t="s">
        <v>121</v>
      </c>
      <c r="D201" s="372" t="s">
        <v>25</v>
      </c>
      <c r="E201" s="372" t="s">
        <v>26</v>
      </c>
      <c r="F201" s="422" t="s">
        <v>172</v>
      </c>
      <c r="G201" s="372"/>
      <c r="H201" s="377">
        <v>7.0000000000000007E-2</v>
      </c>
      <c r="I201" s="378">
        <v>1</v>
      </c>
      <c r="J201" s="372"/>
      <c r="K201" s="399">
        <f t="shared" si="26"/>
        <v>0</v>
      </c>
      <c r="L201" s="378"/>
    </row>
    <row r="202" spans="1:12" hidden="1" outlineLevel="2" collapsed="1">
      <c r="A202" s="372"/>
      <c r="B202" s="376" t="s">
        <v>167</v>
      </c>
      <c r="C202" s="372" t="s">
        <v>121</v>
      </c>
      <c r="D202" s="372" t="s">
        <v>27</v>
      </c>
      <c r="E202" s="372"/>
      <c r="F202" s="422" t="s">
        <v>77</v>
      </c>
      <c r="G202" s="372"/>
      <c r="H202" s="377">
        <f>SUM(H203:H203)</f>
        <v>0.04</v>
      </c>
      <c r="I202" s="378">
        <f>SUM(I203:I203)</f>
        <v>1</v>
      </c>
      <c r="J202" s="372"/>
      <c r="K202" s="377">
        <f>SUM(K203:K203)</f>
        <v>0</v>
      </c>
      <c r="L202" s="378">
        <f>SUM(L203:L203)</f>
        <v>0</v>
      </c>
    </row>
    <row r="203" spans="1:12" hidden="1" outlineLevel="3">
      <c r="A203" s="372"/>
      <c r="B203" s="376" t="s">
        <v>167</v>
      </c>
      <c r="C203" s="372" t="s">
        <v>121</v>
      </c>
      <c r="D203" s="372" t="s">
        <v>27</v>
      </c>
      <c r="E203" s="372" t="s">
        <v>28</v>
      </c>
      <c r="F203" s="422" t="s">
        <v>129</v>
      </c>
      <c r="G203" s="372"/>
      <c r="H203" s="377">
        <v>0.04</v>
      </c>
      <c r="I203" s="378">
        <v>1</v>
      </c>
      <c r="J203" s="372"/>
      <c r="K203" s="399">
        <f>IF(L203=1,H203,0)</f>
        <v>0</v>
      </c>
      <c r="L203" s="378"/>
    </row>
    <row r="204" spans="1:12" hidden="1" outlineLevel="2">
      <c r="A204" s="372"/>
      <c r="B204" s="376" t="s">
        <v>167</v>
      </c>
      <c r="C204" s="372" t="s">
        <v>121</v>
      </c>
      <c r="D204" s="372" t="s">
        <v>58</v>
      </c>
      <c r="E204" s="372"/>
      <c r="F204" s="422" t="s">
        <v>77</v>
      </c>
      <c r="G204" s="372"/>
      <c r="H204" s="377"/>
      <c r="I204" s="378">
        <v>0</v>
      </c>
      <c r="J204" s="372"/>
      <c r="K204" s="377"/>
      <c r="L204" s="378">
        <v>0</v>
      </c>
    </row>
    <row r="205" spans="1:12" outlineLevel="1" collapsed="1">
      <c r="A205" s="372"/>
      <c r="B205" s="380" t="s">
        <v>173</v>
      </c>
      <c r="C205" s="380" t="s">
        <v>173</v>
      </c>
      <c r="D205" s="380"/>
      <c r="E205" s="380"/>
      <c r="F205" s="424" t="s">
        <v>174</v>
      </c>
      <c r="G205" s="372"/>
      <c r="H205" s="410">
        <f>SUM(H206+H207+H210+H215+H220)</f>
        <v>1.6448108219838975</v>
      </c>
      <c r="I205" s="396">
        <f>SUM(I206,I207,I210,I215,I220)</f>
        <v>13</v>
      </c>
      <c r="J205" s="372"/>
      <c r="K205" s="410">
        <f>SUM(K206+K207+K210+K215+K220)</f>
        <v>0.51594983709121256</v>
      </c>
      <c r="L205" s="396">
        <f>SUM(L206,L207,L210,L215,L220)</f>
        <v>7</v>
      </c>
    </row>
    <row r="206" spans="1:12" hidden="1" outlineLevel="2">
      <c r="A206" s="372"/>
      <c r="B206" s="376" t="s">
        <v>173</v>
      </c>
      <c r="C206" s="376" t="s">
        <v>173</v>
      </c>
      <c r="D206" s="372" t="s">
        <v>175</v>
      </c>
      <c r="E206" s="376"/>
      <c r="F206" s="422" t="s">
        <v>112</v>
      </c>
      <c r="G206" s="372"/>
      <c r="H206" s="399"/>
      <c r="I206" s="378"/>
      <c r="J206" s="372"/>
      <c r="K206" s="399"/>
      <c r="L206" s="378"/>
    </row>
    <row r="207" spans="1:12" hidden="1" outlineLevel="2" collapsed="1">
      <c r="A207" s="372"/>
      <c r="B207" s="376" t="s">
        <v>173</v>
      </c>
      <c r="C207" s="376" t="s">
        <v>173</v>
      </c>
      <c r="D207" s="372" t="s">
        <v>17</v>
      </c>
      <c r="E207" s="376"/>
      <c r="F207" s="422" t="s">
        <v>112</v>
      </c>
      <c r="G207" s="372"/>
      <c r="H207" s="377">
        <f>SUM(H208:H209)</f>
        <v>0.309550952606017</v>
      </c>
      <c r="I207" s="378">
        <f>SUM(I208:I209)</f>
        <v>2</v>
      </c>
      <c r="J207" s="372"/>
      <c r="K207" s="377">
        <f>SUM(K208:K209)</f>
        <v>0</v>
      </c>
      <c r="L207" s="378">
        <f>SUM(L208:L209)</f>
        <v>0</v>
      </c>
    </row>
    <row r="208" spans="1:12" hidden="1" outlineLevel="3">
      <c r="A208" s="372"/>
      <c r="B208" s="376" t="s">
        <v>173</v>
      </c>
      <c r="C208" s="376" t="s">
        <v>173</v>
      </c>
      <c r="D208" s="372" t="s">
        <v>17</v>
      </c>
      <c r="E208" s="376" t="s">
        <v>177</v>
      </c>
      <c r="F208" s="422" t="s">
        <v>107</v>
      </c>
      <c r="G208" s="372"/>
      <c r="H208" s="377">
        <v>0.1547754763030085</v>
      </c>
      <c r="I208" s="378">
        <v>1</v>
      </c>
      <c r="J208" s="372"/>
      <c r="K208" s="399">
        <f t="shared" ref="K208:K209" si="27">IF(L208=1,H208,0)</f>
        <v>0</v>
      </c>
      <c r="L208" s="378"/>
    </row>
    <row r="209" spans="1:12" hidden="1" outlineLevel="3">
      <c r="A209" s="372"/>
      <c r="B209" s="376" t="s">
        <v>173</v>
      </c>
      <c r="C209" s="376" t="s">
        <v>173</v>
      </c>
      <c r="D209" s="372" t="s">
        <v>17</v>
      </c>
      <c r="E209" s="376" t="s">
        <v>177</v>
      </c>
      <c r="F209" s="422" t="s">
        <v>108</v>
      </c>
      <c r="G209" s="372"/>
      <c r="H209" s="377">
        <v>0.1547754763030085</v>
      </c>
      <c r="I209" s="378">
        <v>1</v>
      </c>
      <c r="J209" s="372"/>
      <c r="K209" s="399">
        <f t="shared" si="27"/>
        <v>0</v>
      </c>
      <c r="L209" s="378"/>
    </row>
    <row r="210" spans="1:12" hidden="1" outlineLevel="2">
      <c r="A210" s="372"/>
      <c r="B210" s="376" t="s">
        <v>173</v>
      </c>
      <c r="C210" s="376" t="s">
        <v>173</v>
      </c>
      <c r="D210" s="372" t="s">
        <v>25</v>
      </c>
      <c r="E210" s="372"/>
      <c r="F210" s="422" t="s">
        <v>112</v>
      </c>
      <c r="G210" s="372"/>
      <c r="H210" s="399">
        <f>SUM(H211:H214)</f>
        <v>0.83171770678666779</v>
      </c>
      <c r="I210" s="378">
        <f>SUM(I211:I214)</f>
        <v>4</v>
      </c>
      <c r="J210" s="372"/>
      <c r="K210" s="399">
        <f>SUM(K211:K214)</f>
        <v>6.1981660819083066E-2</v>
      </c>
      <c r="L210" s="378">
        <f>SUM(L211:L214)</f>
        <v>1</v>
      </c>
    </row>
    <row r="211" spans="1:12" hidden="1" outlineLevel="3">
      <c r="A211" s="372"/>
      <c r="B211" s="376" t="s">
        <v>173</v>
      </c>
      <c r="C211" s="376" t="s">
        <v>173</v>
      </c>
      <c r="D211" s="372" t="s">
        <v>25</v>
      </c>
      <c r="E211" s="372" t="s">
        <v>26</v>
      </c>
      <c r="F211" s="422" t="s">
        <v>86</v>
      </c>
      <c r="G211" s="372"/>
      <c r="H211" s="377">
        <v>0.40295193575893268</v>
      </c>
      <c r="I211" s="378">
        <v>1</v>
      </c>
      <c r="J211" s="372"/>
      <c r="K211" s="399">
        <f t="shared" ref="K211:K214" si="28">IF(L211=1,H211,0)</f>
        <v>0</v>
      </c>
      <c r="L211" s="378"/>
    </row>
    <row r="212" spans="1:12" hidden="1" outlineLevel="3">
      <c r="A212" s="372"/>
      <c r="B212" s="376" t="s">
        <v>173</v>
      </c>
      <c r="C212" s="376" t="s">
        <v>173</v>
      </c>
      <c r="D212" s="372" t="s">
        <v>25</v>
      </c>
      <c r="E212" s="372" t="s">
        <v>26</v>
      </c>
      <c r="F212" s="422" t="s">
        <v>87</v>
      </c>
      <c r="G212" s="372"/>
      <c r="H212" s="377">
        <v>0.33579327979911056</v>
      </c>
      <c r="I212" s="378">
        <v>1</v>
      </c>
      <c r="J212" s="372"/>
      <c r="K212" s="399">
        <f t="shared" si="28"/>
        <v>0</v>
      </c>
      <c r="L212" s="378"/>
    </row>
    <row r="213" spans="1:12" hidden="1" outlineLevel="3">
      <c r="A213" s="372"/>
      <c r="B213" s="376" t="s">
        <v>173</v>
      </c>
      <c r="C213" s="376" t="s">
        <v>173</v>
      </c>
      <c r="D213" s="372" t="s">
        <v>25</v>
      </c>
      <c r="E213" s="372" t="s">
        <v>26</v>
      </c>
      <c r="F213" s="422" t="s">
        <v>107</v>
      </c>
      <c r="G213" s="372"/>
      <c r="H213" s="377">
        <v>3.0990830409541533E-2</v>
      </c>
      <c r="I213" s="378">
        <v>1</v>
      </c>
      <c r="J213" s="372"/>
      <c r="K213" s="399">
        <f t="shared" si="28"/>
        <v>0</v>
      </c>
      <c r="L213" s="378"/>
    </row>
    <row r="214" spans="1:12" hidden="1" outlineLevel="3">
      <c r="A214" s="372"/>
      <c r="B214" s="376" t="s">
        <v>173</v>
      </c>
      <c r="C214" s="376" t="s">
        <v>173</v>
      </c>
      <c r="D214" s="372" t="s">
        <v>25</v>
      </c>
      <c r="E214" s="372" t="s">
        <v>26</v>
      </c>
      <c r="F214" s="422" t="s">
        <v>88</v>
      </c>
      <c r="G214" s="372"/>
      <c r="H214" s="377">
        <v>6.1981660819083066E-2</v>
      </c>
      <c r="I214" s="378">
        <v>1</v>
      </c>
      <c r="J214" s="372"/>
      <c r="K214" s="399">
        <f t="shared" si="28"/>
        <v>6.1981660819083066E-2</v>
      </c>
      <c r="L214" s="378">
        <v>1</v>
      </c>
    </row>
    <row r="215" spans="1:12" hidden="1" outlineLevel="2" collapsed="1">
      <c r="A215" s="372"/>
      <c r="B215" s="376" t="s">
        <v>173</v>
      </c>
      <c r="C215" s="376" t="s">
        <v>173</v>
      </c>
      <c r="D215" s="372" t="s">
        <v>27</v>
      </c>
      <c r="E215" s="372"/>
      <c r="F215" s="422" t="s">
        <v>112</v>
      </c>
      <c r="G215" s="372"/>
      <c r="H215" s="399">
        <f>SUM(H216:H219)</f>
        <v>0.31744391791449839</v>
      </c>
      <c r="I215" s="378">
        <f>SUM(I216:I219)</f>
        <v>4</v>
      </c>
      <c r="J215" s="372"/>
      <c r="K215" s="399">
        <f>SUM(K216:K219)</f>
        <v>0.26786993159541533</v>
      </c>
      <c r="L215" s="378">
        <f>SUM(L216:L219)</f>
        <v>3</v>
      </c>
    </row>
    <row r="216" spans="1:12" hidden="1" outlineLevel="3">
      <c r="A216" s="372"/>
      <c r="B216" s="376" t="s">
        <v>173</v>
      </c>
      <c r="C216" s="376" t="s">
        <v>173</v>
      </c>
      <c r="D216" s="372" t="s">
        <v>27</v>
      </c>
      <c r="E216" s="372" t="s">
        <v>28</v>
      </c>
      <c r="F216" s="422" t="s">
        <v>178</v>
      </c>
      <c r="G216" s="372"/>
      <c r="H216" s="377">
        <v>0.17350895211679071</v>
      </c>
      <c r="I216" s="378">
        <v>1</v>
      </c>
      <c r="J216" s="372"/>
      <c r="K216" s="399">
        <f t="shared" ref="K216:K219" si="29">IF(L216=1,H216,0)</f>
        <v>0.17350895211679071</v>
      </c>
      <c r="L216" s="378">
        <v>1</v>
      </c>
    </row>
    <row r="217" spans="1:12" hidden="1" outlineLevel="3">
      <c r="A217" s="372"/>
      <c r="B217" s="376" t="s">
        <v>173</v>
      </c>
      <c r="C217" s="376" t="s">
        <v>173</v>
      </c>
      <c r="D217" s="372" t="s">
        <v>27</v>
      </c>
      <c r="E217" s="372" t="s">
        <v>28</v>
      </c>
      <c r="F217" s="422" t="s">
        <v>1826</v>
      </c>
      <c r="G217" s="372"/>
      <c r="H217" s="399">
        <v>7.4360979478624606E-2</v>
      </c>
      <c r="I217" s="397">
        <v>1</v>
      </c>
      <c r="J217" s="372"/>
      <c r="K217" s="399">
        <v>7.4360979478624606E-2</v>
      </c>
      <c r="L217" s="397">
        <v>1</v>
      </c>
    </row>
    <row r="218" spans="1:12" hidden="1" outlineLevel="3">
      <c r="A218" s="372"/>
      <c r="B218" s="376" t="s">
        <v>173</v>
      </c>
      <c r="C218" s="376" t="s">
        <v>173</v>
      </c>
      <c r="D218" s="372" t="s">
        <v>27</v>
      </c>
      <c r="E218" s="372" t="s">
        <v>28</v>
      </c>
      <c r="F218" s="422" t="s">
        <v>107</v>
      </c>
      <c r="G218" s="372"/>
      <c r="H218" s="377">
        <v>4.9573986319083066E-2</v>
      </c>
      <c r="I218" s="378">
        <v>1</v>
      </c>
      <c r="J218" s="372"/>
      <c r="K218" s="399">
        <f t="shared" si="29"/>
        <v>0</v>
      </c>
      <c r="L218" s="378"/>
    </row>
    <row r="219" spans="1:12" hidden="1" outlineLevel="3">
      <c r="A219" s="372"/>
      <c r="B219" s="376" t="s">
        <v>173</v>
      </c>
      <c r="C219" s="376" t="s">
        <v>173</v>
      </c>
      <c r="D219" s="372" t="s">
        <v>27</v>
      </c>
      <c r="E219" s="372" t="s">
        <v>28</v>
      </c>
      <c r="F219" s="422" t="s">
        <v>88</v>
      </c>
      <c r="G219" s="372"/>
      <c r="H219" s="377">
        <v>0.02</v>
      </c>
      <c r="I219" s="378">
        <v>1</v>
      </c>
      <c r="J219" s="372"/>
      <c r="K219" s="399">
        <f t="shared" si="29"/>
        <v>0.02</v>
      </c>
      <c r="L219" s="378">
        <v>1</v>
      </c>
    </row>
    <row r="220" spans="1:12" hidden="1" outlineLevel="2" collapsed="1">
      <c r="A220" s="372"/>
      <c r="B220" s="376" t="s">
        <v>173</v>
      </c>
      <c r="C220" s="376" t="s">
        <v>173</v>
      </c>
      <c r="D220" s="372" t="s">
        <v>58</v>
      </c>
      <c r="E220" s="372"/>
      <c r="F220" s="422" t="s">
        <v>112</v>
      </c>
      <c r="G220" s="372"/>
      <c r="H220" s="377">
        <f>SUM(H221:H223)</f>
        <v>0.18609824467671421</v>
      </c>
      <c r="I220" s="378">
        <f>SUM(I221:I223)</f>
        <v>3</v>
      </c>
      <c r="J220" s="372"/>
      <c r="K220" s="377">
        <f>SUM(K221:K223)</f>
        <v>0.18609824467671421</v>
      </c>
      <c r="L220" s="378">
        <f>SUM(L221:L223)</f>
        <v>3</v>
      </c>
    </row>
    <row r="221" spans="1:12" hidden="1" outlineLevel="3">
      <c r="A221" s="372"/>
      <c r="B221" s="376" t="s">
        <v>173</v>
      </c>
      <c r="C221" s="376" t="s">
        <v>173</v>
      </c>
      <c r="D221" s="372" t="s">
        <v>58</v>
      </c>
      <c r="E221" s="372" t="s">
        <v>28</v>
      </c>
      <c r="F221" s="422" t="s">
        <v>188</v>
      </c>
      <c r="G221" s="399">
        <v>9.7353721500000004E-2</v>
      </c>
      <c r="H221" s="399">
        <v>3.2451240499999999E-2</v>
      </c>
      <c r="I221" s="397">
        <v>1</v>
      </c>
      <c r="J221" s="379"/>
      <c r="K221" s="399">
        <v>3.2451240499999999E-2</v>
      </c>
      <c r="L221" s="397">
        <v>1</v>
      </c>
    </row>
    <row r="222" spans="1:12" hidden="1" outlineLevel="3">
      <c r="A222" s="372"/>
      <c r="B222" s="376" t="s">
        <v>173</v>
      </c>
      <c r="C222" s="376" t="s">
        <v>173</v>
      </c>
      <c r="D222" s="372" t="s">
        <v>58</v>
      </c>
      <c r="E222" s="372" t="s">
        <v>28</v>
      </c>
      <c r="F222" s="422" t="s">
        <v>1829</v>
      </c>
      <c r="G222" s="399"/>
      <c r="H222" s="399">
        <v>8.1128101250000001E-2</v>
      </c>
      <c r="I222" s="397">
        <v>1</v>
      </c>
      <c r="J222" s="379"/>
      <c r="K222" s="399">
        <v>8.1128101250000001E-2</v>
      </c>
      <c r="L222" s="397">
        <v>1</v>
      </c>
    </row>
    <row r="223" spans="1:12" hidden="1" outlineLevel="3">
      <c r="A223" s="372"/>
      <c r="B223" s="376" t="s">
        <v>173</v>
      </c>
      <c r="C223" s="376" t="s">
        <v>173</v>
      </c>
      <c r="D223" s="372" t="s">
        <v>58</v>
      </c>
      <c r="E223" s="372" t="s">
        <v>28</v>
      </c>
      <c r="F223" s="422" t="s">
        <v>108</v>
      </c>
      <c r="G223" s="372"/>
      <c r="H223" s="377">
        <v>7.2518902926714202E-2</v>
      </c>
      <c r="I223" s="378">
        <v>1</v>
      </c>
      <c r="J223" s="372"/>
      <c r="K223" s="399">
        <v>7.2518902926714202E-2</v>
      </c>
      <c r="L223" s="378">
        <v>1</v>
      </c>
    </row>
    <row r="224" spans="1:12" outlineLevel="1" collapsed="1">
      <c r="A224" s="372"/>
      <c r="B224" s="380" t="s">
        <v>179</v>
      </c>
      <c r="C224" s="385" t="s">
        <v>70</v>
      </c>
      <c r="D224" s="380"/>
      <c r="E224" s="380"/>
      <c r="F224" s="424" t="s">
        <v>180</v>
      </c>
      <c r="G224" s="372"/>
      <c r="H224" s="410">
        <f>SUM(H225:H225)</f>
        <v>0.03</v>
      </c>
      <c r="I224" s="396">
        <f t="shared" ref="I224:I225" si="30">SUM(I225)</f>
        <v>1</v>
      </c>
      <c r="J224" s="372"/>
      <c r="K224" s="410">
        <f>SUM(K225:K225)</f>
        <v>0</v>
      </c>
      <c r="L224" s="396">
        <f t="shared" ref="L224:L225" si="31">SUM(L225)</f>
        <v>0</v>
      </c>
    </row>
    <row r="225" spans="1:12" hidden="1" outlineLevel="2" collapsed="1">
      <c r="A225" s="372"/>
      <c r="B225" s="376" t="s">
        <v>179</v>
      </c>
      <c r="C225" s="372" t="s">
        <v>70</v>
      </c>
      <c r="D225" s="372" t="s">
        <v>25</v>
      </c>
      <c r="E225" s="372"/>
      <c r="F225" s="422" t="s">
        <v>77</v>
      </c>
      <c r="G225" s="372"/>
      <c r="H225" s="377">
        <f>SUM(H226)</f>
        <v>0.03</v>
      </c>
      <c r="I225" s="378">
        <f t="shared" si="30"/>
        <v>1</v>
      </c>
      <c r="J225" s="372"/>
      <c r="K225" s="377">
        <f>SUM(K226)</f>
        <v>0</v>
      </c>
      <c r="L225" s="378">
        <f t="shared" si="31"/>
        <v>0</v>
      </c>
    </row>
    <row r="226" spans="1:12" hidden="1" outlineLevel="3">
      <c r="A226" s="372"/>
      <c r="B226" s="376" t="s">
        <v>179</v>
      </c>
      <c r="C226" s="372" t="s">
        <v>70</v>
      </c>
      <c r="D226" s="372" t="s">
        <v>25</v>
      </c>
      <c r="E226" s="372" t="s">
        <v>26</v>
      </c>
      <c r="F226" s="422" t="s">
        <v>181</v>
      </c>
      <c r="G226" s="372"/>
      <c r="H226" s="377">
        <v>0.03</v>
      </c>
      <c r="I226" s="378">
        <v>1</v>
      </c>
      <c r="J226" s="372"/>
      <c r="K226" s="399">
        <f>IF(L226=1,H226,0)</f>
        <v>0</v>
      </c>
      <c r="L226" s="378"/>
    </row>
    <row r="227" spans="1:12" outlineLevel="1">
      <c r="A227" s="372"/>
      <c r="B227" s="386" t="s">
        <v>182</v>
      </c>
      <c r="C227" s="386" t="s">
        <v>182</v>
      </c>
      <c r="D227" s="386"/>
      <c r="E227" s="386"/>
      <c r="F227" s="424" t="s">
        <v>180</v>
      </c>
      <c r="G227" s="372"/>
      <c r="H227" s="408">
        <f>H228+H239+H256</f>
        <v>9.6589592526479322</v>
      </c>
      <c r="I227" s="409">
        <f>I228+I239+I256</f>
        <v>27</v>
      </c>
      <c r="J227" s="372"/>
      <c r="K227" s="408">
        <f>K228+K239+K256</f>
        <v>2.25123394992</v>
      </c>
      <c r="L227" s="409">
        <f>L228+L239+L256</f>
        <v>1</v>
      </c>
    </row>
    <row r="228" spans="1:12" outlineLevel="2">
      <c r="A228" s="372"/>
      <c r="B228" s="376" t="s">
        <v>182</v>
      </c>
      <c r="C228" s="376" t="s">
        <v>182</v>
      </c>
      <c r="D228" s="372" t="s">
        <v>17</v>
      </c>
      <c r="E228" s="387"/>
      <c r="F228" s="422" t="s">
        <v>183</v>
      </c>
      <c r="G228" s="372"/>
      <c r="H228" s="460">
        <f>SUM(H229:H238)</f>
        <v>5.8780133279200006</v>
      </c>
      <c r="I228" s="378">
        <f>SUM(I229:I238)</f>
        <v>10</v>
      </c>
      <c r="J228" s="372"/>
      <c r="K228" s="460">
        <f>SUM(K229:K238)</f>
        <v>0</v>
      </c>
      <c r="L228" s="378">
        <f>SUM(L229:L238)</f>
        <v>0</v>
      </c>
    </row>
    <row r="229" spans="1:12" outlineLevel="3">
      <c r="A229" s="372"/>
      <c r="B229" s="376" t="s">
        <v>182</v>
      </c>
      <c r="C229" s="376" t="s">
        <v>182</v>
      </c>
      <c r="D229" s="372" t="s">
        <v>17</v>
      </c>
      <c r="E229" s="387" t="s">
        <v>177</v>
      </c>
      <c r="F229" s="422" t="s">
        <v>184</v>
      </c>
      <c r="G229" s="372"/>
      <c r="H229" s="399">
        <v>0.22115071539599998</v>
      </c>
      <c r="I229" s="378">
        <v>1</v>
      </c>
      <c r="J229" s="372"/>
      <c r="K229" s="399">
        <f t="shared" ref="K229:K238" si="32">IF(L229=1,H229,0)</f>
        <v>0</v>
      </c>
      <c r="L229" s="378"/>
    </row>
    <row r="230" spans="1:12" outlineLevel="3">
      <c r="A230" s="372" t="s">
        <v>185</v>
      </c>
      <c r="B230" s="376" t="s">
        <v>182</v>
      </c>
      <c r="C230" s="376" t="s">
        <v>182</v>
      </c>
      <c r="D230" s="372" t="s">
        <v>17</v>
      </c>
      <c r="E230" s="387" t="s">
        <v>177</v>
      </c>
      <c r="F230" s="422" t="s">
        <v>186</v>
      </c>
      <c r="G230" s="372"/>
      <c r="H230" s="399">
        <v>7.3716905132000007E-2</v>
      </c>
      <c r="I230" s="397">
        <v>1</v>
      </c>
      <c r="J230" s="372"/>
      <c r="K230" s="399">
        <f t="shared" si="32"/>
        <v>0</v>
      </c>
      <c r="L230" s="397"/>
    </row>
    <row r="231" spans="1:12" outlineLevel="3">
      <c r="A231" s="372"/>
      <c r="B231" s="376" t="s">
        <v>182</v>
      </c>
      <c r="C231" s="376" t="s">
        <v>182</v>
      </c>
      <c r="D231" s="372" t="s">
        <v>17</v>
      </c>
      <c r="E231" s="387" t="s">
        <v>177</v>
      </c>
      <c r="F231" s="422" t="s">
        <v>187</v>
      </c>
      <c r="G231" s="372"/>
      <c r="H231" s="399">
        <v>7.3716905132000007E-2</v>
      </c>
      <c r="I231" s="378">
        <v>1</v>
      </c>
      <c r="J231" s="372"/>
      <c r="K231" s="399">
        <f t="shared" si="32"/>
        <v>0</v>
      </c>
      <c r="L231" s="378"/>
    </row>
    <row r="232" spans="1:12" outlineLevel="3">
      <c r="A232" s="372"/>
      <c r="B232" s="376" t="s">
        <v>182</v>
      </c>
      <c r="C232" s="376" t="s">
        <v>182</v>
      </c>
      <c r="D232" s="372" t="s">
        <v>17</v>
      </c>
      <c r="E232" s="387" t="s">
        <v>177</v>
      </c>
      <c r="F232" s="422" t="s">
        <v>190</v>
      </c>
      <c r="G232" s="372"/>
      <c r="H232" s="399">
        <v>6.4031962499999998E-2</v>
      </c>
      <c r="I232" s="378">
        <v>1</v>
      </c>
      <c r="J232" s="372"/>
      <c r="K232" s="399">
        <f t="shared" si="32"/>
        <v>0</v>
      </c>
      <c r="L232" s="378"/>
    </row>
    <row r="233" spans="1:12" outlineLevel="3">
      <c r="A233" s="372"/>
      <c r="B233" s="376" t="s">
        <v>182</v>
      </c>
      <c r="C233" s="376" t="s">
        <v>182</v>
      </c>
      <c r="D233" s="372" t="s">
        <v>17</v>
      </c>
      <c r="E233" s="387" t="s">
        <v>177</v>
      </c>
      <c r="F233" s="422" t="s">
        <v>191</v>
      </c>
      <c r="G233" s="372"/>
      <c r="H233" s="399">
        <v>0.54994955184000005</v>
      </c>
      <c r="I233" s="378">
        <v>1</v>
      </c>
      <c r="J233" s="372"/>
      <c r="K233" s="399">
        <f t="shared" si="32"/>
        <v>0</v>
      </c>
      <c r="L233" s="378"/>
    </row>
    <row r="234" spans="1:12" outlineLevel="3">
      <c r="A234" s="372"/>
      <c r="B234" s="376" t="s">
        <v>182</v>
      </c>
      <c r="C234" s="376" t="s">
        <v>182</v>
      </c>
      <c r="D234" s="372" t="s">
        <v>17</v>
      </c>
      <c r="E234" s="387" t="s">
        <v>177</v>
      </c>
      <c r="F234" s="422" t="s">
        <v>192</v>
      </c>
      <c r="G234" s="372"/>
      <c r="H234" s="399">
        <v>0.27497477592000003</v>
      </c>
      <c r="I234" s="378">
        <v>1</v>
      </c>
      <c r="J234" s="372"/>
      <c r="K234" s="399">
        <f t="shared" si="32"/>
        <v>0</v>
      </c>
      <c r="L234" s="378"/>
    </row>
    <row r="235" spans="1:12" outlineLevel="3">
      <c r="A235" s="372"/>
      <c r="B235" s="376" t="s">
        <v>182</v>
      </c>
      <c r="C235" s="376" t="s">
        <v>182</v>
      </c>
      <c r="D235" s="372" t="s">
        <v>17</v>
      </c>
      <c r="E235" s="387" t="s">
        <v>177</v>
      </c>
      <c r="F235" s="422" t="s">
        <v>193</v>
      </c>
      <c r="G235" s="372"/>
      <c r="H235" s="399">
        <v>2.2352362560000003</v>
      </c>
      <c r="I235" s="378">
        <v>1</v>
      </c>
      <c r="J235" s="372"/>
      <c r="K235" s="399">
        <f t="shared" si="32"/>
        <v>0</v>
      </c>
      <c r="L235" s="378"/>
    </row>
    <row r="236" spans="1:12" outlineLevel="3">
      <c r="A236" s="372"/>
      <c r="B236" s="376" t="s">
        <v>182</v>
      </c>
      <c r="C236" s="376" t="s">
        <v>182</v>
      </c>
      <c r="D236" s="372" t="s">
        <v>17</v>
      </c>
      <c r="E236" s="387" t="s">
        <v>177</v>
      </c>
      <c r="F236" s="422" t="s">
        <v>194</v>
      </c>
      <c r="G236" s="372"/>
      <c r="H236" s="399">
        <v>2.2352362560000003</v>
      </c>
      <c r="I236" s="378">
        <v>1</v>
      </c>
      <c r="J236" s="372"/>
      <c r="K236" s="399">
        <f t="shared" si="32"/>
        <v>0</v>
      </c>
      <c r="L236" s="378"/>
    </row>
    <row r="237" spans="1:12" outlineLevel="3">
      <c r="A237" s="372"/>
      <c r="B237" s="376" t="s">
        <v>182</v>
      </c>
      <c r="C237" s="376" t="s">
        <v>182</v>
      </c>
      <c r="D237" s="372" t="s">
        <v>17</v>
      </c>
      <c r="E237" s="387" t="s">
        <v>177</v>
      </c>
      <c r="F237" s="422" t="s">
        <v>195</v>
      </c>
      <c r="G237" s="372"/>
      <c r="H237" s="399">
        <v>0.1125</v>
      </c>
      <c r="I237" s="378">
        <v>1</v>
      </c>
      <c r="J237" s="372"/>
      <c r="K237" s="399">
        <f t="shared" si="32"/>
        <v>0</v>
      </c>
      <c r="L237" s="378"/>
    </row>
    <row r="238" spans="1:12" outlineLevel="3">
      <c r="A238" s="372"/>
      <c r="B238" s="376" t="s">
        <v>182</v>
      </c>
      <c r="C238" s="376" t="s">
        <v>182</v>
      </c>
      <c r="D238" s="372" t="s">
        <v>17</v>
      </c>
      <c r="E238" s="387" t="s">
        <v>177</v>
      </c>
      <c r="F238" s="422" t="s">
        <v>196</v>
      </c>
      <c r="G238" s="372"/>
      <c r="H238" s="399">
        <v>3.7499999999999999E-2</v>
      </c>
      <c r="I238" s="378">
        <v>1</v>
      </c>
      <c r="J238" s="372"/>
      <c r="K238" s="399">
        <f t="shared" si="32"/>
        <v>0</v>
      </c>
      <c r="L238" s="378"/>
    </row>
    <row r="239" spans="1:12" outlineLevel="2" collapsed="1">
      <c r="A239" s="372"/>
      <c r="B239" s="376" t="s">
        <v>182</v>
      </c>
      <c r="C239" s="376" t="s">
        <v>182</v>
      </c>
      <c r="D239" s="372" t="s">
        <v>25</v>
      </c>
      <c r="E239" s="372"/>
      <c r="F239" s="422" t="s">
        <v>183</v>
      </c>
      <c r="G239" s="372"/>
      <c r="H239" s="377">
        <f>SUM(H240:H255)</f>
        <v>3.7440925898400006</v>
      </c>
      <c r="I239" s="378">
        <f>SUM(I240:I255)</f>
        <v>16</v>
      </c>
      <c r="J239" s="372"/>
      <c r="K239" s="377">
        <f>SUM(K240:K255)</f>
        <v>2.25123394992</v>
      </c>
      <c r="L239" s="378">
        <f>SUM(L240:L255)</f>
        <v>1</v>
      </c>
    </row>
    <row r="240" spans="1:12" hidden="1" outlineLevel="3">
      <c r="A240" s="372"/>
      <c r="B240" s="376" t="s">
        <v>182</v>
      </c>
      <c r="C240" s="376" t="s">
        <v>182</v>
      </c>
      <c r="D240" s="372" t="s">
        <v>25</v>
      </c>
      <c r="E240" s="372" t="s">
        <v>26</v>
      </c>
      <c r="F240" s="422" t="s">
        <v>197</v>
      </c>
      <c r="G240" s="372"/>
      <c r="H240" s="399">
        <v>2.25123394992</v>
      </c>
      <c r="I240" s="378">
        <v>1</v>
      </c>
      <c r="J240" s="372"/>
      <c r="K240" s="399">
        <f t="shared" ref="K240:K255" si="33">IF(L240=1,H240,0)</f>
        <v>2.25123394992</v>
      </c>
      <c r="L240" s="378">
        <v>1</v>
      </c>
    </row>
    <row r="241" spans="1:12" hidden="1" outlineLevel="3">
      <c r="A241" s="372"/>
      <c r="B241" s="376" t="s">
        <v>182</v>
      </c>
      <c r="C241" s="376" t="s">
        <v>182</v>
      </c>
      <c r="D241" s="372" t="s">
        <v>25</v>
      </c>
      <c r="E241" s="372" t="s">
        <v>26</v>
      </c>
      <c r="F241" s="422" t="s">
        <v>191</v>
      </c>
      <c r="G241" s="372"/>
      <c r="H241" s="399">
        <v>0.5295810499200001</v>
      </c>
      <c r="I241" s="378">
        <v>1</v>
      </c>
      <c r="J241" s="372"/>
      <c r="K241" s="399">
        <f t="shared" si="33"/>
        <v>0</v>
      </c>
      <c r="L241" s="378"/>
    </row>
    <row r="242" spans="1:12" hidden="1" outlineLevel="3">
      <c r="A242" s="372"/>
      <c r="B242" s="376" t="s">
        <v>182</v>
      </c>
      <c r="C242" s="376" t="s">
        <v>182</v>
      </c>
      <c r="D242" s="372" t="s">
        <v>25</v>
      </c>
      <c r="E242" s="372" t="s">
        <v>26</v>
      </c>
      <c r="F242" s="422" t="s">
        <v>198</v>
      </c>
      <c r="G242" s="372"/>
      <c r="H242" s="399">
        <v>2.5612785000000002E-2</v>
      </c>
      <c r="I242" s="378">
        <v>1</v>
      </c>
      <c r="J242" s="372"/>
      <c r="K242" s="399">
        <f t="shared" si="33"/>
        <v>0</v>
      </c>
      <c r="L242" s="378"/>
    </row>
    <row r="243" spans="1:12" hidden="1" outlineLevel="3">
      <c r="A243" s="372"/>
      <c r="B243" s="376" t="s">
        <v>182</v>
      </c>
      <c r="C243" s="376" t="s">
        <v>182</v>
      </c>
      <c r="D243" s="372" t="s">
        <v>25</v>
      </c>
      <c r="E243" s="372" t="s">
        <v>26</v>
      </c>
      <c r="F243" s="422" t="s">
        <v>200</v>
      </c>
      <c r="G243" s="372"/>
      <c r="H243" s="399">
        <v>0.10833933000000003</v>
      </c>
      <c r="I243" s="378">
        <v>1</v>
      </c>
      <c r="J243" s="372"/>
      <c r="K243" s="399">
        <f t="shared" si="33"/>
        <v>0</v>
      </c>
      <c r="L243" s="378"/>
    </row>
    <row r="244" spans="1:12" hidden="1" outlineLevel="3">
      <c r="A244" s="372"/>
      <c r="B244" s="376" t="s">
        <v>182</v>
      </c>
      <c r="C244" s="376" t="s">
        <v>182</v>
      </c>
      <c r="D244" s="372" t="s">
        <v>25</v>
      </c>
      <c r="E244" s="372" t="s">
        <v>26</v>
      </c>
      <c r="F244" s="422" t="s">
        <v>201</v>
      </c>
      <c r="G244" s="372"/>
      <c r="H244" s="399">
        <v>5.4169665000000013E-2</v>
      </c>
      <c r="I244" s="378">
        <v>1</v>
      </c>
      <c r="J244" s="372"/>
      <c r="K244" s="399">
        <f t="shared" si="33"/>
        <v>0</v>
      </c>
      <c r="L244" s="378"/>
    </row>
    <row r="245" spans="1:12" hidden="1" outlineLevel="3">
      <c r="A245" s="372"/>
      <c r="B245" s="376" t="s">
        <v>182</v>
      </c>
      <c r="C245" s="376" t="s">
        <v>182</v>
      </c>
      <c r="D245" s="372" t="s">
        <v>25</v>
      </c>
      <c r="E245" s="372" t="s">
        <v>26</v>
      </c>
      <c r="F245" s="422" t="s">
        <v>203</v>
      </c>
      <c r="G245" s="372"/>
      <c r="H245" s="399">
        <v>0.10833933000000003</v>
      </c>
      <c r="I245" s="378">
        <v>1</v>
      </c>
      <c r="J245" s="372"/>
      <c r="K245" s="399">
        <f t="shared" si="33"/>
        <v>0</v>
      </c>
      <c r="L245" s="378"/>
    </row>
    <row r="246" spans="1:12" hidden="1" outlineLevel="3">
      <c r="A246" s="372"/>
      <c r="B246" s="376" t="s">
        <v>182</v>
      </c>
      <c r="C246" s="376" t="s">
        <v>182</v>
      </c>
      <c r="D246" s="372" t="s">
        <v>25</v>
      </c>
      <c r="E246" s="372" t="s">
        <v>26</v>
      </c>
      <c r="F246" s="422" t="s">
        <v>205</v>
      </c>
      <c r="G246" s="372"/>
      <c r="H246" s="399">
        <v>5.4169665000000013E-2</v>
      </c>
      <c r="I246" s="378">
        <v>1</v>
      </c>
      <c r="J246" s="372"/>
      <c r="K246" s="399">
        <f t="shared" si="33"/>
        <v>0</v>
      </c>
      <c r="L246" s="378"/>
    </row>
    <row r="247" spans="1:12" hidden="1" outlineLevel="3">
      <c r="A247" s="372"/>
      <c r="B247" s="376" t="s">
        <v>182</v>
      </c>
      <c r="C247" s="376" t="s">
        <v>182</v>
      </c>
      <c r="D247" s="372" t="s">
        <v>25</v>
      </c>
      <c r="E247" s="372" t="s">
        <v>26</v>
      </c>
      <c r="F247" s="422" t="s">
        <v>207</v>
      </c>
      <c r="G247" s="372"/>
      <c r="H247" s="399">
        <v>0.10833933000000003</v>
      </c>
      <c r="I247" s="378">
        <v>1</v>
      </c>
      <c r="J247" s="372"/>
      <c r="K247" s="399">
        <f t="shared" si="33"/>
        <v>0</v>
      </c>
      <c r="L247" s="378"/>
    </row>
    <row r="248" spans="1:12" hidden="1" outlineLevel="3">
      <c r="A248" s="372"/>
      <c r="B248" s="376" t="s">
        <v>182</v>
      </c>
      <c r="C248" s="376" t="s">
        <v>182</v>
      </c>
      <c r="D248" s="372" t="s">
        <v>25</v>
      </c>
      <c r="E248" s="372" t="s">
        <v>26</v>
      </c>
      <c r="F248" s="422" t="s">
        <v>208</v>
      </c>
      <c r="G248" s="372"/>
      <c r="H248" s="399">
        <v>5.4169665000000013E-2</v>
      </c>
      <c r="I248" s="378">
        <v>1</v>
      </c>
      <c r="J248" s="372"/>
      <c r="K248" s="399">
        <f t="shared" si="33"/>
        <v>0</v>
      </c>
      <c r="L248" s="378"/>
    </row>
    <row r="249" spans="1:12" hidden="1" outlineLevel="3">
      <c r="A249" s="372"/>
      <c r="B249" s="376" t="s">
        <v>182</v>
      </c>
      <c r="C249" s="376" t="s">
        <v>182</v>
      </c>
      <c r="D249" s="372" t="s">
        <v>25</v>
      </c>
      <c r="E249" s="372" t="s">
        <v>26</v>
      </c>
      <c r="F249" s="422" t="s">
        <v>210</v>
      </c>
      <c r="G249" s="372"/>
      <c r="H249" s="399">
        <v>0.10833933000000003</v>
      </c>
      <c r="I249" s="378">
        <v>1</v>
      </c>
      <c r="J249" s="372"/>
      <c r="K249" s="399">
        <f t="shared" si="33"/>
        <v>0</v>
      </c>
      <c r="L249" s="378"/>
    </row>
    <row r="250" spans="1:12" hidden="1" outlineLevel="3">
      <c r="A250" s="372"/>
      <c r="B250" s="376" t="s">
        <v>182</v>
      </c>
      <c r="C250" s="376" t="s">
        <v>182</v>
      </c>
      <c r="D250" s="372" t="s">
        <v>25</v>
      </c>
      <c r="E250" s="372" t="s">
        <v>26</v>
      </c>
      <c r="F250" s="422" t="s">
        <v>211</v>
      </c>
      <c r="G250" s="372"/>
      <c r="H250" s="399">
        <v>0.10833933000000003</v>
      </c>
      <c r="I250" s="378">
        <v>1</v>
      </c>
      <c r="J250" s="372"/>
      <c r="K250" s="399">
        <f t="shared" si="33"/>
        <v>0</v>
      </c>
      <c r="L250" s="378"/>
    </row>
    <row r="251" spans="1:12" hidden="1" outlineLevel="3">
      <c r="A251" s="372"/>
      <c r="B251" s="376" t="s">
        <v>182</v>
      </c>
      <c r="C251" s="376" t="s">
        <v>182</v>
      </c>
      <c r="D251" s="372" t="s">
        <v>25</v>
      </c>
      <c r="E251" s="372" t="s">
        <v>26</v>
      </c>
      <c r="F251" s="422" t="s">
        <v>212</v>
      </c>
      <c r="G251" s="372"/>
      <c r="H251" s="399">
        <v>5.4169665000000013E-2</v>
      </c>
      <c r="I251" s="378">
        <v>1</v>
      </c>
      <c r="J251" s="372"/>
      <c r="K251" s="399">
        <f t="shared" si="33"/>
        <v>0</v>
      </c>
      <c r="L251" s="378"/>
    </row>
    <row r="252" spans="1:12" hidden="1" outlineLevel="3">
      <c r="A252" s="372"/>
      <c r="B252" s="376" t="s">
        <v>182</v>
      </c>
      <c r="C252" s="376" t="s">
        <v>182</v>
      </c>
      <c r="D252" s="372" t="s">
        <v>25</v>
      </c>
      <c r="E252" s="372" t="s">
        <v>26</v>
      </c>
      <c r="F252" s="422" t="s">
        <v>214</v>
      </c>
      <c r="G252" s="372"/>
      <c r="H252" s="399">
        <v>5.1225570000000005E-2</v>
      </c>
      <c r="I252" s="378">
        <v>1</v>
      </c>
      <c r="J252" s="372"/>
      <c r="K252" s="399">
        <f t="shared" si="33"/>
        <v>0</v>
      </c>
      <c r="L252" s="378"/>
    </row>
    <row r="253" spans="1:12" hidden="1" outlineLevel="3">
      <c r="A253" s="372"/>
      <c r="B253" s="376" t="s">
        <v>182</v>
      </c>
      <c r="C253" s="376" t="s">
        <v>182</v>
      </c>
      <c r="D253" s="372" t="s">
        <v>25</v>
      </c>
      <c r="E253" s="372" t="s">
        <v>26</v>
      </c>
      <c r="F253" s="422" t="s">
        <v>215</v>
      </c>
      <c r="G253" s="372"/>
      <c r="H253" s="399">
        <v>5.1225570000000005E-2</v>
      </c>
      <c r="I253" s="378">
        <v>1</v>
      </c>
      <c r="J253" s="372"/>
      <c r="K253" s="399">
        <f t="shared" si="33"/>
        <v>0</v>
      </c>
      <c r="L253" s="378"/>
    </row>
    <row r="254" spans="1:12" hidden="1" outlineLevel="3">
      <c r="A254" s="372"/>
      <c r="B254" s="376" t="s">
        <v>182</v>
      </c>
      <c r="C254" s="376" t="s">
        <v>182</v>
      </c>
      <c r="D254" s="372" t="s">
        <v>25</v>
      </c>
      <c r="E254" s="372" t="s">
        <v>26</v>
      </c>
      <c r="F254" s="422" t="s">
        <v>216</v>
      </c>
      <c r="G254" s="372"/>
      <c r="H254" s="399">
        <v>5.1225570000000005E-2</v>
      </c>
      <c r="I254" s="378">
        <v>1</v>
      </c>
      <c r="J254" s="372"/>
      <c r="K254" s="399">
        <f t="shared" si="33"/>
        <v>0</v>
      </c>
      <c r="L254" s="378"/>
    </row>
    <row r="255" spans="1:12" hidden="1" outlineLevel="3">
      <c r="A255" s="372"/>
      <c r="B255" s="376" t="s">
        <v>182</v>
      </c>
      <c r="C255" s="376" t="s">
        <v>182</v>
      </c>
      <c r="D255" s="372" t="s">
        <v>25</v>
      </c>
      <c r="E255" s="372" t="s">
        <v>26</v>
      </c>
      <c r="F255" s="422" t="s">
        <v>217</v>
      </c>
      <c r="G255" s="372"/>
      <c r="H255" s="399">
        <v>2.5612785000000002E-2</v>
      </c>
      <c r="I255" s="378">
        <v>1</v>
      </c>
      <c r="J255" s="372"/>
      <c r="K255" s="399">
        <f t="shared" si="33"/>
        <v>0</v>
      </c>
      <c r="L255" s="378"/>
    </row>
    <row r="256" spans="1:12" outlineLevel="2" collapsed="1">
      <c r="A256" s="372"/>
      <c r="B256" s="376" t="s">
        <v>182</v>
      </c>
      <c r="C256" s="376" t="s">
        <v>182</v>
      </c>
      <c r="D256" s="372" t="s">
        <v>27</v>
      </c>
      <c r="E256" s="372"/>
      <c r="F256" s="422" t="s">
        <v>183</v>
      </c>
      <c r="G256" s="372"/>
      <c r="H256" s="377">
        <f>SUM(H257:H257)</f>
        <v>3.6853334887931043E-2</v>
      </c>
      <c r="I256" s="378">
        <f>SUM(I257:I257)</f>
        <v>1</v>
      </c>
      <c r="J256" s="372"/>
      <c r="K256" s="377">
        <f>SUM(K257:K257)</f>
        <v>0</v>
      </c>
      <c r="L256" s="378">
        <f>SUM(L257:L257)</f>
        <v>0</v>
      </c>
    </row>
    <row r="257" spans="1:12" hidden="1" outlineLevel="3">
      <c r="A257" s="372"/>
      <c r="B257" s="376" t="s">
        <v>182</v>
      </c>
      <c r="C257" s="376" t="s">
        <v>182</v>
      </c>
      <c r="D257" s="372" t="s">
        <v>27</v>
      </c>
      <c r="E257" s="372" t="s">
        <v>28</v>
      </c>
      <c r="F257" s="422" t="s">
        <v>220</v>
      </c>
      <c r="G257" s="372"/>
      <c r="H257" s="399">
        <v>3.6853334887931043E-2</v>
      </c>
      <c r="I257" s="378">
        <v>1</v>
      </c>
      <c r="J257" s="372"/>
      <c r="K257" s="399">
        <f>IF(L257=1,H257,0)</f>
        <v>0</v>
      </c>
      <c r="L257" s="378"/>
    </row>
    <row r="258" spans="1:12" outlineLevel="1" collapsed="1">
      <c r="A258" s="372"/>
      <c r="B258" s="380" t="s">
        <v>222</v>
      </c>
      <c r="C258" s="380" t="s">
        <v>222</v>
      </c>
      <c r="D258" s="380"/>
      <c r="E258" s="380"/>
      <c r="F258" s="424" t="s">
        <v>223</v>
      </c>
      <c r="G258" s="372"/>
      <c r="H258" s="410">
        <f>SUM(H259,H269,H276,H279)</f>
        <v>1.2186362892862301</v>
      </c>
      <c r="I258" s="396">
        <f>I259+I269+I276+I279</f>
        <v>17</v>
      </c>
      <c r="J258" s="372"/>
      <c r="K258" s="410">
        <f>SUM(K259,K269,K276,K279)</f>
        <v>0</v>
      </c>
      <c r="L258" s="396">
        <f>L259+L269+L276+L279</f>
        <v>0</v>
      </c>
    </row>
    <row r="259" spans="1:12" hidden="1" outlineLevel="2" collapsed="1">
      <c r="A259" s="372"/>
      <c r="B259" s="376" t="s">
        <v>222</v>
      </c>
      <c r="C259" s="376" t="s">
        <v>222</v>
      </c>
      <c r="D259" s="372" t="s">
        <v>17</v>
      </c>
      <c r="E259" s="376"/>
      <c r="F259" s="422" t="s">
        <v>77</v>
      </c>
      <c r="G259" s="372"/>
      <c r="H259" s="377">
        <f>SUM(H260:H268)</f>
        <v>0.85178143075061052</v>
      </c>
      <c r="I259" s="378">
        <f>SUBTOTAL(9,I260:I268)</f>
        <v>9</v>
      </c>
      <c r="J259" s="372"/>
      <c r="K259" s="377">
        <f>SUM(K260:K268)</f>
        <v>0</v>
      </c>
      <c r="L259" s="378">
        <f>SUBTOTAL(9,L260:L268)</f>
        <v>0</v>
      </c>
    </row>
    <row r="260" spans="1:12" hidden="1" outlineLevel="3">
      <c r="A260" s="372"/>
      <c r="B260" s="376" t="s">
        <v>222</v>
      </c>
      <c r="C260" s="376" t="s">
        <v>222</v>
      </c>
      <c r="D260" s="372" t="s">
        <v>17</v>
      </c>
      <c r="E260" s="376" t="s">
        <v>177</v>
      </c>
      <c r="F260" s="422" t="s">
        <v>224</v>
      </c>
      <c r="G260" s="372"/>
      <c r="H260" s="377">
        <v>0.25575333042562204</v>
      </c>
      <c r="I260" s="378">
        <v>1</v>
      </c>
      <c r="J260" s="372"/>
      <c r="K260" s="399">
        <f t="shared" ref="K260:K268" si="34">IF(L260=1,H260,0)</f>
        <v>0</v>
      </c>
      <c r="L260" s="378"/>
    </row>
    <row r="261" spans="1:12" hidden="1" outlineLevel="3">
      <c r="A261" s="372"/>
      <c r="B261" s="376" t="s">
        <v>222</v>
      </c>
      <c r="C261" s="376" t="s">
        <v>222</v>
      </c>
      <c r="D261" s="372" t="s">
        <v>17</v>
      </c>
      <c r="E261" s="376" t="s">
        <v>177</v>
      </c>
      <c r="F261" s="422" t="s">
        <v>178</v>
      </c>
      <c r="G261" s="372"/>
      <c r="H261" s="377">
        <v>8.1564148364617506E-2</v>
      </c>
      <c r="I261" s="378">
        <v>1</v>
      </c>
      <c r="J261" s="372"/>
      <c r="K261" s="399">
        <f t="shared" si="34"/>
        <v>0</v>
      </c>
      <c r="L261" s="378"/>
    </row>
    <row r="262" spans="1:12" hidden="1" outlineLevel="3">
      <c r="A262" s="372"/>
      <c r="B262" s="376" t="s">
        <v>222</v>
      </c>
      <c r="C262" s="376" t="s">
        <v>222</v>
      </c>
      <c r="D262" s="372" t="s">
        <v>17</v>
      </c>
      <c r="E262" s="376" t="s">
        <v>177</v>
      </c>
      <c r="F262" s="422" t="s">
        <v>44</v>
      </c>
      <c r="G262" s="372"/>
      <c r="H262" s="377">
        <v>0.18696938245168926</v>
      </c>
      <c r="I262" s="378">
        <v>1</v>
      </c>
      <c r="J262" s="372"/>
      <c r="K262" s="399">
        <f t="shared" si="34"/>
        <v>0</v>
      </c>
      <c r="L262" s="378"/>
    </row>
    <row r="263" spans="1:12" hidden="1" outlineLevel="3">
      <c r="A263" s="372"/>
      <c r="B263" s="376" t="s">
        <v>222</v>
      </c>
      <c r="C263" s="376" t="s">
        <v>222</v>
      </c>
      <c r="D263" s="372" t="s">
        <v>17</v>
      </c>
      <c r="E263" s="376" t="s">
        <v>177</v>
      </c>
      <c r="F263" s="422" t="s">
        <v>107</v>
      </c>
      <c r="G263" s="372"/>
      <c r="H263" s="377">
        <v>2.7188049454872507E-2</v>
      </c>
      <c r="I263" s="378">
        <v>1</v>
      </c>
      <c r="J263" s="372"/>
      <c r="K263" s="399">
        <f t="shared" si="34"/>
        <v>0</v>
      </c>
      <c r="L263" s="378"/>
    </row>
    <row r="264" spans="1:12" hidden="1" outlineLevel="3">
      <c r="A264" s="372"/>
      <c r="B264" s="376" t="s">
        <v>222</v>
      </c>
      <c r="C264" s="376" t="s">
        <v>222</v>
      </c>
      <c r="D264" s="372" t="s">
        <v>17</v>
      </c>
      <c r="E264" s="376" t="s">
        <v>177</v>
      </c>
      <c r="F264" s="422" t="s">
        <v>65</v>
      </c>
      <c r="G264" s="372"/>
      <c r="H264" s="377">
        <v>0.11218162947101355</v>
      </c>
      <c r="I264" s="378">
        <v>1</v>
      </c>
      <c r="J264" s="372"/>
      <c r="K264" s="399">
        <f t="shared" si="34"/>
        <v>0</v>
      </c>
      <c r="L264" s="378"/>
    </row>
    <row r="265" spans="1:12" hidden="1" outlineLevel="3">
      <c r="A265" s="372"/>
      <c r="B265" s="376" t="s">
        <v>222</v>
      </c>
      <c r="C265" s="376" t="s">
        <v>222</v>
      </c>
      <c r="D265" s="372" t="s">
        <v>17</v>
      </c>
      <c r="E265" s="376" t="s">
        <v>177</v>
      </c>
      <c r="F265" s="422" t="s">
        <v>23</v>
      </c>
      <c r="G265" s="372"/>
      <c r="H265" s="377">
        <v>3.7393876490337853E-2</v>
      </c>
      <c r="I265" s="378">
        <v>1</v>
      </c>
      <c r="J265" s="372"/>
      <c r="K265" s="399">
        <f t="shared" si="34"/>
        <v>0</v>
      </c>
      <c r="L265" s="378"/>
    </row>
    <row r="266" spans="1:12" hidden="1" outlineLevel="3">
      <c r="A266" s="372"/>
      <c r="B266" s="376" t="s">
        <v>222</v>
      </c>
      <c r="C266" s="376" t="s">
        <v>222</v>
      </c>
      <c r="D266" s="372" t="s">
        <v>17</v>
      </c>
      <c r="E266" s="376" t="s">
        <v>177</v>
      </c>
      <c r="F266" s="422" t="s">
        <v>66</v>
      </c>
      <c r="G266" s="372"/>
      <c r="H266" s="377">
        <v>3.7393876490337853E-2</v>
      </c>
      <c r="I266" s="378">
        <v>1</v>
      </c>
      <c r="J266" s="372"/>
      <c r="K266" s="399">
        <f t="shared" si="34"/>
        <v>0</v>
      </c>
      <c r="L266" s="378"/>
    </row>
    <row r="267" spans="1:12" hidden="1" outlineLevel="3">
      <c r="A267" s="372"/>
      <c r="B267" s="376" t="s">
        <v>222</v>
      </c>
      <c r="C267" s="376" t="s">
        <v>222</v>
      </c>
      <c r="D267" s="372" t="s">
        <v>17</v>
      </c>
      <c r="E267" s="376" t="s">
        <v>177</v>
      </c>
      <c r="F267" s="422" t="s">
        <v>24</v>
      </c>
      <c r="G267" s="372"/>
      <c r="H267" s="377">
        <v>2.7188049454872507E-2</v>
      </c>
      <c r="I267" s="378">
        <v>1</v>
      </c>
      <c r="J267" s="372"/>
      <c r="K267" s="399">
        <f t="shared" si="34"/>
        <v>0</v>
      </c>
      <c r="L267" s="378"/>
    </row>
    <row r="268" spans="1:12" hidden="1" outlineLevel="3">
      <c r="A268" s="372"/>
      <c r="B268" s="376" t="s">
        <v>222</v>
      </c>
      <c r="C268" s="376" t="s">
        <v>222</v>
      </c>
      <c r="D268" s="372" t="s">
        <v>17</v>
      </c>
      <c r="E268" s="376" t="s">
        <v>177</v>
      </c>
      <c r="F268" s="422" t="s">
        <v>226</v>
      </c>
      <c r="G268" s="372"/>
      <c r="H268" s="400">
        <v>8.6149088147247421E-2</v>
      </c>
      <c r="I268" s="395">
        <v>1</v>
      </c>
      <c r="J268" s="372"/>
      <c r="K268" s="399">
        <f t="shared" si="34"/>
        <v>0</v>
      </c>
      <c r="L268" s="395"/>
    </row>
    <row r="269" spans="1:12" hidden="1" outlineLevel="2" collapsed="1">
      <c r="A269" s="372"/>
      <c r="B269" s="376" t="s">
        <v>222</v>
      </c>
      <c r="C269" s="376" t="s">
        <v>222</v>
      </c>
      <c r="D269" s="372" t="s">
        <v>25</v>
      </c>
      <c r="E269" s="372"/>
      <c r="F269" s="422" t="s">
        <v>77</v>
      </c>
      <c r="G269" s="372"/>
      <c r="H269" s="377">
        <f>SUM(H270:H275)</f>
        <v>0.34545700083561953</v>
      </c>
      <c r="I269" s="378">
        <f>SUBTOTAL(9,I270:I275)</f>
        <v>6</v>
      </c>
      <c r="J269" s="372"/>
      <c r="K269" s="377">
        <f>SUM(K270:K275)</f>
        <v>0</v>
      </c>
      <c r="L269" s="378">
        <f>SUBTOTAL(9,L270:L275)</f>
        <v>0</v>
      </c>
    </row>
    <row r="270" spans="1:12" hidden="1" outlineLevel="3">
      <c r="A270" s="372"/>
      <c r="B270" s="376" t="s">
        <v>222</v>
      </c>
      <c r="C270" s="376" t="s">
        <v>222</v>
      </c>
      <c r="D270" s="372" t="s">
        <v>25</v>
      </c>
      <c r="E270" s="372" t="s">
        <v>26</v>
      </c>
      <c r="F270" s="422" t="s">
        <v>228</v>
      </c>
      <c r="G270" s="372"/>
      <c r="H270" s="377">
        <v>0.20115878538561949</v>
      </c>
      <c r="I270" s="378">
        <v>1</v>
      </c>
      <c r="J270" s="372"/>
      <c r="K270" s="399">
        <f t="shared" ref="K270:K275" si="35">IF(L270=1,H270,0)</f>
        <v>0</v>
      </c>
      <c r="L270" s="378"/>
    </row>
    <row r="271" spans="1:12" hidden="1" outlineLevel="3">
      <c r="A271" s="372"/>
      <c r="B271" s="376" t="s">
        <v>222</v>
      </c>
      <c r="C271" s="376" t="s">
        <v>222</v>
      </c>
      <c r="D271" s="372" t="s">
        <v>25</v>
      </c>
      <c r="E271" s="372" t="s">
        <v>26</v>
      </c>
      <c r="F271" s="422" t="s">
        <v>65</v>
      </c>
      <c r="G271" s="372"/>
      <c r="H271" s="377">
        <v>5.8456730700000001E-2</v>
      </c>
      <c r="I271" s="378">
        <v>1</v>
      </c>
      <c r="J271" s="372"/>
      <c r="K271" s="399">
        <f t="shared" si="35"/>
        <v>0</v>
      </c>
      <c r="L271" s="378"/>
    </row>
    <row r="272" spans="1:12" hidden="1" outlineLevel="3">
      <c r="A272" s="372"/>
      <c r="B272" s="376" t="s">
        <v>222</v>
      </c>
      <c r="C272" s="376" t="s">
        <v>222</v>
      </c>
      <c r="D272" s="372" t="s">
        <v>25</v>
      </c>
      <c r="E272" s="372" t="s">
        <v>26</v>
      </c>
      <c r="F272" s="422" t="s">
        <v>23</v>
      </c>
      <c r="G272" s="372"/>
      <c r="H272" s="377">
        <v>4.8713942250000003E-2</v>
      </c>
      <c r="I272" s="378">
        <v>1</v>
      </c>
      <c r="J272" s="372"/>
      <c r="K272" s="399">
        <f t="shared" si="35"/>
        <v>0</v>
      </c>
      <c r="L272" s="378"/>
    </row>
    <row r="273" spans="1:12" hidden="1" outlineLevel="3">
      <c r="A273" s="372"/>
      <c r="B273" s="376" t="s">
        <v>222</v>
      </c>
      <c r="C273" s="376" t="s">
        <v>222</v>
      </c>
      <c r="D273" s="372" t="s">
        <v>25</v>
      </c>
      <c r="E273" s="372" t="s">
        <v>26</v>
      </c>
      <c r="F273" s="422" t="s">
        <v>178</v>
      </c>
      <c r="G273" s="372"/>
      <c r="H273" s="377">
        <v>2.5989279749999997E-2</v>
      </c>
      <c r="I273" s="378">
        <v>1</v>
      </c>
      <c r="J273" s="372"/>
      <c r="K273" s="399">
        <f t="shared" si="35"/>
        <v>0</v>
      </c>
      <c r="L273" s="378"/>
    </row>
    <row r="274" spans="1:12" hidden="1" outlineLevel="3">
      <c r="A274" s="372"/>
      <c r="B274" s="376" t="s">
        <v>222</v>
      </c>
      <c r="C274" s="376" t="s">
        <v>222</v>
      </c>
      <c r="D274" s="372" t="s">
        <v>25</v>
      </c>
      <c r="E274" s="372" t="s">
        <v>26</v>
      </c>
      <c r="F274" s="422" t="s">
        <v>107</v>
      </c>
      <c r="G274" s="372"/>
      <c r="H274" s="377">
        <v>3.7127542499999998E-3</v>
      </c>
      <c r="I274" s="378">
        <v>1</v>
      </c>
      <c r="J274" s="372"/>
      <c r="K274" s="399">
        <f t="shared" si="35"/>
        <v>0</v>
      </c>
      <c r="L274" s="378"/>
    </row>
    <row r="275" spans="1:12" hidden="1" outlineLevel="3">
      <c r="A275" s="372"/>
      <c r="B275" s="376" t="s">
        <v>222</v>
      </c>
      <c r="C275" s="376" t="s">
        <v>222</v>
      </c>
      <c r="D275" s="372" t="s">
        <v>25</v>
      </c>
      <c r="E275" s="372" t="s">
        <v>26</v>
      </c>
      <c r="F275" s="422" t="s">
        <v>230</v>
      </c>
      <c r="G275" s="372"/>
      <c r="H275" s="377">
        <v>7.4255085000000005E-3</v>
      </c>
      <c r="I275" s="378">
        <v>1</v>
      </c>
      <c r="J275" s="372"/>
      <c r="K275" s="399">
        <f t="shared" si="35"/>
        <v>0</v>
      </c>
      <c r="L275" s="378"/>
    </row>
    <row r="276" spans="1:12" hidden="1" outlineLevel="2" collapsed="1">
      <c r="A276" s="372"/>
      <c r="B276" s="376" t="s">
        <v>222</v>
      </c>
      <c r="C276" s="376" t="s">
        <v>222</v>
      </c>
      <c r="D276" s="372" t="s">
        <v>27</v>
      </c>
      <c r="E276" s="372"/>
      <c r="F276" s="422" t="s">
        <v>77</v>
      </c>
      <c r="G276" s="372"/>
      <c r="H276" s="377">
        <f>SUM(H277:H278)</f>
        <v>2.1397857699999998E-2</v>
      </c>
      <c r="I276" s="378">
        <f>SUBTOTAL(9,I277:I278)</f>
        <v>2</v>
      </c>
      <c r="J276" s="372"/>
      <c r="K276" s="377">
        <f>SUM(K277:K278)</f>
        <v>0</v>
      </c>
      <c r="L276" s="378">
        <f>SUBTOTAL(9,L277:L278)</f>
        <v>0</v>
      </c>
    </row>
    <row r="277" spans="1:12" hidden="1" outlineLevel="3">
      <c r="A277" s="372"/>
      <c r="B277" s="376" t="s">
        <v>222</v>
      </c>
      <c r="C277" s="376" t="s">
        <v>222</v>
      </c>
      <c r="D277" s="372" t="s">
        <v>27</v>
      </c>
      <c r="E277" s="372" t="s">
        <v>28</v>
      </c>
      <c r="F277" s="422" t="s">
        <v>231</v>
      </c>
      <c r="G277" s="372"/>
      <c r="H277" s="394">
        <v>2.0842521999999999E-2</v>
      </c>
      <c r="I277" s="378">
        <v>1</v>
      </c>
      <c r="J277" s="372"/>
      <c r="K277" s="399">
        <f t="shared" ref="K277:K278" si="36">IF(L277=1,H277,0)</f>
        <v>0</v>
      </c>
      <c r="L277" s="378"/>
    </row>
    <row r="278" spans="1:12" hidden="1" outlineLevel="3">
      <c r="A278" s="372"/>
      <c r="B278" s="376" t="s">
        <v>222</v>
      </c>
      <c r="C278" s="376" t="s">
        <v>222</v>
      </c>
      <c r="D278" s="372" t="s">
        <v>27</v>
      </c>
      <c r="E278" s="372" t="s">
        <v>28</v>
      </c>
      <c r="F278" s="422" t="s">
        <v>232</v>
      </c>
      <c r="G278" s="372"/>
      <c r="H278" s="394">
        <v>5.5533570000000003E-4</v>
      </c>
      <c r="I278" s="378">
        <v>1</v>
      </c>
      <c r="J278" s="372"/>
      <c r="K278" s="399">
        <f t="shared" si="36"/>
        <v>0</v>
      </c>
      <c r="L278" s="378"/>
    </row>
    <row r="279" spans="1:12" hidden="1" outlineLevel="2">
      <c r="A279" s="372"/>
      <c r="B279" s="376" t="s">
        <v>222</v>
      </c>
      <c r="C279" s="376" t="s">
        <v>222</v>
      </c>
      <c r="D279" s="372" t="s">
        <v>58</v>
      </c>
      <c r="E279" s="372"/>
      <c r="F279" s="422" t="s">
        <v>77</v>
      </c>
      <c r="G279" s="372"/>
      <c r="H279" s="377"/>
      <c r="I279" s="378"/>
      <c r="J279" s="372"/>
      <c r="K279" s="377"/>
      <c r="L279" s="378"/>
    </row>
    <row r="280" spans="1:12" outlineLevel="1" collapsed="1">
      <c r="A280" s="372"/>
      <c r="B280" s="380" t="s">
        <v>233</v>
      </c>
      <c r="C280" s="385" t="s">
        <v>233</v>
      </c>
      <c r="D280" s="385"/>
      <c r="E280" s="380"/>
      <c r="F280" s="424" t="s">
        <v>234</v>
      </c>
      <c r="G280" s="372"/>
      <c r="H280" s="410">
        <f>SUM(H281,H284,H285,H286)</f>
        <v>0.38041780000000003</v>
      </c>
      <c r="I280" s="396">
        <f>I281+I284+I285+I286</f>
        <v>2</v>
      </c>
      <c r="J280" s="372"/>
      <c r="K280" s="410">
        <f>SUM(K281,K284,K285,K286)</f>
        <v>0</v>
      </c>
      <c r="L280" s="396">
        <f>L281+L284+L285+L286</f>
        <v>0</v>
      </c>
    </row>
    <row r="281" spans="1:12" hidden="1" outlineLevel="2" collapsed="1">
      <c r="A281" s="372"/>
      <c r="B281" s="372" t="s">
        <v>233</v>
      </c>
      <c r="C281" s="372" t="s">
        <v>233</v>
      </c>
      <c r="D281" s="372" t="s">
        <v>17</v>
      </c>
      <c r="E281" s="376"/>
      <c r="F281" s="422" t="s">
        <v>77</v>
      </c>
      <c r="G281" s="372"/>
      <c r="H281" s="399">
        <f>SUM(H282:H283)</f>
        <v>0.38041780000000003</v>
      </c>
      <c r="I281" s="397">
        <f>SUM(I282:I283)</f>
        <v>2</v>
      </c>
      <c r="J281" s="372"/>
      <c r="K281" s="399">
        <f>SUM(K282:K283)</f>
        <v>0</v>
      </c>
      <c r="L281" s="397">
        <f>SUM(L282:L283)</f>
        <v>0</v>
      </c>
    </row>
    <row r="282" spans="1:12" hidden="1" outlineLevel="3">
      <c r="A282" s="372"/>
      <c r="B282" s="372" t="s">
        <v>233</v>
      </c>
      <c r="C282" s="372" t="s">
        <v>233</v>
      </c>
      <c r="D282" s="372" t="s">
        <v>17</v>
      </c>
      <c r="E282" s="376" t="s">
        <v>177</v>
      </c>
      <c r="F282" s="422" t="s">
        <v>235</v>
      </c>
      <c r="G282" s="372"/>
      <c r="H282" s="399">
        <v>0.15216712000000002</v>
      </c>
      <c r="I282" s="397">
        <v>1</v>
      </c>
      <c r="J282" s="372"/>
      <c r="K282" s="399">
        <f t="shared" ref="K282:K283" si="37">IF(L282=1,H282,0)</f>
        <v>0</v>
      </c>
      <c r="L282" s="397"/>
    </row>
    <row r="283" spans="1:12" hidden="1" outlineLevel="3">
      <c r="A283" s="372"/>
      <c r="B283" s="372" t="s">
        <v>233</v>
      </c>
      <c r="C283" s="372" t="s">
        <v>233</v>
      </c>
      <c r="D283" s="372" t="s">
        <v>17</v>
      </c>
      <c r="E283" s="376" t="s">
        <v>177</v>
      </c>
      <c r="F283" s="422" t="s">
        <v>236</v>
      </c>
      <c r="G283" s="372"/>
      <c r="H283" s="399">
        <v>0.22825067999999998</v>
      </c>
      <c r="I283" s="397">
        <v>1</v>
      </c>
      <c r="J283" s="372"/>
      <c r="K283" s="399">
        <f t="shared" si="37"/>
        <v>0</v>
      </c>
      <c r="L283" s="397"/>
    </row>
    <row r="284" spans="1:12" hidden="1" outlineLevel="2">
      <c r="A284" s="372"/>
      <c r="B284" s="372" t="s">
        <v>233</v>
      </c>
      <c r="C284" s="372" t="s">
        <v>233</v>
      </c>
      <c r="D284" s="372" t="s">
        <v>25</v>
      </c>
      <c r="E284" s="372"/>
      <c r="F284" s="422" t="s">
        <v>77</v>
      </c>
      <c r="G284" s="372"/>
      <c r="H284" s="399"/>
      <c r="I284" s="397"/>
      <c r="J284" s="372"/>
      <c r="K284" s="399"/>
      <c r="L284" s="397"/>
    </row>
    <row r="285" spans="1:12" hidden="1" outlineLevel="2">
      <c r="A285" s="372"/>
      <c r="B285" s="372" t="s">
        <v>233</v>
      </c>
      <c r="C285" s="372" t="s">
        <v>233</v>
      </c>
      <c r="D285" s="372" t="s">
        <v>27</v>
      </c>
      <c r="E285" s="372"/>
      <c r="F285" s="422" t="s">
        <v>77</v>
      </c>
      <c r="G285" s="372"/>
      <c r="H285" s="399"/>
      <c r="I285" s="397"/>
      <c r="J285" s="372"/>
      <c r="K285" s="399"/>
      <c r="L285" s="397"/>
    </row>
    <row r="286" spans="1:12" hidden="1" outlineLevel="2">
      <c r="A286" s="372"/>
      <c r="B286" s="372" t="s">
        <v>233</v>
      </c>
      <c r="C286" s="372" t="s">
        <v>233</v>
      </c>
      <c r="D286" s="372" t="s">
        <v>58</v>
      </c>
      <c r="E286" s="372"/>
      <c r="F286" s="422" t="s">
        <v>77</v>
      </c>
      <c r="G286" s="372"/>
      <c r="H286" s="399"/>
      <c r="I286" s="397"/>
      <c r="J286" s="372"/>
      <c r="K286" s="399"/>
      <c r="L286" s="397"/>
    </row>
    <row r="287" spans="1:12" outlineLevel="1" collapsed="1">
      <c r="A287" s="372"/>
      <c r="B287" s="380" t="s">
        <v>240</v>
      </c>
      <c r="C287" s="380" t="s">
        <v>240</v>
      </c>
      <c r="D287" s="380"/>
      <c r="E287" s="380"/>
      <c r="F287" s="424" t="s">
        <v>234</v>
      </c>
      <c r="G287" s="372"/>
      <c r="H287" s="410">
        <f>SUM(H288,H292,H294,H297)</f>
        <v>0</v>
      </c>
      <c r="I287" s="396">
        <f>I288+I292+I294+I297</f>
        <v>0</v>
      </c>
      <c r="J287" s="372"/>
      <c r="K287" s="410">
        <f>SUM(K288,K292,K294,K297)</f>
        <v>0</v>
      </c>
      <c r="L287" s="396">
        <f>L288+L292+L294+L297</f>
        <v>0</v>
      </c>
    </row>
    <row r="288" spans="1:12" hidden="1" outlineLevel="2" collapsed="1">
      <c r="A288" s="372"/>
      <c r="B288" s="376" t="s">
        <v>240</v>
      </c>
      <c r="C288" s="376" t="s">
        <v>240</v>
      </c>
      <c r="D288" s="372" t="s">
        <v>17</v>
      </c>
      <c r="E288" s="376"/>
      <c r="F288" s="422" t="s">
        <v>77</v>
      </c>
      <c r="G288" s="372"/>
      <c r="H288" s="377">
        <v>0</v>
      </c>
      <c r="I288" s="378">
        <f>SUM(I289:I291)</f>
        <v>0</v>
      </c>
      <c r="J288" s="372"/>
      <c r="K288" s="377">
        <v>0</v>
      </c>
      <c r="L288" s="378">
        <f>SUM(L289:L291)</f>
        <v>0</v>
      </c>
    </row>
    <row r="289" spans="1:12" hidden="1" outlineLevel="3">
      <c r="A289" s="372"/>
      <c r="B289" s="376" t="s">
        <v>240</v>
      </c>
      <c r="C289" s="376" t="s">
        <v>240</v>
      </c>
      <c r="D289" s="372" t="s">
        <v>17</v>
      </c>
      <c r="E289" s="376" t="s">
        <v>241</v>
      </c>
      <c r="F289" s="422" t="s">
        <v>235</v>
      </c>
      <c r="G289" s="372"/>
      <c r="H289" s="399">
        <v>0</v>
      </c>
      <c r="I289" s="397">
        <v>0</v>
      </c>
      <c r="J289" s="372"/>
      <c r="K289" s="399">
        <v>0</v>
      </c>
      <c r="L289" s="397">
        <v>0</v>
      </c>
    </row>
    <row r="290" spans="1:12" hidden="1" outlineLevel="3">
      <c r="A290" s="372"/>
      <c r="B290" s="376" t="s">
        <v>240</v>
      </c>
      <c r="C290" s="376" t="s">
        <v>240</v>
      </c>
      <c r="D290" s="372" t="s">
        <v>17</v>
      </c>
      <c r="E290" s="376" t="s">
        <v>241</v>
      </c>
      <c r="F290" s="422" t="s">
        <v>236</v>
      </c>
      <c r="G290" s="372"/>
      <c r="H290" s="399">
        <v>0</v>
      </c>
      <c r="I290" s="397">
        <v>0</v>
      </c>
      <c r="J290" s="372"/>
      <c r="K290" s="399">
        <v>0</v>
      </c>
      <c r="L290" s="397">
        <v>0</v>
      </c>
    </row>
    <row r="291" spans="1:12" hidden="1" outlineLevel="3">
      <c r="A291" s="372"/>
      <c r="B291" s="376" t="s">
        <v>240</v>
      </c>
      <c r="C291" s="376" t="s">
        <v>240</v>
      </c>
      <c r="D291" s="372" t="s">
        <v>17</v>
      </c>
      <c r="E291" s="376" t="s">
        <v>241</v>
      </c>
      <c r="F291" s="422" t="s">
        <v>32</v>
      </c>
      <c r="G291" s="372"/>
      <c r="H291" s="399">
        <v>0</v>
      </c>
      <c r="I291" s="397">
        <v>0</v>
      </c>
      <c r="J291" s="372"/>
      <c r="K291" s="399">
        <v>0</v>
      </c>
      <c r="L291" s="397">
        <v>0</v>
      </c>
    </row>
    <row r="292" spans="1:12" hidden="1" outlineLevel="2" collapsed="1">
      <c r="A292" s="372"/>
      <c r="B292" s="376" t="s">
        <v>240</v>
      </c>
      <c r="C292" s="376" t="s">
        <v>240</v>
      </c>
      <c r="D292" s="372" t="s">
        <v>25</v>
      </c>
      <c r="E292" s="372"/>
      <c r="F292" s="422" t="s">
        <v>77</v>
      </c>
      <c r="G292" s="372"/>
      <c r="H292" s="377">
        <v>0</v>
      </c>
      <c r="I292" s="378">
        <f>SUM(I293:I293)</f>
        <v>0</v>
      </c>
      <c r="J292" s="372"/>
      <c r="K292" s="377">
        <v>0</v>
      </c>
      <c r="L292" s="378">
        <f>SUM(L293:L293)</f>
        <v>0</v>
      </c>
    </row>
    <row r="293" spans="1:12" hidden="1" outlineLevel="3">
      <c r="A293" s="372"/>
      <c r="B293" s="376" t="s">
        <v>240</v>
      </c>
      <c r="C293" s="376" t="s">
        <v>240</v>
      </c>
      <c r="D293" s="372" t="s">
        <v>25</v>
      </c>
      <c r="E293" s="372" t="s">
        <v>26</v>
      </c>
      <c r="F293" s="422" t="s">
        <v>236</v>
      </c>
      <c r="G293" s="372"/>
      <c r="H293" s="399">
        <v>0</v>
      </c>
      <c r="I293" s="397">
        <v>0</v>
      </c>
      <c r="J293" s="372"/>
      <c r="K293" s="399">
        <v>0</v>
      </c>
      <c r="L293" s="397">
        <v>0</v>
      </c>
    </row>
    <row r="294" spans="1:12" hidden="1" outlineLevel="2" collapsed="1">
      <c r="A294" s="372"/>
      <c r="B294" s="376" t="s">
        <v>240</v>
      </c>
      <c r="C294" s="376" t="s">
        <v>240</v>
      </c>
      <c r="D294" s="372" t="s">
        <v>27</v>
      </c>
      <c r="E294" s="372"/>
      <c r="F294" s="422" t="s">
        <v>77</v>
      </c>
      <c r="G294" s="372"/>
      <c r="H294" s="377">
        <v>0</v>
      </c>
      <c r="I294" s="378">
        <f>SUM(I295:I296)</f>
        <v>0</v>
      </c>
      <c r="J294" s="372"/>
      <c r="K294" s="377">
        <v>0</v>
      </c>
      <c r="L294" s="378">
        <f>SUM(L295:L296)</f>
        <v>0</v>
      </c>
    </row>
    <row r="295" spans="1:12" hidden="1" outlineLevel="3">
      <c r="A295" s="372"/>
      <c r="B295" s="376" t="s">
        <v>240</v>
      </c>
      <c r="C295" s="376" t="s">
        <v>240</v>
      </c>
      <c r="D295" s="372" t="s">
        <v>27</v>
      </c>
      <c r="E295" s="372" t="s">
        <v>28</v>
      </c>
      <c r="F295" s="422" t="s">
        <v>236</v>
      </c>
      <c r="G295" s="372"/>
      <c r="H295" s="399">
        <v>0</v>
      </c>
      <c r="I295" s="397">
        <v>0</v>
      </c>
      <c r="J295" s="372"/>
      <c r="K295" s="399">
        <v>0</v>
      </c>
      <c r="L295" s="397">
        <v>0</v>
      </c>
    </row>
    <row r="296" spans="1:12" hidden="1" outlineLevel="3">
      <c r="A296" s="372"/>
      <c r="B296" s="376" t="s">
        <v>240</v>
      </c>
      <c r="C296" s="376" t="s">
        <v>240</v>
      </c>
      <c r="D296" s="372" t="s">
        <v>27</v>
      </c>
      <c r="E296" s="372" t="s">
        <v>28</v>
      </c>
      <c r="F296" s="422" t="s">
        <v>32</v>
      </c>
      <c r="G296" s="372"/>
      <c r="H296" s="399">
        <v>0</v>
      </c>
      <c r="I296" s="397">
        <v>0</v>
      </c>
      <c r="J296" s="372"/>
      <c r="K296" s="399">
        <v>0</v>
      </c>
      <c r="L296" s="397">
        <v>0</v>
      </c>
    </row>
    <row r="297" spans="1:12" hidden="1" outlineLevel="2" collapsed="1">
      <c r="A297" s="372"/>
      <c r="B297" s="376" t="s">
        <v>240</v>
      </c>
      <c r="C297" s="376" t="s">
        <v>240</v>
      </c>
      <c r="D297" s="372" t="s">
        <v>58</v>
      </c>
      <c r="E297" s="372"/>
      <c r="F297" s="422" t="s">
        <v>77</v>
      </c>
      <c r="G297" s="372"/>
      <c r="H297" s="377">
        <v>0</v>
      </c>
      <c r="I297" s="378">
        <f>SUM(I298:I299)</f>
        <v>0</v>
      </c>
      <c r="J297" s="372"/>
      <c r="K297" s="377">
        <v>0</v>
      </c>
      <c r="L297" s="378">
        <f>SUM(L298:L299)</f>
        <v>0</v>
      </c>
    </row>
    <row r="298" spans="1:12" hidden="1" outlineLevel="3">
      <c r="A298" s="372"/>
      <c r="B298" s="376" t="s">
        <v>240</v>
      </c>
      <c r="C298" s="376" t="s">
        <v>240</v>
      </c>
      <c r="D298" s="372" t="s">
        <v>58</v>
      </c>
      <c r="E298" s="372" t="s">
        <v>28</v>
      </c>
      <c r="F298" s="422" t="s">
        <v>236</v>
      </c>
      <c r="G298" s="372"/>
      <c r="H298" s="399">
        <v>0</v>
      </c>
      <c r="I298" s="397">
        <v>0</v>
      </c>
      <c r="J298" s="372"/>
      <c r="K298" s="399">
        <v>0</v>
      </c>
      <c r="L298" s="397">
        <v>0</v>
      </c>
    </row>
    <row r="299" spans="1:12" hidden="1" outlineLevel="3">
      <c r="A299" s="372"/>
      <c r="B299" s="376" t="s">
        <v>240</v>
      </c>
      <c r="C299" s="376" t="s">
        <v>240</v>
      </c>
      <c r="D299" s="372" t="s">
        <v>58</v>
      </c>
      <c r="E299" s="372" t="s">
        <v>28</v>
      </c>
      <c r="F299" s="422" t="s">
        <v>32</v>
      </c>
      <c r="G299" s="372"/>
      <c r="H299" s="399">
        <v>0</v>
      </c>
      <c r="I299" s="397">
        <v>0</v>
      </c>
      <c r="J299" s="372"/>
      <c r="K299" s="399">
        <v>0</v>
      </c>
      <c r="L299" s="397">
        <v>0</v>
      </c>
    </row>
    <row r="300" spans="1:12" outlineLevel="1" collapsed="1">
      <c r="A300" s="372"/>
      <c r="B300" s="380" t="s">
        <v>243</v>
      </c>
      <c r="C300" s="380" t="s">
        <v>243</v>
      </c>
      <c r="D300" s="380"/>
      <c r="E300" s="380"/>
      <c r="F300" s="424" t="s">
        <v>244</v>
      </c>
      <c r="G300" s="372"/>
      <c r="H300" s="405">
        <f>SUM(H301,H305,H307,H310)</f>
        <v>0.69534587499999978</v>
      </c>
      <c r="I300" s="404">
        <f>I301+I305+I307+I310</f>
        <v>8</v>
      </c>
      <c r="J300" s="372"/>
      <c r="K300" s="405">
        <f>SUM(K301,K305,K307,K310)</f>
        <v>0</v>
      </c>
      <c r="L300" s="404">
        <f>L301+L305+L307+L310</f>
        <v>0</v>
      </c>
    </row>
    <row r="301" spans="1:12" hidden="1" outlineLevel="2" collapsed="1">
      <c r="A301" s="372"/>
      <c r="B301" s="376" t="s">
        <v>243</v>
      </c>
      <c r="C301" s="376" t="s">
        <v>243</v>
      </c>
      <c r="D301" s="372" t="s">
        <v>17</v>
      </c>
      <c r="E301" s="376"/>
      <c r="F301" s="422" t="s">
        <v>77</v>
      </c>
      <c r="G301" s="372"/>
      <c r="H301" s="399">
        <f>SUM(H302:H304)</f>
        <v>0.54690124999999989</v>
      </c>
      <c r="I301" s="397">
        <f>SUM(I302:I304)</f>
        <v>3</v>
      </c>
      <c r="J301" s="372"/>
      <c r="K301" s="399">
        <f>SUM(K302:K304)</f>
        <v>0</v>
      </c>
      <c r="L301" s="397">
        <f>SUM(L302:L304)</f>
        <v>0</v>
      </c>
    </row>
    <row r="302" spans="1:12" hidden="1" outlineLevel="3">
      <c r="A302" s="372"/>
      <c r="B302" s="376" t="s">
        <v>243</v>
      </c>
      <c r="C302" s="376" t="s">
        <v>243</v>
      </c>
      <c r="D302" s="372" t="s">
        <v>17</v>
      </c>
      <c r="E302" s="376" t="s">
        <v>241</v>
      </c>
      <c r="F302" s="422" t="s">
        <v>235</v>
      </c>
      <c r="G302" s="372"/>
      <c r="H302" s="399">
        <v>0.15625749999999999</v>
      </c>
      <c r="I302" s="397">
        <v>1</v>
      </c>
      <c r="J302" s="372"/>
      <c r="K302" s="399">
        <f t="shared" ref="K302:K304" si="38">IF(L302=1,H302,0)</f>
        <v>0</v>
      </c>
      <c r="L302" s="397"/>
    </row>
    <row r="303" spans="1:12" hidden="1" outlineLevel="3">
      <c r="A303" s="372"/>
      <c r="B303" s="376" t="s">
        <v>243</v>
      </c>
      <c r="C303" s="376" t="s">
        <v>243</v>
      </c>
      <c r="D303" s="372" t="s">
        <v>17</v>
      </c>
      <c r="E303" s="376" t="s">
        <v>241</v>
      </c>
      <c r="F303" s="422" t="s">
        <v>236</v>
      </c>
      <c r="G303" s="372"/>
      <c r="H303" s="399">
        <v>0.23438624999999996</v>
      </c>
      <c r="I303" s="397">
        <v>1</v>
      </c>
      <c r="J303" s="372"/>
      <c r="K303" s="399">
        <f t="shared" si="38"/>
        <v>0</v>
      </c>
      <c r="L303" s="397"/>
    </row>
    <row r="304" spans="1:12" hidden="1" outlineLevel="3">
      <c r="A304" s="372"/>
      <c r="B304" s="376" t="s">
        <v>243</v>
      </c>
      <c r="C304" s="376" t="s">
        <v>243</v>
      </c>
      <c r="D304" s="372" t="s">
        <v>17</v>
      </c>
      <c r="E304" s="376" t="s">
        <v>241</v>
      </c>
      <c r="F304" s="422" t="s">
        <v>32</v>
      </c>
      <c r="G304" s="372"/>
      <c r="H304" s="399">
        <v>0.15625749999999999</v>
      </c>
      <c r="I304" s="397">
        <v>1</v>
      </c>
      <c r="J304" s="372"/>
      <c r="K304" s="399">
        <f t="shared" si="38"/>
        <v>0</v>
      </c>
      <c r="L304" s="397"/>
    </row>
    <row r="305" spans="1:12" hidden="1" outlineLevel="2" collapsed="1">
      <c r="A305" s="372"/>
      <c r="B305" s="376" t="s">
        <v>243</v>
      </c>
      <c r="C305" s="376" t="s">
        <v>243</v>
      </c>
      <c r="D305" s="372" t="s">
        <v>25</v>
      </c>
      <c r="E305" s="372"/>
      <c r="F305" s="422" t="s">
        <v>77</v>
      </c>
      <c r="G305" s="372"/>
      <c r="H305" s="399">
        <f>SUM(H306:H306)</f>
        <v>7.1431999999999995E-2</v>
      </c>
      <c r="I305" s="397">
        <f>SUM(I306:I306)</f>
        <v>1</v>
      </c>
      <c r="J305" s="372"/>
      <c r="K305" s="399">
        <f>SUM(K306:K306)</f>
        <v>0</v>
      </c>
      <c r="L305" s="397">
        <f>SUM(L306:L306)</f>
        <v>0</v>
      </c>
    </row>
    <row r="306" spans="1:12" hidden="1" outlineLevel="3">
      <c r="A306" s="372"/>
      <c r="B306" s="376" t="s">
        <v>243</v>
      </c>
      <c r="C306" s="376" t="s">
        <v>243</v>
      </c>
      <c r="D306" s="372" t="s">
        <v>25</v>
      </c>
      <c r="E306" s="376" t="s">
        <v>241</v>
      </c>
      <c r="F306" s="422" t="s">
        <v>236</v>
      </c>
      <c r="G306" s="372"/>
      <c r="H306" s="399">
        <v>7.1431999999999995E-2</v>
      </c>
      <c r="I306" s="397">
        <v>1</v>
      </c>
      <c r="J306" s="372"/>
      <c r="K306" s="399">
        <f>IF(L306=1,H306,0)</f>
        <v>0</v>
      </c>
      <c r="L306" s="397"/>
    </row>
    <row r="307" spans="1:12" hidden="1" outlineLevel="2" collapsed="1">
      <c r="A307" s="372"/>
      <c r="B307" s="376" t="s">
        <v>243</v>
      </c>
      <c r="C307" s="376" t="s">
        <v>243</v>
      </c>
      <c r="D307" s="372" t="s">
        <v>27</v>
      </c>
      <c r="E307" s="372"/>
      <c r="F307" s="422" t="s">
        <v>77</v>
      </c>
      <c r="G307" s="372"/>
      <c r="H307" s="399">
        <f>SUM(H308:H309)</f>
        <v>4.0180500000000001E-2</v>
      </c>
      <c r="I307" s="397">
        <f>SUM(I308:I309)</f>
        <v>2</v>
      </c>
      <c r="J307" s="372"/>
      <c r="K307" s="399">
        <f>SUM(K308:K309)</f>
        <v>0</v>
      </c>
      <c r="L307" s="397">
        <f>SUM(L308:L309)</f>
        <v>0</v>
      </c>
    </row>
    <row r="308" spans="1:12" hidden="1" outlineLevel="3">
      <c r="A308" s="372"/>
      <c r="B308" s="376" t="s">
        <v>243</v>
      </c>
      <c r="C308" s="376" t="s">
        <v>243</v>
      </c>
      <c r="D308" s="372" t="s">
        <v>27</v>
      </c>
      <c r="E308" s="376" t="s">
        <v>241</v>
      </c>
      <c r="F308" s="422" t="s">
        <v>236</v>
      </c>
      <c r="G308" s="372"/>
      <c r="H308" s="399">
        <v>2.009025E-2</v>
      </c>
      <c r="I308" s="397">
        <v>1</v>
      </c>
      <c r="J308" s="372"/>
      <c r="K308" s="399">
        <f t="shared" ref="K308:K309" si="39">IF(L308=1,H308,0)</f>
        <v>0</v>
      </c>
      <c r="L308" s="397"/>
    </row>
    <row r="309" spans="1:12" hidden="1" outlineLevel="3">
      <c r="A309" s="372"/>
      <c r="B309" s="376" t="s">
        <v>243</v>
      </c>
      <c r="C309" s="376" t="s">
        <v>243</v>
      </c>
      <c r="D309" s="372" t="s">
        <v>27</v>
      </c>
      <c r="E309" s="376" t="s">
        <v>241</v>
      </c>
      <c r="F309" s="422" t="s">
        <v>32</v>
      </c>
      <c r="G309" s="372"/>
      <c r="H309" s="399">
        <v>2.009025E-2</v>
      </c>
      <c r="I309" s="397">
        <v>1</v>
      </c>
      <c r="J309" s="372"/>
      <c r="K309" s="399">
        <f t="shared" si="39"/>
        <v>0</v>
      </c>
      <c r="L309" s="397"/>
    </row>
    <row r="310" spans="1:12" hidden="1" outlineLevel="2" collapsed="1">
      <c r="A310" s="372"/>
      <c r="B310" s="376" t="s">
        <v>243</v>
      </c>
      <c r="C310" s="376" t="s">
        <v>243</v>
      </c>
      <c r="D310" s="372" t="s">
        <v>58</v>
      </c>
      <c r="E310" s="376"/>
      <c r="F310" s="422" t="s">
        <v>77</v>
      </c>
      <c r="G310" s="372"/>
      <c r="H310" s="399">
        <f>SUM(H311:H312)</f>
        <v>3.6832125E-2</v>
      </c>
      <c r="I310" s="397">
        <f>SUM(I311:I312)</f>
        <v>2</v>
      </c>
      <c r="J310" s="372"/>
      <c r="K310" s="399">
        <f>SUM(K311:K312)</f>
        <v>0</v>
      </c>
      <c r="L310" s="397">
        <f>SUM(L311:L312)</f>
        <v>0</v>
      </c>
    </row>
    <row r="311" spans="1:12" hidden="1" outlineLevel="3">
      <c r="A311" s="372"/>
      <c r="B311" s="376" t="s">
        <v>243</v>
      </c>
      <c r="C311" s="376" t="s">
        <v>243</v>
      </c>
      <c r="D311" s="372" t="s">
        <v>58</v>
      </c>
      <c r="E311" s="376" t="s">
        <v>241</v>
      </c>
      <c r="F311" s="422" t="s">
        <v>236</v>
      </c>
      <c r="G311" s="372"/>
      <c r="H311" s="399">
        <v>1.6741875E-2</v>
      </c>
      <c r="I311" s="397">
        <v>1</v>
      </c>
      <c r="J311" s="372"/>
      <c r="K311" s="399">
        <f t="shared" ref="K311:K312" si="40">IF(L311=1,H311,0)</f>
        <v>0</v>
      </c>
      <c r="L311" s="397"/>
    </row>
    <row r="312" spans="1:12" hidden="1" outlineLevel="3">
      <c r="A312" s="372"/>
      <c r="B312" s="376" t="s">
        <v>243</v>
      </c>
      <c r="C312" s="376" t="s">
        <v>243</v>
      </c>
      <c r="D312" s="372" t="s">
        <v>58</v>
      </c>
      <c r="E312" s="376" t="s">
        <v>241</v>
      </c>
      <c r="F312" s="422" t="s">
        <v>32</v>
      </c>
      <c r="G312" s="372"/>
      <c r="H312" s="399">
        <v>2.009025E-2</v>
      </c>
      <c r="I312" s="397">
        <v>1</v>
      </c>
      <c r="J312" s="372"/>
      <c r="K312" s="399">
        <f t="shared" si="40"/>
        <v>0</v>
      </c>
      <c r="L312" s="397"/>
    </row>
    <row r="313" spans="1:12" outlineLevel="1" collapsed="1">
      <c r="A313" s="372"/>
      <c r="B313" s="380" t="s">
        <v>245</v>
      </c>
      <c r="C313" s="380" t="s">
        <v>246</v>
      </c>
      <c r="D313" s="385"/>
      <c r="E313" s="380"/>
      <c r="F313" s="424" t="s">
        <v>247</v>
      </c>
      <c r="G313" s="372"/>
      <c r="H313" s="412">
        <f>SUM(H314,H317,H319,H322)</f>
        <v>0.14100000000000001</v>
      </c>
      <c r="I313" s="396">
        <f>SUM(I314,I317,I319,I322)</f>
        <v>6</v>
      </c>
      <c r="J313" s="372"/>
      <c r="K313" s="412">
        <f>SUM(K314,K317,K319,K322)</f>
        <v>0</v>
      </c>
      <c r="L313" s="396">
        <f>SUM(L314,L317,L319,L322)</f>
        <v>0</v>
      </c>
    </row>
    <row r="314" spans="1:12" hidden="1" outlineLevel="2" collapsed="1">
      <c r="A314" s="372"/>
      <c r="B314" s="376" t="s">
        <v>245</v>
      </c>
      <c r="C314" s="376" t="s">
        <v>246</v>
      </c>
      <c r="D314" s="372" t="s">
        <v>17</v>
      </c>
      <c r="E314" s="376"/>
      <c r="F314" s="422" t="s">
        <v>77</v>
      </c>
      <c r="G314" s="372"/>
      <c r="H314" s="377">
        <f>SUM(H315:H316)</f>
        <v>0.10500000000000001</v>
      </c>
      <c r="I314" s="378">
        <f>SUM(I315:I316)</f>
        <v>2</v>
      </c>
      <c r="J314" s="372"/>
      <c r="K314" s="377">
        <f>SUM(K315:K316)</f>
        <v>0</v>
      </c>
      <c r="L314" s="378">
        <f>SUM(L315:L316)</f>
        <v>0</v>
      </c>
    </row>
    <row r="315" spans="1:12" hidden="1" outlineLevel="3">
      <c r="A315" s="372"/>
      <c r="B315" s="376" t="s">
        <v>245</v>
      </c>
      <c r="C315" s="376" t="s">
        <v>246</v>
      </c>
      <c r="D315" s="372" t="s">
        <v>17</v>
      </c>
      <c r="E315" s="376" t="s">
        <v>127</v>
      </c>
      <c r="F315" s="422" t="s">
        <v>236</v>
      </c>
      <c r="G315" s="372"/>
      <c r="H315" s="377">
        <v>6.3E-2</v>
      </c>
      <c r="I315" s="378">
        <v>1</v>
      </c>
      <c r="J315" s="372"/>
      <c r="K315" s="399">
        <f t="shared" ref="K315:K316" si="41">IF(L315=1,H315,0)</f>
        <v>0</v>
      </c>
      <c r="L315" s="378"/>
    </row>
    <row r="316" spans="1:12" hidden="1" outlineLevel="3">
      <c r="A316" s="372"/>
      <c r="B316" s="376" t="s">
        <v>245</v>
      </c>
      <c r="C316" s="376" t="s">
        <v>246</v>
      </c>
      <c r="D316" s="372" t="s">
        <v>17</v>
      </c>
      <c r="E316" s="376" t="s">
        <v>127</v>
      </c>
      <c r="F316" s="422" t="s">
        <v>32</v>
      </c>
      <c r="G316" s="372"/>
      <c r="H316" s="377">
        <v>4.2000000000000003E-2</v>
      </c>
      <c r="I316" s="378">
        <v>1</v>
      </c>
      <c r="J316" s="372"/>
      <c r="K316" s="399">
        <f t="shared" si="41"/>
        <v>0</v>
      </c>
      <c r="L316" s="378"/>
    </row>
    <row r="317" spans="1:12" hidden="1" outlineLevel="2" collapsed="1">
      <c r="A317" s="372"/>
      <c r="B317" s="376" t="s">
        <v>245</v>
      </c>
      <c r="C317" s="376" t="s">
        <v>246</v>
      </c>
      <c r="D317" s="372" t="s">
        <v>25</v>
      </c>
      <c r="E317" s="372"/>
      <c r="F317" s="422" t="s">
        <v>77</v>
      </c>
      <c r="G317" s="372"/>
      <c r="H317" s="377">
        <f>SUM(H318:H318)</f>
        <v>1.9200000000000002E-2</v>
      </c>
      <c r="I317" s="378">
        <f>SUM(I318:I318)</f>
        <v>1</v>
      </c>
      <c r="J317" s="372"/>
      <c r="K317" s="377">
        <f>SUM(K318:K318)</f>
        <v>0</v>
      </c>
      <c r="L317" s="378">
        <f>SUM(L318:L318)</f>
        <v>0</v>
      </c>
    </row>
    <row r="318" spans="1:12" hidden="1" outlineLevel="3">
      <c r="A318" s="372"/>
      <c r="B318" s="376" t="s">
        <v>245</v>
      </c>
      <c r="C318" s="376" t="s">
        <v>246</v>
      </c>
      <c r="D318" s="372" t="s">
        <v>25</v>
      </c>
      <c r="E318" s="372" t="s">
        <v>26</v>
      </c>
      <c r="F318" s="422" t="s">
        <v>236</v>
      </c>
      <c r="G318" s="372"/>
      <c r="H318" s="399">
        <v>1.9200000000000002E-2</v>
      </c>
      <c r="I318" s="397">
        <v>1</v>
      </c>
      <c r="J318" s="372"/>
      <c r="K318" s="399">
        <f>IF(L318=1,H318,0)</f>
        <v>0</v>
      </c>
      <c r="L318" s="397"/>
    </row>
    <row r="319" spans="1:12" hidden="1" outlineLevel="2" collapsed="1">
      <c r="A319" s="372"/>
      <c r="B319" s="376" t="s">
        <v>245</v>
      </c>
      <c r="C319" s="376" t="s">
        <v>246</v>
      </c>
      <c r="D319" s="372" t="s">
        <v>27</v>
      </c>
      <c r="E319" s="372"/>
      <c r="F319" s="422" t="s">
        <v>77</v>
      </c>
      <c r="G319" s="372"/>
      <c r="H319" s="377">
        <f>SUM(H320:H321)</f>
        <v>1.0800000000000001E-2</v>
      </c>
      <c r="I319" s="378">
        <f>SUM(I320:I321)</f>
        <v>2</v>
      </c>
      <c r="J319" s="372"/>
      <c r="K319" s="377">
        <f>SUM(K320:K321)</f>
        <v>0</v>
      </c>
      <c r="L319" s="378">
        <f>SUM(L320:L321)</f>
        <v>0</v>
      </c>
    </row>
    <row r="320" spans="1:12" hidden="1" outlineLevel="3">
      <c r="A320" s="372"/>
      <c r="B320" s="376" t="s">
        <v>245</v>
      </c>
      <c r="C320" s="376" t="s">
        <v>246</v>
      </c>
      <c r="D320" s="372" t="s">
        <v>27</v>
      </c>
      <c r="E320" s="372" t="s">
        <v>28</v>
      </c>
      <c r="F320" s="422" t="s">
        <v>236</v>
      </c>
      <c r="G320" s="372"/>
      <c r="H320" s="399">
        <v>5.4000000000000003E-3</v>
      </c>
      <c r="I320" s="397">
        <v>1</v>
      </c>
      <c r="J320" s="372"/>
      <c r="K320" s="399">
        <f t="shared" ref="K320:K321" si="42">IF(L320=1,H320,0)</f>
        <v>0</v>
      </c>
      <c r="L320" s="397"/>
    </row>
    <row r="321" spans="1:12" hidden="1" outlineLevel="3">
      <c r="A321" s="372"/>
      <c r="B321" s="376" t="s">
        <v>245</v>
      </c>
      <c r="C321" s="376" t="s">
        <v>246</v>
      </c>
      <c r="D321" s="372" t="s">
        <v>27</v>
      </c>
      <c r="E321" s="372" t="s">
        <v>28</v>
      </c>
      <c r="F321" s="422" t="s">
        <v>32</v>
      </c>
      <c r="G321" s="372"/>
      <c r="H321" s="399">
        <v>5.4000000000000003E-3</v>
      </c>
      <c r="I321" s="397">
        <v>1</v>
      </c>
      <c r="J321" s="372"/>
      <c r="K321" s="399">
        <f t="shared" si="42"/>
        <v>0</v>
      </c>
      <c r="L321" s="397"/>
    </row>
    <row r="322" spans="1:12" hidden="1" outlineLevel="2" collapsed="1">
      <c r="A322" s="372"/>
      <c r="B322" s="376" t="s">
        <v>245</v>
      </c>
      <c r="C322" s="376" t="s">
        <v>246</v>
      </c>
      <c r="D322" s="372" t="s">
        <v>58</v>
      </c>
      <c r="E322" s="372"/>
      <c r="F322" s="422" t="s">
        <v>77</v>
      </c>
      <c r="G322" s="372"/>
      <c r="H322" s="377">
        <f>SUM(H323:H323)</f>
        <v>6.0000000000000001E-3</v>
      </c>
      <c r="I322" s="378">
        <f>SUM(I323:I323)</f>
        <v>1</v>
      </c>
      <c r="J322" s="372"/>
      <c r="K322" s="377">
        <f>SUM(K323:K323)</f>
        <v>0</v>
      </c>
      <c r="L322" s="378">
        <f>SUM(L323:L323)</f>
        <v>0</v>
      </c>
    </row>
    <row r="323" spans="1:12" hidden="1" outlineLevel="3">
      <c r="A323" s="372"/>
      <c r="B323" s="376" t="s">
        <v>245</v>
      </c>
      <c r="C323" s="376" t="s">
        <v>246</v>
      </c>
      <c r="D323" s="372" t="s">
        <v>58</v>
      </c>
      <c r="E323" s="372" t="s">
        <v>28</v>
      </c>
      <c r="F323" s="422" t="s">
        <v>236</v>
      </c>
      <c r="G323" s="372"/>
      <c r="H323" s="399">
        <v>6.0000000000000001E-3</v>
      </c>
      <c r="I323" s="397">
        <v>1</v>
      </c>
      <c r="J323" s="372"/>
      <c r="K323" s="399">
        <f>IF(L323=1,H323,0)</f>
        <v>0</v>
      </c>
      <c r="L323" s="397"/>
    </row>
    <row r="324" spans="1:12" ht="26.4" outlineLevel="1" collapsed="1">
      <c r="A324" s="372"/>
      <c r="B324" s="380" t="s">
        <v>248</v>
      </c>
      <c r="C324" s="380" t="s">
        <v>249</v>
      </c>
      <c r="D324" s="385"/>
      <c r="E324" s="380"/>
      <c r="F324" s="424" t="s">
        <v>250</v>
      </c>
      <c r="G324" s="372"/>
      <c r="H324" s="412">
        <f>SUM(H325,H330,H334,H340)</f>
        <v>1.2330479999999999</v>
      </c>
      <c r="I324" s="396">
        <f>SUM(I325,I330,I334,I340)</f>
        <v>15</v>
      </c>
      <c r="J324" s="372"/>
      <c r="K324" s="412">
        <f>SUM(K325,K330,K334,K340)</f>
        <v>1.857E-2</v>
      </c>
      <c r="L324" s="396">
        <f>SUM(L325,L330,L334,L340)</f>
        <v>1</v>
      </c>
    </row>
    <row r="325" spans="1:12" hidden="1" outlineLevel="2" collapsed="1">
      <c r="A325" s="372"/>
      <c r="B325" s="372" t="s">
        <v>248</v>
      </c>
      <c r="C325" s="376" t="s">
        <v>249</v>
      </c>
      <c r="D325" s="372" t="s">
        <v>17</v>
      </c>
      <c r="E325" s="376"/>
      <c r="F325" s="422" t="s">
        <v>77</v>
      </c>
      <c r="G325" s="372"/>
      <c r="H325" s="377">
        <f>SUM(H326:H329)</f>
        <v>0.77993999999999997</v>
      </c>
      <c r="I325" s="378">
        <f>SUM(I326:I329)</f>
        <v>4</v>
      </c>
      <c r="J325" s="372"/>
      <c r="K325" s="377">
        <f>SUM(K326:K329)</f>
        <v>0</v>
      </c>
      <c r="L325" s="378">
        <f>SUM(L326:L329)</f>
        <v>0</v>
      </c>
    </row>
    <row r="326" spans="1:12" hidden="1" outlineLevel="3">
      <c r="A326" s="372"/>
      <c r="B326" s="372" t="s">
        <v>248</v>
      </c>
      <c r="C326" s="376" t="s">
        <v>249</v>
      </c>
      <c r="D326" s="372" t="s">
        <v>17</v>
      </c>
      <c r="E326" s="376" t="s">
        <v>127</v>
      </c>
      <c r="F326" s="422" t="s">
        <v>237</v>
      </c>
      <c r="G326" s="372"/>
      <c r="H326" s="399">
        <v>0.12999000000000002</v>
      </c>
      <c r="I326" s="378">
        <v>1</v>
      </c>
      <c r="J326" s="372"/>
      <c r="K326" s="399">
        <f t="shared" ref="K326:K329" si="43">IF(L326=1,H326,0)</f>
        <v>0</v>
      </c>
      <c r="L326" s="378"/>
    </row>
    <row r="327" spans="1:12" hidden="1" outlineLevel="3">
      <c r="A327" s="372"/>
      <c r="B327" s="372" t="s">
        <v>248</v>
      </c>
      <c r="C327" s="376" t="s">
        <v>249</v>
      </c>
      <c r="D327" s="372" t="s">
        <v>17</v>
      </c>
      <c r="E327" s="376" t="s">
        <v>127</v>
      </c>
      <c r="F327" s="422" t="s">
        <v>238</v>
      </c>
      <c r="G327" s="372"/>
      <c r="H327" s="377">
        <v>0.25998000000000004</v>
      </c>
      <c r="I327" s="378">
        <v>1</v>
      </c>
      <c r="J327" s="372"/>
      <c r="K327" s="399">
        <f t="shared" si="43"/>
        <v>0</v>
      </c>
      <c r="L327" s="378"/>
    </row>
    <row r="328" spans="1:12" hidden="1" outlineLevel="3">
      <c r="A328" s="372"/>
      <c r="B328" s="372" t="s">
        <v>248</v>
      </c>
      <c r="C328" s="376" t="s">
        <v>249</v>
      </c>
      <c r="D328" s="372" t="s">
        <v>17</v>
      </c>
      <c r="E328" s="376" t="s">
        <v>127</v>
      </c>
      <c r="F328" s="422" t="s">
        <v>242</v>
      </c>
      <c r="G328" s="372"/>
      <c r="H328" s="377">
        <v>0.19498499999999999</v>
      </c>
      <c r="I328" s="378">
        <v>1</v>
      </c>
      <c r="J328" s="372"/>
      <c r="K328" s="399">
        <f t="shared" si="43"/>
        <v>0</v>
      </c>
      <c r="L328" s="378"/>
    </row>
    <row r="329" spans="1:12" hidden="1" outlineLevel="3">
      <c r="A329" s="372"/>
      <c r="B329" s="372" t="s">
        <v>248</v>
      </c>
      <c r="C329" s="376" t="s">
        <v>249</v>
      </c>
      <c r="D329" s="372" t="s">
        <v>17</v>
      </c>
      <c r="E329" s="376" t="s">
        <v>127</v>
      </c>
      <c r="F329" s="422" t="s">
        <v>239</v>
      </c>
      <c r="G329" s="372"/>
      <c r="H329" s="377">
        <v>0.19498499999999999</v>
      </c>
      <c r="I329" s="378">
        <v>1</v>
      </c>
      <c r="J329" s="372"/>
      <c r="K329" s="399">
        <f t="shared" si="43"/>
        <v>0</v>
      </c>
      <c r="L329" s="378"/>
    </row>
    <row r="330" spans="1:12" hidden="1" outlineLevel="2" collapsed="1">
      <c r="A330" s="372"/>
      <c r="B330" s="372" t="s">
        <v>248</v>
      </c>
      <c r="C330" s="376" t="s">
        <v>249</v>
      </c>
      <c r="D330" s="372" t="s">
        <v>25</v>
      </c>
      <c r="E330" s="372"/>
      <c r="F330" s="422" t="s">
        <v>77</v>
      </c>
      <c r="G330" s="372"/>
      <c r="H330" s="399">
        <f>SUM(H331:H333)</f>
        <v>0.22284000000000001</v>
      </c>
      <c r="I330" s="397">
        <f>SUM(I331:I333)</f>
        <v>3</v>
      </c>
      <c r="J330" s="372"/>
      <c r="K330" s="399">
        <f>SUM(K331:K333)</f>
        <v>0</v>
      </c>
      <c r="L330" s="397">
        <f>SUM(L331:L333)</f>
        <v>0</v>
      </c>
    </row>
    <row r="331" spans="1:12" hidden="1" outlineLevel="3">
      <c r="A331" s="372"/>
      <c r="B331" s="372" t="s">
        <v>248</v>
      </c>
      <c r="C331" s="376" t="s">
        <v>249</v>
      </c>
      <c r="D331" s="372" t="s">
        <v>25</v>
      </c>
      <c r="E331" s="372" t="s">
        <v>26</v>
      </c>
      <c r="F331" s="422" t="s">
        <v>237</v>
      </c>
      <c r="G331" s="372"/>
      <c r="H331" s="399">
        <v>5.9424000000000005E-2</v>
      </c>
      <c r="I331" s="397">
        <v>1</v>
      </c>
      <c r="J331" s="372"/>
      <c r="K331" s="399">
        <f t="shared" ref="K331:K333" si="44">IF(L331=1,H331,0)</f>
        <v>0</v>
      </c>
      <c r="L331" s="397"/>
    </row>
    <row r="332" spans="1:12" hidden="1" outlineLevel="3">
      <c r="A332" s="372"/>
      <c r="B332" s="372" t="s">
        <v>248</v>
      </c>
      <c r="C332" s="376" t="s">
        <v>249</v>
      </c>
      <c r="D332" s="372" t="s">
        <v>25</v>
      </c>
      <c r="E332" s="372" t="s">
        <v>26</v>
      </c>
      <c r="F332" s="422" t="s">
        <v>238</v>
      </c>
      <c r="G332" s="372"/>
      <c r="H332" s="399">
        <v>0.14856</v>
      </c>
      <c r="I332" s="397">
        <v>1</v>
      </c>
      <c r="J332" s="372"/>
      <c r="K332" s="399">
        <f t="shared" si="44"/>
        <v>0</v>
      </c>
      <c r="L332" s="397"/>
    </row>
    <row r="333" spans="1:12" hidden="1" outlineLevel="3">
      <c r="A333" s="372"/>
      <c r="B333" s="372" t="s">
        <v>248</v>
      </c>
      <c r="C333" s="376" t="s">
        <v>249</v>
      </c>
      <c r="D333" s="372" t="s">
        <v>25</v>
      </c>
      <c r="E333" s="372" t="s">
        <v>26</v>
      </c>
      <c r="F333" s="422" t="s">
        <v>242</v>
      </c>
      <c r="G333" s="372"/>
      <c r="H333" s="399">
        <v>1.4856000000000001E-2</v>
      </c>
      <c r="I333" s="397">
        <v>1</v>
      </c>
      <c r="J333" s="372"/>
      <c r="K333" s="399">
        <f t="shared" si="44"/>
        <v>0</v>
      </c>
      <c r="L333" s="397"/>
    </row>
    <row r="334" spans="1:12" hidden="1" outlineLevel="2" collapsed="1">
      <c r="A334" s="372"/>
      <c r="B334" s="372" t="s">
        <v>248</v>
      </c>
      <c r="C334" s="376" t="s">
        <v>249</v>
      </c>
      <c r="D334" s="372" t="s">
        <v>27</v>
      </c>
      <c r="E334" s="372"/>
      <c r="F334" s="422" t="s">
        <v>77</v>
      </c>
      <c r="G334" s="372"/>
      <c r="H334" s="399">
        <f>SUM(H335:H339)</f>
        <v>0.14206050000000001</v>
      </c>
      <c r="I334" s="397">
        <f>SUM(I335:I339)</f>
        <v>5</v>
      </c>
      <c r="J334" s="372"/>
      <c r="K334" s="399">
        <f>SUM(K335:K339)</f>
        <v>0</v>
      </c>
      <c r="L334" s="397">
        <f>SUM(L335:L339)</f>
        <v>0</v>
      </c>
    </row>
    <row r="335" spans="1:12" hidden="1" outlineLevel="3">
      <c r="A335" s="372"/>
      <c r="B335" s="372" t="s">
        <v>248</v>
      </c>
      <c r="C335" s="376" t="s">
        <v>249</v>
      </c>
      <c r="D335" s="372" t="s">
        <v>27</v>
      </c>
      <c r="E335" s="372" t="s">
        <v>28</v>
      </c>
      <c r="F335" s="424" t="s">
        <v>32</v>
      </c>
      <c r="G335" s="372"/>
      <c r="H335" s="399">
        <v>1.6713000000000002E-2</v>
      </c>
      <c r="I335" s="397">
        <v>1</v>
      </c>
      <c r="J335" s="372"/>
      <c r="K335" s="399">
        <f t="shared" ref="K335:K339" si="45">IF(L335=1,H335,0)</f>
        <v>0</v>
      </c>
      <c r="L335" s="397"/>
    </row>
    <row r="336" spans="1:12" hidden="1" outlineLevel="3">
      <c r="A336" s="372"/>
      <c r="B336" s="372" t="s">
        <v>248</v>
      </c>
      <c r="C336" s="376" t="s">
        <v>249</v>
      </c>
      <c r="D336" s="372" t="s">
        <v>27</v>
      </c>
      <c r="E336" s="372" t="s">
        <v>28</v>
      </c>
      <c r="F336" s="424" t="s">
        <v>237</v>
      </c>
      <c r="G336" s="372"/>
      <c r="H336" s="399">
        <v>1.6713000000000002E-2</v>
      </c>
      <c r="I336" s="397">
        <v>1</v>
      </c>
      <c r="J336" s="372"/>
      <c r="K336" s="399">
        <f t="shared" si="45"/>
        <v>0</v>
      </c>
      <c r="L336" s="397"/>
    </row>
    <row r="337" spans="1:12" hidden="1" outlineLevel="3">
      <c r="A337" s="372"/>
      <c r="B337" s="372" t="s">
        <v>248</v>
      </c>
      <c r="C337" s="376" t="s">
        <v>249</v>
      </c>
      <c r="D337" s="372" t="s">
        <v>27</v>
      </c>
      <c r="E337" s="372" t="s">
        <v>28</v>
      </c>
      <c r="F337" s="422" t="s">
        <v>238</v>
      </c>
      <c r="G337" s="372"/>
      <c r="H337" s="399">
        <v>5.8495499999999999E-2</v>
      </c>
      <c r="I337" s="397">
        <v>1</v>
      </c>
      <c r="J337" s="372"/>
      <c r="K337" s="399">
        <f t="shared" si="45"/>
        <v>0</v>
      </c>
      <c r="L337" s="397"/>
    </row>
    <row r="338" spans="1:12" hidden="1" outlineLevel="3">
      <c r="A338" s="372"/>
      <c r="B338" s="372" t="s">
        <v>248</v>
      </c>
      <c r="C338" s="376" t="s">
        <v>249</v>
      </c>
      <c r="D338" s="372" t="s">
        <v>27</v>
      </c>
      <c r="E338" s="372" t="s">
        <v>28</v>
      </c>
      <c r="F338" s="422" t="s">
        <v>242</v>
      </c>
      <c r="G338" s="372"/>
      <c r="H338" s="399">
        <v>2.5069499999999998E-2</v>
      </c>
      <c r="I338" s="397">
        <v>1</v>
      </c>
      <c r="J338" s="372"/>
      <c r="K338" s="399">
        <f t="shared" si="45"/>
        <v>0</v>
      </c>
      <c r="L338" s="397"/>
    </row>
    <row r="339" spans="1:12" hidden="1" outlineLevel="3">
      <c r="A339" s="372"/>
      <c r="B339" s="372" t="s">
        <v>248</v>
      </c>
      <c r="C339" s="376" t="s">
        <v>249</v>
      </c>
      <c r="D339" s="372" t="s">
        <v>27</v>
      </c>
      <c r="E339" s="372" t="s">
        <v>28</v>
      </c>
      <c r="F339" s="422" t="s">
        <v>239</v>
      </c>
      <c r="G339" s="372"/>
      <c r="H339" s="399">
        <v>2.5069499999999998E-2</v>
      </c>
      <c r="I339" s="397">
        <v>1</v>
      </c>
      <c r="J339" s="372"/>
      <c r="K339" s="399">
        <f t="shared" si="45"/>
        <v>0</v>
      </c>
      <c r="L339" s="397"/>
    </row>
    <row r="340" spans="1:12" hidden="1" outlineLevel="2" collapsed="1">
      <c r="A340" s="372"/>
      <c r="B340" s="372" t="s">
        <v>248</v>
      </c>
      <c r="C340" s="376" t="s">
        <v>249</v>
      </c>
      <c r="D340" s="372" t="s">
        <v>58</v>
      </c>
      <c r="E340" s="372"/>
      <c r="F340" s="422" t="s">
        <v>77</v>
      </c>
      <c r="G340" s="372"/>
      <c r="H340" s="399">
        <f>SUM(H341:H343)</f>
        <v>8.8207499999999994E-2</v>
      </c>
      <c r="I340" s="397">
        <f>SUM(I341:I343)</f>
        <v>3</v>
      </c>
      <c r="J340" s="372"/>
      <c r="K340" s="399">
        <f>SUM(K341:K343)</f>
        <v>1.857E-2</v>
      </c>
      <c r="L340" s="397">
        <f>SUM(L341:L343)</f>
        <v>1</v>
      </c>
    </row>
    <row r="341" spans="1:12" hidden="1" outlineLevel="3">
      <c r="A341" s="372"/>
      <c r="B341" s="372" t="s">
        <v>248</v>
      </c>
      <c r="C341" s="376" t="s">
        <v>249</v>
      </c>
      <c r="D341" s="372" t="s">
        <v>58</v>
      </c>
      <c r="E341" s="372" t="s">
        <v>28</v>
      </c>
      <c r="F341" s="422" t="s">
        <v>236</v>
      </c>
      <c r="G341" s="372"/>
      <c r="H341" s="399">
        <v>1.857E-2</v>
      </c>
      <c r="I341" s="397">
        <v>1</v>
      </c>
      <c r="J341" s="372"/>
      <c r="K341" s="399">
        <f t="shared" ref="K341:K343" si="46">IF(L341=1,H341,0)</f>
        <v>1.857E-2</v>
      </c>
      <c r="L341" s="397">
        <v>1</v>
      </c>
    </row>
    <row r="342" spans="1:12" hidden="1" outlineLevel="3">
      <c r="A342" s="372"/>
      <c r="B342" s="372" t="s">
        <v>248</v>
      </c>
      <c r="C342" s="376" t="s">
        <v>249</v>
      </c>
      <c r="D342" s="372" t="s">
        <v>58</v>
      </c>
      <c r="E342" s="372" t="s">
        <v>28</v>
      </c>
      <c r="F342" s="424" t="s">
        <v>237</v>
      </c>
      <c r="G342" s="372"/>
      <c r="H342" s="399">
        <v>1.857E-2</v>
      </c>
      <c r="I342" s="397">
        <v>1</v>
      </c>
      <c r="J342" s="372"/>
      <c r="K342" s="399">
        <f t="shared" si="46"/>
        <v>0</v>
      </c>
      <c r="L342" s="397"/>
    </row>
    <row r="343" spans="1:12" hidden="1" outlineLevel="3">
      <c r="A343" s="372"/>
      <c r="B343" s="372" t="s">
        <v>248</v>
      </c>
      <c r="C343" s="376" t="s">
        <v>249</v>
      </c>
      <c r="D343" s="372" t="s">
        <v>58</v>
      </c>
      <c r="E343" s="372" t="s">
        <v>28</v>
      </c>
      <c r="F343" s="422" t="s">
        <v>242</v>
      </c>
      <c r="G343" s="372"/>
      <c r="H343" s="399">
        <v>5.1067500000000002E-2</v>
      </c>
      <c r="I343" s="397">
        <v>1</v>
      </c>
      <c r="J343" s="372"/>
      <c r="K343" s="399">
        <f t="shared" si="46"/>
        <v>0</v>
      </c>
      <c r="L343" s="397"/>
    </row>
    <row r="344" spans="1:12" outlineLevel="1" collapsed="1">
      <c r="A344" s="372"/>
      <c r="B344" s="380" t="s">
        <v>251</v>
      </c>
      <c r="C344" s="380" t="s">
        <v>252</v>
      </c>
      <c r="D344" s="385"/>
      <c r="E344" s="380"/>
      <c r="F344" s="424" t="s">
        <v>16</v>
      </c>
      <c r="G344" s="372"/>
      <c r="H344" s="410">
        <f>SUM(H345+H350)</f>
        <v>4.1130000000000003E-3</v>
      </c>
      <c r="I344" s="396">
        <f>SUM(I345+I350+I352)</f>
        <v>6</v>
      </c>
      <c r="J344" s="372"/>
      <c r="K344" s="410">
        <f>SUM(K345+K350)</f>
        <v>0</v>
      </c>
      <c r="L344" s="396">
        <f>SUM(L345+L350+L352)</f>
        <v>0</v>
      </c>
    </row>
    <row r="345" spans="1:12" hidden="1" outlineLevel="2" collapsed="1">
      <c r="A345" s="372"/>
      <c r="B345" s="372" t="s">
        <v>251</v>
      </c>
      <c r="C345" s="376" t="s">
        <v>252</v>
      </c>
      <c r="D345" s="372" t="s">
        <v>17</v>
      </c>
      <c r="E345" s="376"/>
      <c r="F345" s="422" t="s">
        <v>77</v>
      </c>
      <c r="G345" s="372"/>
      <c r="H345" s="377">
        <f>SUM(H346:H349)</f>
        <v>4.0000000000000001E-3</v>
      </c>
      <c r="I345" s="378">
        <f>SUM(I346:I349)</f>
        <v>4</v>
      </c>
      <c r="J345" s="372"/>
      <c r="K345" s="377">
        <f>SUM(K346:K349)</f>
        <v>0</v>
      </c>
      <c r="L345" s="378">
        <f>SUM(L346:L349)</f>
        <v>0</v>
      </c>
    </row>
    <row r="346" spans="1:12" hidden="1" outlineLevel="3">
      <c r="A346" s="372"/>
      <c r="B346" s="372" t="s">
        <v>251</v>
      </c>
      <c r="C346" s="376" t="s">
        <v>252</v>
      </c>
      <c r="D346" s="372" t="s">
        <v>17</v>
      </c>
      <c r="E346" s="376" t="s">
        <v>241</v>
      </c>
      <c r="F346" s="422" t="s">
        <v>253</v>
      </c>
      <c r="G346" s="372"/>
      <c r="H346" s="399">
        <v>2.0999999999999999E-3</v>
      </c>
      <c r="I346" s="378">
        <v>1</v>
      </c>
      <c r="J346" s="372"/>
      <c r="K346" s="399">
        <f t="shared" ref="K346:K349" si="47">IF(L346=1,H346,0)</f>
        <v>0</v>
      </c>
      <c r="L346" s="378"/>
    </row>
    <row r="347" spans="1:12" hidden="1" outlineLevel="3">
      <c r="A347" s="372"/>
      <c r="B347" s="372" t="s">
        <v>251</v>
      </c>
      <c r="C347" s="376" t="s">
        <v>252</v>
      </c>
      <c r="D347" s="372" t="s">
        <v>17</v>
      </c>
      <c r="E347" s="376" t="s">
        <v>241</v>
      </c>
      <c r="F347" s="422" t="s">
        <v>254</v>
      </c>
      <c r="G347" s="372"/>
      <c r="H347" s="399">
        <v>8.7500000000000002E-4</v>
      </c>
      <c r="I347" s="378">
        <v>1</v>
      </c>
      <c r="J347" s="372"/>
      <c r="K347" s="399">
        <f t="shared" si="47"/>
        <v>0</v>
      </c>
      <c r="L347" s="378"/>
    </row>
    <row r="348" spans="1:12" hidden="1" outlineLevel="3">
      <c r="A348" s="372"/>
      <c r="B348" s="372" t="s">
        <v>251</v>
      </c>
      <c r="C348" s="376" t="s">
        <v>252</v>
      </c>
      <c r="D348" s="372" t="s">
        <v>17</v>
      </c>
      <c r="E348" s="376" t="s">
        <v>241</v>
      </c>
      <c r="F348" s="422" t="s">
        <v>255</v>
      </c>
      <c r="G348" s="372"/>
      <c r="H348" s="399">
        <v>5.2499999999999997E-4</v>
      </c>
      <c r="I348" s="378">
        <v>1</v>
      </c>
      <c r="J348" s="372"/>
      <c r="K348" s="399">
        <f t="shared" si="47"/>
        <v>0</v>
      </c>
      <c r="L348" s="378"/>
    </row>
    <row r="349" spans="1:12" hidden="1" outlineLevel="3">
      <c r="A349" s="372"/>
      <c r="B349" s="372" t="s">
        <v>251</v>
      </c>
      <c r="C349" s="376" t="s">
        <v>252</v>
      </c>
      <c r="D349" s="372" t="s">
        <v>17</v>
      </c>
      <c r="E349" s="376" t="s">
        <v>241</v>
      </c>
      <c r="F349" s="422" t="s">
        <v>256</v>
      </c>
      <c r="G349" s="372"/>
      <c r="H349" s="399">
        <v>5.0000000000000001E-4</v>
      </c>
      <c r="I349" s="378">
        <v>1</v>
      </c>
      <c r="J349" s="372"/>
      <c r="K349" s="399">
        <f t="shared" si="47"/>
        <v>0</v>
      </c>
      <c r="L349" s="378"/>
    </row>
    <row r="350" spans="1:12" hidden="1" outlineLevel="2" collapsed="1">
      <c r="A350" s="372"/>
      <c r="B350" s="372" t="s">
        <v>251</v>
      </c>
      <c r="C350" s="376" t="s">
        <v>252</v>
      </c>
      <c r="D350" s="372" t="s">
        <v>58</v>
      </c>
      <c r="E350" s="372"/>
      <c r="F350" s="422" t="s">
        <v>77</v>
      </c>
      <c r="G350" s="372"/>
      <c r="H350" s="377">
        <f>SUM(H351:H351)</f>
        <v>1.13E-4</v>
      </c>
      <c r="I350" s="378">
        <f>SUM(I351:I351)</f>
        <v>1</v>
      </c>
      <c r="J350" s="372"/>
      <c r="K350" s="377">
        <f>SUM(K351:K351)</f>
        <v>0</v>
      </c>
      <c r="L350" s="378">
        <f>SUM(L351:L351)</f>
        <v>0</v>
      </c>
    </row>
    <row r="351" spans="1:12" hidden="1" outlineLevel="3">
      <c r="A351" s="372"/>
      <c r="B351" s="372" t="s">
        <v>251</v>
      </c>
      <c r="C351" s="376" t="s">
        <v>252</v>
      </c>
      <c r="D351" s="372" t="s">
        <v>58</v>
      </c>
      <c r="E351" s="372" t="s">
        <v>28</v>
      </c>
      <c r="F351" s="422" t="s">
        <v>257</v>
      </c>
      <c r="G351" s="372"/>
      <c r="H351" s="399">
        <v>1.13E-4</v>
      </c>
      <c r="I351" s="378">
        <v>1</v>
      </c>
      <c r="J351" s="372"/>
      <c r="K351" s="399">
        <f>IF(L351=1,H351,0)</f>
        <v>0</v>
      </c>
      <c r="L351" s="378"/>
    </row>
    <row r="352" spans="1:12" hidden="1" outlineLevel="2" collapsed="1">
      <c r="A352" s="372"/>
      <c r="B352" s="372" t="s">
        <v>251</v>
      </c>
      <c r="C352" s="376" t="s">
        <v>252</v>
      </c>
      <c r="D352" s="372" t="s">
        <v>25</v>
      </c>
      <c r="E352" s="376"/>
      <c r="F352" s="422" t="s">
        <v>77</v>
      </c>
      <c r="G352" s="372"/>
      <c r="H352" s="377">
        <f>SUM(H353:H353)</f>
        <v>8.0000000000000004E-4</v>
      </c>
      <c r="I352" s="378">
        <f>SUM(I353:I353)</f>
        <v>1</v>
      </c>
      <c r="J352" s="372"/>
      <c r="K352" s="377">
        <f>SUM(K353:K353)</f>
        <v>0</v>
      </c>
      <c r="L352" s="378">
        <f>SUM(L353:L353)</f>
        <v>0</v>
      </c>
    </row>
    <row r="353" spans="1:12" hidden="1" outlineLevel="3">
      <c r="A353" s="372"/>
      <c r="B353" s="372" t="s">
        <v>251</v>
      </c>
      <c r="C353" s="376" t="s">
        <v>252</v>
      </c>
      <c r="D353" s="372" t="s">
        <v>25</v>
      </c>
      <c r="E353" s="376" t="s">
        <v>26</v>
      </c>
      <c r="F353" s="422" t="s">
        <v>256</v>
      </c>
      <c r="G353" s="372"/>
      <c r="H353" s="399">
        <v>8.0000000000000004E-4</v>
      </c>
      <c r="I353" s="378">
        <v>1</v>
      </c>
      <c r="J353" s="372"/>
      <c r="K353" s="399">
        <f>IF(L353=1,H353,0)</f>
        <v>0</v>
      </c>
      <c r="L353" s="378"/>
    </row>
    <row r="354" spans="1:12" outlineLevel="1" collapsed="1">
      <c r="A354" s="372"/>
      <c r="B354" s="380" t="s">
        <v>258</v>
      </c>
      <c r="C354" s="380" t="s">
        <v>259</v>
      </c>
      <c r="D354" s="385"/>
      <c r="E354" s="380"/>
      <c r="F354" s="424" t="s">
        <v>223</v>
      </c>
      <c r="G354" s="372"/>
      <c r="H354" s="405">
        <f>SUM(H355,H358,H359,H360)</f>
        <v>0.43996002400000001</v>
      </c>
      <c r="I354" s="396">
        <f>I355+I358+I359+I360</f>
        <v>2</v>
      </c>
      <c r="J354" s="372"/>
      <c r="K354" s="405">
        <f>SUM(K355,K358,K359,K360)</f>
        <v>0</v>
      </c>
      <c r="L354" s="396">
        <f>L355+L358+L359+L360</f>
        <v>0</v>
      </c>
    </row>
    <row r="355" spans="1:12" hidden="1" outlineLevel="2" collapsed="1">
      <c r="A355" s="372"/>
      <c r="B355" s="376" t="s">
        <v>258</v>
      </c>
      <c r="C355" s="376" t="s">
        <v>259</v>
      </c>
      <c r="D355" s="372" t="s">
        <v>17</v>
      </c>
      <c r="E355" s="376"/>
      <c r="F355" s="422" t="s">
        <v>77</v>
      </c>
      <c r="G355" s="372"/>
      <c r="H355" s="399">
        <f>SUM(H356:H357)</f>
        <v>0.43996002400000001</v>
      </c>
      <c r="I355" s="397">
        <f>SUM(I356:I357)</f>
        <v>2</v>
      </c>
      <c r="J355" s="372"/>
      <c r="K355" s="399">
        <f>SUM(K356:K357)</f>
        <v>0</v>
      </c>
      <c r="L355" s="397">
        <f>SUM(L356:L357)</f>
        <v>0</v>
      </c>
    </row>
    <row r="356" spans="1:12" hidden="1" outlineLevel="3">
      <c r="A356" s="372"/>
      <c r="B356" s="376" t="s">
        <v>258</v>
      </c>
      <c r="C356" s="376" t="s">
        <v>259</v>
      </c>
      <c r="D356" s="372" t="s">
        <v>17</v>
      </c>
      <c r="E356" s="376" t="s">
        <v>127</v>
      </c>
      <c r="F356" s="422" t="s">
        <v>235</v>
      </c>
      <c r="G356" s="372"/>
      <c r="H356" s="399">
        <v>0.17598400959999999</v>
      </c>
      <c r="I356" s="397">
        <v>1</v>
      </c>
      <c r="J356" s="372"/>
      <c r="K356" s="399">
        <f t="shared" ref="K356:K357" si="48">IF(L356=1,H356,0)</f>
        <v>0</v>
      </c>
      <c r="L356" s="397"/>
    </row>
    <row r="357" spans="1:12" hidden="1" outlineLevel="3">
      <c r="A357" s="372"/>
      <c r="B357" s="376" t="s">
        <v>258</v>
      </c>
      <c r="C357" s="376" t="s">
        <v>259</v>
      </c>
      <c r="D357" s="372" t="s">
        <v>17</v>
      </c>
      <c r="E357" s="376" t="s">
        <v>127</v>
      </c>
      <c r="F357" s="422" t="s">
        <v>236</v>
      </c>
      <c r="G357" s="372"/>
      <c r="H357" s="399">
        <v>0.26397601440000001</v>
      </c>
      <c r="I357" s="397">
        <v>1</v>
      </c>
      <c r="J357" s="372"/>
      <c r="K357" s="399">
        <f t="shared" si="48"/>
        <v>0</v>
      </c>
      <c r="L357" s="397"/>
    </row>
    <row r="358" spans="1:12" hidden="1" outlineLevel="2">
      <c r="A358" s="372"/>
      <c r="B358" s="376" t="s">
        <v>258</v>
      </c>
      <c r="C358" s="376" t="s">
        <v>259</v>
      </c>
      <c r="D358" s="372" t="s">
        <v>25</v>
      </c>
      <c r="E358" s="372"/>
      <c r="F358" s="422" t="s">
        <v>77</v>
      </c>
      <c r="G358" s="372"/>
      <c r="H358" s="399"/>
      <c r="I358" s="397"/>
      <c r="J358" s="372"/>
      <c r="K358" s="399"/>
      <c r="L358" s="397"/>
    </row>
    <row r="359" spans="1:12" hidden="1" outlineLevel="2">
      <c r="A359" s="372"/>
      <c r="B359" s="376" t="s">
        <v>258</v>
      </c>
      <c r="C359" s="376" t="s">
        <v>259</v>
      </c>
      <c r="D359" s="372" t="s">
        <v>27</v>
      </c>
      <c r="E359" s="372"/>
      <c r="F359" s="422" t="s">
        <v>77</v>
      </c>
      <c r="G359" s="372"/>
      <c r="H359" s="399"/>
      <c r="I359" s="397"/>
      <c r="J359" s="372"/>
      <c r="K359" s="399"/>
      <c r="L359" s="397"/>
    </row>
    <row r="360" spans="1:12" hidden="1" outlineLevel="2">
      <c r="A360" s="372"/>
      <c r="B360" s="376" t="s">
        <v>258</v>
      </c>
      <c r="C360" s="376" t="s">
        <v>259</v>
      </c>
      <c r="D360" s="372" t="s">
        <v>58</v>
      </c>
      <c r="E360" s="372"/>
      <c r="F360" s="422" t="s">
        <v>77</v>
      </c>
      <c r="G360" s="372"/>
      <c r="H360" s="399"/>
      <c r="I360" s="397"/>
      <c r="J360" s="372"/>
      <c r="K360" s="399"/>
      <c r="L360" s="397"/>
    </row>
    <row r="361" spans="1:12" outlineLevel="1" collapsed="1">
      <c r="A361" s="372"/>
      <c r="B361" s="391" t="s">
        <v>260</v>
      </c>
      <c r="C361" s="386" t="s">
        <v>261</v>
      </c>
      <c r="D361" s="386"/>
      <c r="E361" s="386"/>
      <c r="F361" s="424" t="s">
        <v>262</v>
      </c>
      <c r="G361" s="372"/>
      <c r="H361" s="408">
        <f>SUM(H362:H365)</f>
        <v>0</v>
      </c>
      <c r="I361" s="409">
        <f>SUM(I362:I366)</f>
        <v>27</v>
      </c>
      <c r="J361" s="372"/>
      <c r="K361" s="408">
        <f>SUM(K362:K365)</f>
        <v>0</v>
      </c>
      <c r="L361" s="409">
        <f>SUM(L362:L366)</f>
        <v>2</v>
      </c>
    </row>
    <row r="362" spans="1:12" hidden="1" outlineLevel="2">
      <c r="A362" s="372"/>
      <c r="B362" s="372" t="s">
        <v>173</v>
      </c>
      <c r="C362" s="387" t="s">
        <v>261</v>
      </c>
      <c r="D362" s="372" t="s">
        <v>17</v>
      </c>
      <c r="E362" s="372" t="s">
        <v>263</v>
      </c>
      <c r="F362" s="428" t="s">
        <v>1839</v>
      </c>
      <c r="G362" s="372"/>
      <c r="H362" s="377"/>
      <c r="I362" s="378">
        <v>9</v>
      </c>
      <c r="J362" s="372"/>
      <c r="K362" s="377"/>
      <c r="L362" s="378">
        <v>2</v>
      </c>
    </row>
    <row r="363" spans="1:12" hidden="1" outlineLevel="2">
      <c r="A363" s="372"/>
      <c r="B363" s="372" t="s">
        <v>265</v>
      </c>
      <c r="C363" s="387" t="s">
        <v>261</v>
      </c>
      <c r="D363" s="372" t="s">
        <v>17</v>
      </c>
      <c r="E363" s="372" t="s">
        <v>263</v>
      </c>
      <c r="F363" s="422" t="s">
        <v>1840</v>
      </c>
      <c r="G363" s="372"/>
      <c r="H363" s="377"/>
      <c r="I363" s="378">
        <v>9</v>
      </c>
      <c r="J363" s="372"/>
      <c r="K363" s="377"/>
      <c r="L363" s="378"/>
    </row>
    <row r="364" spans="1:12" hidden="1" outlineLevel="2">
      <c r="A364" s="372"/>
      <c r="B364" s="372" t="s">
        <v>267</v>
      </c>
      <c r="C364" s="387" t="s">
        <v>261</v>
      </c>
      <c r="D364" s="372" t="s">
        <v>17</v>
      </c>
      <c r="E364" s="372" t="s">
        <v>263</v>
      </c>
      <c r="F364" s="422" t="s">
        <v>1841</v>
      </c>
      <c r="G364" s="372"/>
      <c r="H364" s="377"/>
      <c r="I364" s="378">
        <v>2</v>
      </c>
      <c r="J364" s="372"/>
      <c r="K364" s="377"/>
      <c r="L364" s="378"/>
    </row>
    <row r="365" spans="1:12" hidden="1" outlineLevel="2">
      <c r="A365" s="372"/>
      <c r="B365" s="372" t="s">
        <v>269</v>
      </c>
      <c r="C365" s="387" t="s">
        <v>261</v>
      </c>
      <c r="D365" s="372" t="s">
        <v>17</v>
      </c>
      <c r="E365" s="372" t="s">
        <v>263</v>
      </c>
      <c r="F365" s="422" t="s">
        <v>1842</v>
      </c>
      <c r="G365" s="372"/>
      <c r="H365" s="377"/>
      <c r="I365" s="378">
        <v>1</v>
      </c>
      <c r="J365" s="372"/>
      <c r="K365" s="399"/>
      <c r="L365" s="378"/>
    </row>
    <row r="366" spans="1:12" hidden="1" outlineLevel="2">
      <c r="A366" s="372"/>
      <c r="B366" s="372" t="s">
        <v>271</v>
      </c>
      <c r="C366" s="387" t="s">
        <v>261</v>
      </c>
      <c r="D366" s="372" t="s">
        <v>17</v>
      </c>
      <c r="E366" s="372" t="s">
        <v>263</v>
      </c>
      <c r="F366" s="422" t="s">
        <v>1843</v>
      </c>
      <c r="G366" s="372"/>
      <c r="H366" s="377"/>
      <c r="I366" s="378">
        <v>6</v>
      </c>
      <c r="J366" s="372"/>
      <c r="K366" s="377"/>
      <c r="L366" s="378"/>
    </row>
    <row r="367" spans="1:12" outlineLevel="1" collapsed="1">
      <c r="A367" s="372"/>
      <c r="B367" s="411" t="s">
        <v>274</v>
      </c>
      <c r="C367" s="385" t="s">
        <v>275</v>
      </c>
      <c r="D367" s="385"/>
      <c r="E367" s="385"/>
      <c r="F367" s="424"/>
      <c r="G367" s="372"/>
      <c r="H367" s="410">
        <f>SUM(H368:H368)</f>
        <v>0.4</v>
      </c>
      <c r="I367" s="396">
        <f>SUM(I368)</f>
        <v>1</v>
      </c>
      <c r="J367" s="372"/>
      <c r="K367" s="410">
        <f>SUM(K368:K368)</f>
        <v>0</v>
      </c>
      <c r="L367" s="396">
        <f>SUM(L368)</f>
        <v>0</v>
      </c>
    </row>
    <row r="368" spans="1:12" hidden="1" outlineLevel="2">
      <c r="A368" s="372"/>
      <c r="B368" s="372" t="s">
        <v>91</v>
      </c>
      <c r="C368" s="372" t="s">
        <v>92</v>
      </c>
      <c r="D368" s="372" t="s">
        <v>25</v>
      </c>
      <c r="E368" s="372" t="s">
        <v>26</v>
      </c>
      <c r="F368" s="422" t="s">
        <v>276</v>
      </c>
      <c r="G368" s="372"/>
      <c r="H368" s="377">
        <v>0.4</v>
      </c>
      <c r="I368" s="378">
        <v>1</v>
      </c>
      <c r="J368" s="372"/>
      <c r="K368" s="399">
        <f>IF(L368=1,H368,0)</f>
        <v>0</v>
      </c>
      <c r="L368" s="378"/>
    </row>
    <row r="369" spans="1:13" ht="3" customHeight="1" outlineLevel="1"/>
    <row r="370" spans="1:13" ht="15">
      <c r="A370" s="372"/>
      <c r="B370" s="430" t="s">
        <v>280</v>
      </c>
      <c r="C370" s="431"/>
      <c r="D370" s="430"/>
      <c r="E370" s="430"/>
      <c r="F370" s="432"/>
      <c r="G370" s="372"/>
      <c r="H370" s="461">
        <f>SUM(H372,H387,H400,H415,H433,H444,H595,H455,H480,H498,H513,H540,H546,H552,H557,H570,H582)</f>
        <v>77.146601495601089</v>
      </c>
      <c r="I370" s="459">
        <f>SUM(I372,I387,I400,I415,I433,I444,I595,I455,I480,I498,I513,I540,I546,I552,I557,I570,I582)</f>
        <v>150</v>
      </c>
      <c r="J370" s="372"/>
      <c r="K370" s="461">
        <f>SUM(K372,K387,K400,K415,K433,K444,K595,K455,K480,K498,K513,K540,K546,K552,K557,K570,K582)</f>
        <v>2.6038746026479003</v>
      </c>
      <c r="L370" s="459">
        <f>SUM(L372,L387,L400,L415,L433,L444,L595,L455,L480,L498,L513,L540,L546,L552,L557,L570,L582)</f>
        <v>8</v>
      </c>
      <c r="M370" s="372"/>
    </row>
    <row r="371" spans="1:13" ht="3" customHeight="1" outlineLevel="1">
      <c r="A371" s="372"/>
      <c r="B371" s="376"/>
      <c r="C371" s="372"/>
      <c r="D371" s="376"/>
      <c r="E371" s="376"/>
      <c r="F371" s="422"/>
      <c r="G371" s="372"/>
      <c r="H371" s="399"/>
      <c r="I371" s="397"/>
      <c r="J371" s="372"/>
      <c r="K371" s="399"/>
      <c r="L371" s="397"/>
      <c r="M371" s="372"/>
    </row>
    <row r="372" spans="1:13" outlineLevel="1" collapsed="1">
      <c r="A372" s="372"/>
      <c r="B372" s="380" t="s">
        <v>281</v>
      </c>
      <c r="C372" s="385" t="s">
        <v>70</v>
      </c>
      <c r="D372" s="380"/>
      <c r="E372" s="380"/>
      <c r="F372" s="424" t="s">
        <v>282</v>
      </c>
      <c r="G372" s="372"/>
      <c r="H372" s="405">
        <f>SUM(H373,H379,H381,H384)</f>
        <v>1.6885800000000002</v>
      </c>
      <c r="I372" s="396">
        <f>SUM(I373,I379,I381,I384)</f>
        <v>10</v>
      </c>
      <c r="J372" s="372"/>
      <c r="K372" s="405">
        <f>SUM(K373,K379,K381,K384)</f>
        <v>0</v>
      </c>
      <c r="L372" s="396">
        <f>SUM(L373,L379,L381,L384)</f>
        <v>0</v>
      </c>
      <c r="M372" s="372"/>
    </row>
    <row r="373" spans="1:13" hidden="1" outlineLevel="2" collapsed="1">
      <c r="A373" s="372"/>
      <c r="B373" s="376" t="s">
        <v>281</v>
      </c>
      <c r="C373" s="372" t="s">
        <v>70</v>
      </c>
      <c r="D373" s="372" t="s">
        <v>17</v>
      </c>
      <c r="E373" s="376"/>
      <c r="F373" s="422" t="s">
        <v>283</v>
      </c>
      <c r="G373" s="372"/>
      <c r="H373" s="399">
        <f>SUM(H374:H378)</f>
        <v>1.35</v>
      </c>
      <c r="I373" s="378">
        <f>SUM(I374:I378)</f>
        <v>5</v>
      </c>
      <c r="J373" s="372"/>
      <c r="K373" s="399">
        <f>SUM(K374:K378)</f>
        <v>0</v>
      </c>
      <c r="L373" s="378">
        <f>SUM(L374:L378)</f>
        <v>0</v>
      </c>
      <c r="M373" s="372"/>
    </row>
    <row r="374" spans="1:13" hidden="1" outlineLevel="3">
      <c r="A374" s="372"/>
      <c r="B374" s="376" t="s">
        <v>281</v>
      </c>
      <c r="C374" s="372" t="s">
        <v>70</v>
      </c>
      <c r="D374" s="372" t="s">
        <v>17</v>
      </c>
      <c r="E374" s="376" t="s">
        <v>127</v>
      </c>
      <c r="F374" s="422" t="s">
        <v>284</v>
      </c>
      <c r="G374" s="372"/>
      <c r="H374" s="377">
        <v>0.54</v>
      </c>
      <c r="I374" s="378">
        <v>1</v>
      </c>
      <c r="J374" s="372"/>
      <c r="K374" s="399">
        <f t="shared" ref="K374:K378" si="49">IF(L374=1,H374,0)</f>
        <v>0</v>
      </c>
      <c r="L374" s="378"/>
      <c r="M374" s="372"/>
    </row>
    <row r="375" spans="1:13" hidden="1" outlineLevel="3">
      <c r="A375" s="372"/>
      <c r="B375" s="376" t="s">
        <v>281</v>
      </c>
      <c r="C375" s="372" t="s">
        <v>70</v>
      </c>
      <c r="D375" s="372" t="s">
        <v>17</v>
      </c>
      <c r="E375" s="376" t="s">
        <v>127</v>
      </c>
      <c r="F375" s="422" t="s">
        <v>31</v>
      </c>
      <c r="G375" s="372"/>
      <c r="H375" s="377">
        <v>0.43</v>
      </c>
      <c r="I375" s="378">
        <v>1</v>
      </c>
      <c r="J375" s="372"/>
      <c r="K375" s="399">
        <f t="shared" si="49"/>
        <v>0</v>
      </c>
      <c r="L375" s="378"/>
      <c r="M375" s="372"/>
    </row>
    <row r="376" spans="1:13" hidden="1" outlineLevel="3">
      <c r="A376" s="372"/>
      <c r="B376" s="376" t="s">
        <v>281</v>
      </c>
      <c r="C376" s="372" t="s">
        <v>70</v>
      </c>
      <c r="D376" s="372" t="s">
        <v>17</v>
      </c>
      <c r="E376" s="376" t="s">
        <v>127</v>
      </c>
      <c r="F376" s="422" t="s">
        <v>32</v>
      </c>
      <c r="G376" s="372"/>
      <c r="H376" s="377">
        <v>0.21</v>
      </c>
      <c r="I376" s="378">
        <v>1</v>
      </c>
      <c r="J376" s="372"/>
      <c r="K376" s="399">
        <f t="shared" si="49"/>
        <v>0</v>
      </c>
      <c r="L376" s="378"/>
      <c r="M376" s="372"/>
    </row>
    <row r="377" spans="1:13" hidden="1" outlineLevel="3">
      <c r="A377" s="372"/>
      <c r="B377" s="376" t="s">
        <v>281</v>
      </c>
      <c r="C377" s="372" t="s">
        <v>70</v>
      </c>
      <c r="D377" s="372" t="s">
        <v>17</v>
      </c>
      <c r="E377" s="376" t="s">
        <v>177</v>
      </c>
      <c r="F377" s="422" t="s">
        <v>286</v>
      </c>
      <c r="G377" s="372"/>
      <c r="H377" s="399">
        <v>0.11</v>
      </c>
      <c r="I377" s="397">
        <v>1</v>
      </c>
      <c r="J377" s="372"/>
      <c r="K377" s="399">
        <f t="shared" si="49"/>
        <v>0</v>
      </c>
      <c r="L377" s="397"/>
      <c r="M377" s="372"/>
    </row>
    <row r="378" spans="1:13" hidden="1" outlineLevel="3">
      <c r="A378" s="372"/>
      <c r="B378" s="376" t="s">
        <v>281</v>
      </c>
      <c r="C378" s="372" t="s">
        <v>70</v>
      </c>
      <c r="D378" s="372" t="s">
        <v>17</v>
      </c>
      <c r="E378" s="376" t="s">
        <v>177</v>
      </c>
      <c r="F378" s="422" t="s">
        <v>287</v>
      </c>
      <c r="G378" s="372"/>
      <c r="H378" s="399">
        <v>0.06</v>
      </c>
      <c r="I378" s="397">
        <v>1</v>
      </c>
      <c r="J378" s="372"/>
      <c r="K378" s="399">
        <f t="shared" si="49"/>
        <v>0</v>
      </c>
      <c r="L378" s="397"/>
      <c r="M378" s="372"/>
    </row>
    <row r="379" spans="1:13" hidden="1" outlineLevel="2" collapsed="1">
      <c r="A379" s="372"/>
      <c r="B379" s="376" t="s">
        <v>281</v>
      </c>
      <c r="C379" s="372" t="s">
        <v>70</v>
      </c>
      <c r="D379" s="372" t="s">
        <v>25</v>
      </c>
      <c r="E379" s="372"/>
      <c r="F379" s="422" t="s">
        <v>283</v>
      </c>
      <c r="G379" s="372"/>
      <c r="H379" s="399">
        <f>SUM(H380:H380)</f>
        <v>0.17172000000000001</v>
      </c>
      <c r="I379" s="378">
        <f>SUM(I380:I380)</f>
        <v>1</v>
      </c>
      <c r="J379" s="372"/>
      <c r="K379" s="399">
        <f>SUM(K380:K380)</f>
        <v>0</v>
      </c>
      <c r="L379" s="378">
        <f>SUM(L380:L380)</f>
        <v>0</v>
      </c>
      <c r="M379" s="372"/>
    </row>
    <row r="380" spans="1:13" hidden="1" outlineLevel="4">
      <c r="A380" s="372"/>
      <c r="B380" s="376" t="s">
        <v>281</v>
      </c>
      <c r="C380" s="372" t="s">
        <v>70</v>
      </c>
      <c r="D380" s="372" t="s">
        <v>25</v>
      </c>
      <c r="E380" s="372" t="s">
        <v>26</v>
      </c>
      <c r="F380" s="427" t="s">
        <v>31</v>
      </c>
      <c r="G380" s="372"/>
      <c r="H380" s="377">
        <v>0.17172000000000001</v>
      </c>
      <c r="I380" s="378">
        <v>1</v>
      </c>
      <c r="J380" s="372"/>
      <c r="K380" s="399">
        <f>IF(L380=1,H380,0)</f>
        <v>0</v>
      </c>
      <c r="L380" s="378"/>
      <c r="M380" s="372"/>
    </row>
    <row r="381" spans="1:13" hidden="1" outlineLevel="2" collapsed="1">
      <c r="A381" s="372"/>
      <c r="B381" s="376" t="s">
        <v>281</v>
      </c>
      <c r="C381" s="372" t="s">
        <v>70</v>
      </c>
      <c r="D381" s="372" t="s">
        <v>27</v>
      </c>
      <c r="E381" s="372"/>
      <c r="F381" s="422" t="s">
        <v>283</v>
      </c>
      <c r="G381" s="372"/>
      <c r="H381" s="399">
        <f>SUM(H382:H383)</f>
        <v>9.5579999999999998E-2</v>
      </c>
      <c r="I381" s="378">
        <f>SUM(I382:I383)</f>
        <v>2</v>
      </c>
      <c r="J381" s="372"/>
      <c r="K381" s="399">
        <f>SUM(K382:K383)</f>
        <v>0</v>
      </c>
      <c r="L381" s="378">
        <f>SUM(L382:L383)</f>
        <v>0</v>
      </c>
      <c r="M381" s="372"/>
    </row>
    <row r="382" spans="1:13" hidden="1" outlineLevel="4">
      <c r="A382" s="372"/>
      <c r="B382" s="376" t="s">
        <v>281</v>
      </c>
      <c r="C382" s="372" t="s">
        <v>70</v>
      </c>
      <c r="D382" s="372" t="s">
        <v>27</v>
      </c>
      <c r="E382" s="372" t="s">
        <v>28</v>
      </c>
      <c r="F382" s="422" t="s">
        <v>31</v>
      </c>
      <c r="G382" s="372"/>
      <c r="H382" s="377">
        <v>6.3719999999999999E-2</v>
      </c>
      <c r="I382" s="378">
        <v>1</v>
      </c>
      <c r="J382" s="372"/>
      <c r="K382" s="399">
        <f t="shared" ref="K382:K383" si="50">IF(L382=1,H382,0)</f>
        <v>0</v>
      </c>
      <c r="L382" s="378"/>
      <c r="M382" s="372"/>
    </row>
    <row r="383" spans="1:13" hidden="1" outlineLevel="4">
      <c r="A383" s="372"/>
      <c r="B383" s="376" t="s">
        <v>281</v>
      </c>
      <c r="C383" s="372" t="s">
        <v>70</v>
      </c>
      <c r="D383" s="372" t="s">
        <v>27</v>
      </c>
      <c r="E383" s="372" t="s">
        <v>28</v>
      </c>
      <c r="F383" s="422" t="s">
        <v>32</v>
      </c>
      <c r="G383" s="372"/>
      <c r="H383" s="377">
        <v>3.1859999999999999E-2</v>
      </c>
      <c r="I383" s="378">
        <v>1</v>
      </c>
      <c r="J383" s="372"/>
      <c r="K383" s="399">
        <f t="shared" si="50"/>
        <v>0</v>
      </c>
      <c r="L383" s="378"/>
      <c r="M383" s="372"/>
    </row>
    <row r="384" spans="1:13" hidden="1" outlineLevel="2" collapsed="1">
      <c r="A384" s="372"/>
      <c r="B384" s="376" t="s">
        <v>281</v>
      </c>
      <c r="C384" s="372" t="s">
        <v>70</v>
      </c>
      <c r="D384" s="372" t="s">
        <v>58</v>
      </c>
      <c r="E384" s="372"/>
      <c r="F384" s="422" t="s">
        <v>283</v>
      </c>
      <c r="G384" s="372"/>
      <c r="H384" s="399">
        <f>SUM(H385:H386)</f>
        <v>7.1279999999999996E-2</v>
      </c>
      <c r="I384" s="378">
        <f>SUM(I385:I386)</f>
        <v>2</v>
      </c>
      <c r="J384" s="372"/>
      <c r="K384" s="399">
        <f>SUM(K385:K386)</f>
        <v>0</v>
      </c>
      <c r="L384" s="378">
        <f>SUM(L385:L386)</f>
        <v>0</v>
      </c>
      <c r="M384" s="372"/>
    </row>
    <row r="385" spans="1:13" hidden="1" outlineLevel="4">
      <c r="A385" s="372"/>
      <c r="B385" s="376" t="s">
        <v>281</v>
      </c>
      <c r="C385" s="372" t="s">
        <v>70</v>
      </c>
      <c r="D385" s="372" t="s">
        <v>58</v>
      </c>
      <c r="E385" s="372" t="s">
        <v>28</v>
      </c>
      <c r="F385" s="422" t="s">
        <v>31</v>
      </c>
      <c r="G385" s="372"/>
      <c r="H385" s="377">
        <v>5.3460000000000001E-2</v>
      </c>
      <c r="I385" s="613">
        <v>1</v>
      </c>
      <c r="J385" s="372"/>
      <c r="K385" s="399">
        <f t="shared" ref="K385:K386" si="51">IF(L385=1,H385,0)</f>
        <v>0</v>
      </c>
      <c r="L385" s="613"/>
      <c r="M385" s="372"/>
    </row>
    <row r="386" spans="1:13" hidden="1" outlineLevel="4">
      <c r="A386" s="372"/>
      <c r="B386" s="376" t="s">
        <v>281</v>
      </c>
      <c r="C386" s="372" t="s">
        <v>70</v>
      </c>
      <c r="D386" s="372" t="s">
        <v>58</v>
      </c>
      <c r="E386" s="372" t="s">
        <v>28</v>
      </c>
      <c r="F386" s="422" t="s">
        <v>32</v>
      </c>
      <c r="G386" s="372"/>
      <c r="H386" s="377">
        <v>1.7819999999999999E-2</v>
      </c>
      <c r="I386" s="613">
        <v>1</v>
      </c>
      <c r="J386" s="372"/>
      <c r="K386" s="399">
        <f t="shared" si="51"/>
        <v>0</v>
      </c>
      <c r="L386" s="613"/>
      <c r="M386" s="372"/>
    </row>
    <row r="387" spans="1:13" ht="26.4" outlineLevel="1" collapsed="1">
      <c r="A387" s="372"/>
      <c r="B387" s="380" t="s">
        <v>289</v>
      </c>
      <c r="C387" s="380" t="s">
        <v>29</v>
      </c>
      <c r="D387" s="380"/>
      <c r="E387" s="380"/>
      <c r="F387" s="424" t="s">
        <v>290</v>
      </c>
      <c r="G387" s="372"/>
      <c r="H387" s="410">
        <f>SUM(H388,H392,H394,H397)</f>
        <v>0.77324456000000008</v>
      </c>
      <c r="I387" s="396">
        <f>SUM(I388,I392,I394,I397)</f>
        <v>8</v>
      </c>
      <c r="J387" s="372"/>
      <c r="K387" s="410">
        <f>SUM(K388,K392,K394,K397)</f>
        <v>0</v>
      </c>
      <c r="L387" s="396">
        <f>SUM(L388,L392,L394,L397)</f>
        <v>0</v>
      </c>
      <c r="M387" s="372"/>
    </row>
    <row r="388" spans="1:13" hidden="1" outlineLevel="2" collapsed="1">
      <c r="A388" s="372"/>
      <c r="B388" s="372" t="s">
        <v>289</v>
      </c>
      <c r="C388" s="376" t="s">
        <v>29</v>
      </c>
      <c r="D388" s="372" t="s">
        <v>17</v>
      </c>
      <c r="E388" s="376"/>
      <c r="F388" s="422" t="s">
        <v>291</v>
      </c>
      <c r="G388" s="372"/>
      <c r="H388" s="399">
        <f>SUM(H389:H391)</f>
        <v>0.61820000000000008</v>
      </c>
      <c r="I388" s="397">
        <f>SUM(I389:I391)</f>
        <v>3</v>
      </c>
      <c r="J388" s="372"/>
      <c r="K388" s="399">
        <f>SUM(K389:K391)</f>
        <v>0</v>
      </c>
      <c r="L388" s="397">
        <f>SUM(L389:L391)</f>
        <v>0</v>
      </c>
      <c r="M388" s="372"/>
    </row>
    <row r="389" spans="1:13" hidden="1" outlineLevel="3">
      <c r="A389" s="372"/>
      <c r="B389" s="372" t="s">
        <v>289</v>
      </c>
      <c r="C389" s="376" t="s">
        <v>29</v>
      </c>
      <c r="D389" s="372" t="s">
        <v>17</v>
      </c>
      <c r="E389" s="376" t="s">
        <v>64</v>
      </c>
      <c r="F389" s="422" t="s">
        <v>284</v>
      </c>
      <c r="G389" s="372"/>
      <c r="H389" s="399">
        <v>0.24728000000000006</v>
      </c>
      <c r="I389" s="397">
        <v>1</v>
      </c>
      <c r="J389" s="372"/>
      <c r="K389" s="399">
        <f t="shared" ref="K389:K391" si="52">IF(L389=1,H389,0)</f>
        <v>0</v>
      </c>
      <c r="L389" s="397"/>
      <c r="M389" s="372"/>
    </row>
    <row r="390" spans="1:13" hidden="1" outlineLevel="3">
      <c r="A390" s="372"/>
      <c r="B390" s="372" t="s">
        <v>289</v>
      </c>
      <c r="C390" s="376" t="s">
        <v>29</v>
      </c>
      <c r="D390" s="372" t="s">
        <v>17</v>
      </c>
      <c r="E390" s="376" t="s">
        <v>64</v>
      </c>
      <c r="F390" s="422" t="s">
        <v>31</v>
      </c>
      <c r="G390" s="372"/>
      <c r="H390" s="399">
        <v>0.24728000000000006</v>
      </c>
      <c r="I390" s="397">
        <v>1</v>
      </c>
      <c r="J390" s="372"/>
      <c r="K390" s="399">
        <f t="shared" si="52"/>
        <v>0</v>
      </c>
      <c r="L390" s="397"/>
      <c r="M390" s="372"/>
    </row>
    <row r="391" spans="1:13" hidden="1" outlineLevel="3">
      <c r="A391" s="372"/>
      <c r="B391" s="372" t="s">
        <v>289</v>
      </c>
      <c r="C391" s="376" t="s">
        <v>29</v>
      </c>
      <c r="D391" s="372" t="s">
        <v>17</v>
      </c>
      <c r="E391" s="372" t="s">
        <v>64</v>
      </c>
      <c r="F391" s="422" t="s">
        <v>32</v>
      </c>
      <c r="G391" s="372"/>
      <c r="H391" s="399">
        <v>0.12364000000000003</v>
      </c>
      <c r="I391" s="397">
        <v>1</v>
      </c>
      <c r="J391" s="372"/>
      <c r="K391" s="399">
        <f t="shared" si="52"/>
        <v>0</v>
      </c>
      <c r="L391" s="397"/>
      <c r="M391" s="372"/>
    </row>
    <row r="392" spans="1:13" hidden="1" outlineLevel="2" collapsed="1">
      <c r="A392" s="372"/>
      <c r="B392" s="372" t="s">
        <v>289</v>
      </c>
      <c r="C392" s="376" t="s">
        <v>29</v>
      </c>
      <c r="D392" s="372" t="s">
        <v>25</v>
      </c>
      <c r="E392" s="372"/>
      <c r="F392" s="422" t="s">
        <v>294</v>
      </c>
      <c r="G392" s="372"/>
      <c r="H392" s="399">
        <f>SUM(H393:H393)</f>
        <v>7.8635040000000003E-2</v>
      </c>
      <c r="I392" s="397">
        <f>SUM(I393:I393)</f>
        <v>1</v>
      </c>
      <c r="J392" s="372"/>
      <c r="K392" s="399">
        <f>SUM(K393:K393)</f>
        <v>0</v>
      </c>
      <c r="L392" s="397">
        <f>SUM(L393:L393)</f>
        <v>0</v>
      </c>
      <c r="M392" s="372"/>
    </row>
    <row r="393" spans="1:13" hidden="1" outlineLevel="3">
      <c r="A393" s="372"/>
      <c r="B393" s="372" t="s">
        <v>289</v>
      </c>
      <c r="C393" s="376" t="s">
        <v>29</v>
      </c>
      <c r="D393" s="372" t="s">
        <v>25</v>
      </c>
      <c r="E393" s="372" t="s">
        <v>26</v>
      </c>
      <c r="F393" s="422" t="s">
        <v>31</v>
      </c>
      <c r="G393" s="372"/>
      <c r="H393" s="399">
        <v>7.8635040000000003E-2</v>
      </c>
      <c r="I393" s="397">
        <v>1</v>
      </c>
      <c r="J393" s="372"/>
      <c r="K393" s="399">
        <f>IF(L393=1,H393,0)</f>
        <v>0</v>
      </c>
      <c r="L393" s="397"/>
      <c r="M393" s="372"/>
    </row>
    <row r="394" spans="1:13" hidden="1" outlineLevel="2" collapsed="1">
      <c r="A394" s="372"/>
      <c r="B394" s="372" t="s">
        <v>289</v>
      </c>
      <c r="C394" s="376" t="s">
        <v>29</v>
      </c>
      <c r="D394" s="372" t="s">
        <v>27</v>
      </c>
      <c r="E394" s="372"/>
      <c r="F394" s="422" t="s">
        <v>295</v>
      </c>
      <c r="G394" s="372"/>
      <c r="H394" s="377">
        <f>SUM(H395:H396)</f>
        <v>4.3768560000000005E-2</v>
      </c>
      <c r="I394" s="378">
        <f>SUM(I395:I396)</f>
        <v>2</v>
      </c>
      <c r="J394" s="372"/>
      <c r="K394" s="377">
        <f>SUM(K395:K396)</f>
        <v>0</v>
      </c>
      <c r="L394" s="378">
        <f>SUM(L395:L396)</f>
        <v>0</v>
      </c>
      <c r="M394" s="372"/>
    </row>
    <row r="395" spans="1:13" hidden="1" outlineLevel="3" collapsed="1">
      <c r="A395" s="372"/>
      <c r="B395" s="372" t="s">
        <v>289</v>
      </c>
      <c r="C395" s="376" t="s">
        <v>29</v>
      </c>
      <c r="D395" s="372" t="s">
        <v>27</v>
      </c>
      <c r="E395" s="372" t="s">
        <v>28</v>
      </c>
      <c r="F395" s="422" t="s">
        <v>31</v>
      </c>
      <c r="G395" s="372"/>
      <c r="H395" s="399">
        <v>2.9179040000000003E-2</v>
      </c>
      <c r="I395" s="397">
        <v>1</v>
      </c>
      <c r="J395" s="372"/>
      <c r="K395" s="399">
        <f t="shared" ref="K395:K396" si="53">IF(L395=1,H395,0)</f>
        <v>0</v>
      </c>
      <c r="L395" s="397"/>
      <c r="M395" s="372"/>
    </row>
    <row r="396" spans="1:13" hidden="1" outlineLevel="3">
      <c r="A396" s="372"/>
      <c r="B396" s="372" t="s">
        <v>289</v>
      </c>
      <c r="C396" s="376" t="s">
        <v>29</v>
      </c>
      <c r="D396" s="372" t="s">
        <v>27</v>
      </c>
      <c r="E396" s="372" t="s">
        <v>28</v>
      </c>
      <c r="F396" s="422" t="s">
        <v>32</v>
      </c>
      <c r="G396" s="372"/>
      <c r="H396" s="377">
        <v>1.4589520000000002E-2</v>
      </c>
      <c r="I396" s="378">
        <v>1</v>
      </c>
      <c r="J396" s="372"/>
      <c r="K396" s="399">
        <f t="shared" si="53"/>
        <v>0</v>
      </c>
      <c r="L396" s="378"/>
      <c r="M396" s="372"/>
    </row>
    <row r="397" spans="1:13" hidden="1" outlineLevel="2" collapsed="1">
      <c r="A397" s="372"/>
      <c r="B397" s="372" t="s">
        <v>289</v>
      </c>
      <c r="C397" s="376" t="s">
        <v>29</v>
      </c>
      <c r="D397" s="372" t="s">
        <v>58</v>
      </c>
      <c r="E397" s="372"/>
      <c r="F397" s="422" t="s">
        <v>295</v>
      </c>
      <c r="G397" s="372"/>
      <c r="H397" s="399">
        <f>SUM(H398:H399)</f>
        <v>3.2640960000000004E-2</v>
      </c>
      <c r="I397" s="397">
        <f>SUM(I398:I399)</f>
        <v>2</v>
      </c>
      <c r="J397" s="372"/>
      <c r="K397" s="399">
        <f>SUM(K398:K399)</f>
        <v>0</v>
      </c>
      <c r="L397" s="397">
        <f>SUM(L398:L399)</f>
        <v>0</v>
      </c>
      <c r="M397" s="372"/>
    </row>
    <row r="398" spans="1:13" hidden="1" outlineLevel="3">
      <c r="A398" s="372"/>
      <c r="B398" s="372" t="s">
        <v>289</v>
      </c>
      <c r="C398" s="376" t="s">
        <v>29</v>
      </c>
      <c r="D398" s="372" t="s">
        <v>58</v>
      </c>
      <c r="E398" s="372" t="s">
        <v>28</v>
      </c>
      <c r="F398" s="422" t="s">
        <v>31</v>
      </c>
      <c r="G398" s="372"/>
      <c r="H398" s="399">
        <v>2.4480720000000001E-2</v>
      </c>
      <c r="I398" s="397">
        <v>1</v>
      </c>
      <c r="J398" s="372"/>
      <c r="K398" s="399">
        <f t="shared" ref="K398:K399" si="54">IF(L398=1,H398,0)</f>
        <v>0</v>
      </c>
      <c r="L398" s="397"/>
      <c r="M398" s="372"/>
    </row>
    <row r="399" spans="1:13" hidden="1" outlineLevel="3">
      <c r="A399" s="372"/>
      <c r="B399" s="372" t="s">
        <v>289</v>
      </c>
      <c r="C399" s="376" t="s">
        <v>29</v>
      </c>
      <c r="D399" s="372" t="s">
        <v>58</v>
      </c>
      <c r="E399" s="372" t="s">
        <v>28</v>
      </c>
      <c r="F399" s="422" t="s">
        <v>32</v>
      </c>
      <c r="G399" s="372"/>
      <c r="H399" s="399">
        <v>8.1602400000000009E-3</v>
      </c>
      <c r="I399" s="397">
        <v>1</v>
      </c>
      <c r="J399" s="372"/>
      <c r="K399" s="399">
        <f t="shared" si="54"/>
        <v>0</v>
      </c>
      <c r="L399" s="397"/>
      <c r="M399" s="372"/>
    </row>
    <row r="400" spans="1:13" s="390" customFormat="1" ht="26.4" outlineLevel="1" collapsed="1">
      <c r="A400" s="385"/>
      <c r="B400" s="386" t="s">
        <v>296</v>
      </c>
      <c r="C400" s="386" t="s">
        <v>297</v>
      </c>
      <c r="D400" s="386"/>
      <c r="E400" s="386"/>
      <c r="F400" s="426" t="s">
        <v>298</v>
      </c>
      <c r="G400" s="385"/>
      <c r="H400" s="405">
        <f>H401+H405+H408+H412</f>
        <v>14.203906041162936</v>
      </c>
      <c r="I400" s="409">
        <f>I401+I405+I408+I412</f>
        <v>10</v>
      </c>
      <c r="J400" s="385"/>
      <c r="K400" s="405">
        <f>K401+K405+K408+K412</f>
        <v>0</v>
      </c>
      <c r="L400" s="409">
        <f>L401+L405+L408+L412</f>
        <v>0</v>
      </c>
      <c r="M400" s="385"/>
    </row>
    <row r="401" spans="1:13" hidden="1" outlineLevel="2" collapsed="1">
      <c r="A401" s="372"/>
      <c r="B401" s="376" t="s">
        <v>296</v>
      </c>
      <c r="C401" s="372" t="s">
        <v>297</v>
      </c>
      <c r="D401" s="372" t="s">
        <v>17</v>
      </c>
      <c r="E401" s="376"/>
      <c r="F401" s="422" t="s">
        <v>299</v>
      </c>
      <c r="G401" s="372"/>
      <c r="H401" s="399">
        <f>SUM(H402:H404)</f>
        <v>8.7813947704253064</v>
      </c>
      <c r="I401" s="397">
        <f>SUM(I402:I404)</f>
        <v>3</v>
      </c>
      <c r="J401" s="372"/>
      <c r="K401" s="399">
        <f>SUM(K402:K404)</f>
        <v>0</v>
      </c>
      <c r="L401" s="397">
        <f>SUM(L402:L404)</f>
        <v>0</v>
      </c>
      <c r="M401" s="372"/>
    </row>
    <row r="402" spans="1:13" hidden="1" outlineLevel="3">
      <c r="A402" s="372"/>
      <c r="B402" s="376" t="s">
        <v>296</v>
      </c>
      <c r="C402" s="372" t="s">
        <v>297</v>
      </c>
      <c r="D402" s="372" t="s">
        <v>17</v>
      </c>
      <c r="E402" s="376" t="s">
        <v>127</v>
      </c>
      <c r="F402" s="422" t="s">
        <v>33</v>
      </c>
      <c r="G402" s="372"/>
      <c r="H402" s="399">
        <v>4.3906973852126532</v>
      </c>
      <c r="I402" s="397">
        <v>1</v>
      </c>
      <c r="J402" s="372"/>
      <c r="K402" s="399">
        <f t="shared" ref="K402:K404" si="55">IF(L402=1,H402,0)</f>
        <v>0</v>
      </c>
      <c r="L402" s="397"/>
      <c r="M402" s="372"/>
    </row>
    <row r="403" spans="1:13" hidden="1" outlineLevel="3">
      <c r="A403" s="372"/>
      <c r="B403" s="376" t="s">
        <v>296</v>
      </c>
      <c r="C403" s="372" t="s">
        <v>297</v>
      </c>
      <c r="D403" s="372" t="s">
        <v>17</v>
      </c>
      <c r="E403" s="376" t="s">
        <v>127</v>
      </c>
      <c r="F403" s="422" t="s">
        <v>170</v>
      </c>
      <c r="G403" s="372"/>
      <c r="H403" s="399">
        <v>2.1953486926063266</v>
      </c>
      <c r="I403" s="397">
        <v>1</v>
      </c>
      <c r="J403" s="372"/>
      <c r="K403" s="399">
        <f t="shared" si="55"/>
        <v>0</v>
      </c>
      <c r="L403" s="397"/>
      <c r="M403" s="372"/>
    </row>
    <row r="404" spans="1:13" hidden="1" outlineLevel="3">
      <c r="A404" s="372"/>
      <c r="B404" s="376" t="s">
        <v>296</v>
      </c>
      <c r="C404" s="372" t="s">
        <v>297</v>
      </c>
      <c r="D404" s="372" t="s">
        <v>17</v>
      </c>
      <c r="E404" s="376" t="s">
        <v>127</v>
      </c>
      <c r="F404" s="422" t="s">
        <v>285</v>
      </c>
      <c r="G404" s="372"/>
      <c r="H404" s="399">
        <v>2.1953486926063266</v>
      </c>
      <c r="I404" s="397">
        <v>1</v>
      </c>
      <c r="J404" s="372"/>
      <c r="K404" s="399">
        <f t="shared" si="55"/>
        <v>0</v>
      </c>
      <c r="L404" s="397"/>
      <c r="M404" s="372"/>
    </row>
    <row r="405" spans="1:13" hidden="1" outlineLevel="2" collapsed="1">
      <c r="A405" s="372"/>
      <c r="B405" s="376" t="s">
        <v>296</v>
      </c>
      <c r="C405" s="372" t="s">
        <v>297</v>
      </c>
      <c r="D405" s="372" t="s">
        <v>25</v>
      </c>
      <c r="E405" s="372"/>
      <c r="F405" s="422" t="s">
        <v>299</v>
      </c>
      <c r="G405" s="372"/>
      <c r="H405" s="399">
        <f>SUM(H406:H407)</f>
        <v>3.257897459827789</v>
      </c>
      <c r="I405" s="397">
        <f>SUM(I406:I407)</f>
        <v>2</v>
      </c>
      <c r="J405" s="372"/>
      <c r="K405" s="399">
        <f>SUM(K406:K407)</f>
        <v>0</v>
      </c>
      <c r="L405" s="397">
        <f>SUM(L406:L407)</f>
        <v>0</v>
      </c>
      <c r="M405" s="372"/>
    </row>
    <row r="406" spans="1:13" hidden="1" outlineLevel="3">
      <c r="A406" s="372"/>
      <c r="B406" s="376" t="s">
        <v>296</v>
      </c>
      <c r="C406" s="372" t="s">
        <v>297</v>
      </c>
      <c r="D406" s="372" t="s">
        <v>25</v>
      </c>
      <c r="E406" s="372" t="s">
        <v>26</v>
      </c>
      <c r="F406" s="427" t="s">
        <v>31</v>
      </c>
      <c r="G406" s="372"/>
      <c r="H406" s="399">
        <v>1.3962417684976238</v>
      </c>
      <c r="I406" s="397">
        <v>1</v>
      </c>
      <c r="J406" s="372"/>
      <c r="K406" s="399">
        <f t="shared" ref="K406:K407" si="56">IF(L406=1,H406,0)</f>
        <v>0</v>
      </c>
      <c r="L406" s="397"/>
      <c r="M406" s="372"/>
    </row>
    <row r="407" spans="1:13" hidden="1" outlineLevel="3">
      <c r="A407" s="372"/>
      <c r="B407" s="376" t="s">
        <v>296</v>
      </c>
      <c r="C407" s="372" t="s">
        <v>297</v>
      </c>
      <c r="D407" s="372" t="s">
        <v>25</v>
      </c>
      <c r="E407" s="372" t="s">
        <v>26</v>
      </c>
      <c r="F407" s="422" t="s">
        <v>33</v>
      </c>
      <c r="G407" s="372"/>
      <c r="H407" s="399">
        <v>1.8616556913301652</v>
      </c>
      <c r="I407" s="397">
        <v>1</v>
      </c>
      <c r="J407" s="372"/>
      <c r="K407" s="399">
        <f t="shared" si="56"/>
        <v>0</v>
      </c>
      <c r="L407" s="397"/>
      <c r="M407" s="372"/>
    </row>
    <row r="408" spans="1:13" hidden="1" outlineLevel="2" collapsed="1">
      <c r="A408" s="372"/>
      <c r="B408" s="376" t="s">
        <v>296</v>
      </c>
      <c r="C408" s="372" t="s">
        <v>297</v>
      </c>
      <c r="D408" s="372" t="s">
        <v>27</v>
      </c>
      <c r="E408" s="372"/>
      <c r="F408" s="422" t="s">
        <v>299</v>
      </c>
      <c r="G408" s="372"/>
      <c r="H408" s="399">
        <f>SUM(H409:H411)</f>
        <v>1.2952557286377333</v>
      </c>
      <c r="I408" s="378">
        <f>SUM(I409:I411)</f>
        <v>3</v>
      </c>
      <c r="J408" s="372"/>
      <c r="K408" s="399">
        <f>SUM(K409:K411)</f>
        <v>0</v>
      </c>
      <c r="L408" s="378">
        <f>SUM(L409:L411)</f>
        <v>0</v>
      </c>
      <c r="M408" s="372"/>
    </row>
    <row r="409" spans="1:13" hidden="1" outlineLevel="3">
      <c r="A409" s="372"/>
      <c r="B409" s="376" t="s">
        <v>296</v>
      </c>
      <c r="C409" s="372" t="s">
        <v>297</v>
      </c>
      <c r="D409" s="372" t="s">
        <v>27</v>
      </c>
      <c r="E409" s="372" t="s">
        <v>28</v>
      </c>
      <c r="F409" s="422" t="s">
        <v>31</v>
      </c>
      <c r="G409" s="372"/>
      <c r="H409" s="399">
        <v>0.51810229145509312</v>
      </c>
      <c r="I409" s="397">
        <v>1</v>
      </c>
      <c r="J409" s="372"/>
      <c r="K409" s="399">
        <f t="shared" ref="K409:K411" si="57">IF(L409=1,H409,0)</f>
        <v>0</v>
      </c>
      <c r="L409" s="397"/>
      <c r="M409" s="372"/>
    </row>
    <row r="410" spans="1:13" hidden="1" outlineLevel="3">
      <c r="A410" s="372"/>
      <c r="B410" s="376" t="s">
        <v>296</v>
      </c>
      <c r="C410" s="372" t="s">
        <v>297</v>
      </c>
      <c r="D410" s="372" t="s">
        <v>27</v>
      </c>
      <c r="E410" s="372" t="s">
        <v>28</v>
      </c>
      <c r="F410" s="422" t="s">
        <v>33</v>
      </c>
      <c r="G410" s="372"/>
      <c r="H410" s="399">
        <v>0.51810229145509312</v>
      </c>
      <c r="I410" s="397">
        <v>1</v>
      </c>
      <c r="J410" s="372"/>
      <c r="K410" s="399">
        <f t="shared" si="57"/>
        <v>0</v>
      </c>
      <c r="L410" s="397"/>
      <c r="M410" s="372"/>
    </row>
    <row r="411" spans="1:13" hidden="1" outlineLevel="3">
      <c r="A411" s="372"/>
      <c r="B411" s="376" t="s">
        <v>296</v>
      </c>
      <c r="C411" s="372" t="s">
        <v>297</v>
      </c>
      <c r="D411" s="372" t="s">
        <v>27</v>
      </c>
      <c r="E411" s="372" t="s">
        <v>28</v>
      </c>
      <c r="F411" s="422" t="s">
        <v>170</v>
      </c>
      <c r="G411" s="372"/>
      <c r="H411" s="399">
        <v>0.25905114572754701</v>
      </c>
      <c r="I411" s="397">
        <v>1</v>
      </c>
      <c r="J411" s="372"/>
      <c r="K411" s="399">
        <f t="shared" si="57"/>
        <v>0</v>
      </c>
      <c r="L411" s="397"/>
      <c r="M411" s="372"/>
    </row>
    <row r="412" spans="1:13" hidden="1" outlineLevel="2" collapsed="1">
      <c r="A412" s="372"/>
      <c r="B412" s="376" t="s">
        <v>296</v>
      </c>
      <c r="C412" s="372" t="s">
        <v>297</v>
      </c>
      <c r="D412" s="372" t="s">
        <v>58</v>
      </c>
      <c r="E412" s="372"/>
      <c r="F412" s="422" t="s">
        <v>299</v>
      </c>
      <c r="G412" s="372"/>
      <c r="H412" s="399">
        <f>SUM(H413:H414)</f>
        <v>0.86935808227210531</v>
      </c>
      <c r="I412" s="397">
        <f>SUM(I413:I414)</f>
        <v>2</v>
      </c>
      <c r="J412" s="372"/>
      <c r="K412" s="399">
        <f>SUM(K413:K414)</f>
        <v>0</v>
      </c>
      <c r="L412" s="397">
        <f>SUM(L413:L414)</f>
        <v>0</v>
      </c>
      <c r="M412" s="372"/>
    </row>
    <row r="413" spans="1:13" hidden="1" outlineLevel="3">
      <c r="A413" s="372"/>
      <c r="B413" s="376" t="s">
        <v>296</v>
      </c>
      <c r="C413" s="372" t="s">
        <v>297</v>
      </c>
      <c r="D413" s="372" t="s">
        <v>58</v>
      </c>
      <c r="E413" s="372" t="s">
        <v>28</v>
      </c>
      <c r="F413" s="422" t="s">
        <v>31</v>
      </c>
      <c r="G413" s="372"/>
      <c r="H413" s="399">
        <v>0.43467904113605266</v>
      </c>
      <c r="I413" s="397">
        <v>1</v>
      </c>
      <c r="J413" s="372"/>
      <c r="K413" s="399">
        <f t="shared" ref="K413:K414" si="58">IF(L413=1,H413,0)</f>
        <v>0</v>
      </c>
      <c r="L413" s="397"/>
      <c r="M413" s="372"/>
    </row>
    <row r="414" spans="1:13" hidden="1" outlineLevel="3">
      <c r="A414" s="372"/>
      <c r="B414" s="376" t="s">
        <v>296</v>
      </c>
      <c r="C414" s="372" t="s">
        <v>297</v>
      </c>
      <c r="D414" s="372" t="s">
        <v>58</v>
      </c>
      <c r="E414" s="372" t="s">
        <v>28</v>
      </c>
      <c r="F414" s="422" t="s">
        <v>33</v>
      </c>
      <c r="G414" s="372"/>
      <c r="H414" s="399">
        <v>0.43467904113605266</v>
      </c>
      <c r="I414" s="397">
        <v>1</v>
      </c>
      <c r="J414" s="372"/>
      <c r="K414" s="399">
        <f t="shared" si="58"/>
        <v>0</v>
      </c>
      <c r="L414" s="397"/>
      <c r="M414" s="372"/>
    </row>
    <row r="415" spans="1:13" s="439" customFormat="1" ht="26.4" outlineLevel="1" collapsed="1">
      <c r="A415" s="393"/>
      <c r="B415" s="386" t="s">
        <v>300</v>
      </c>
      <c r="C415" s="386" t="s">
        <v>301</v>
      </c>
      <c r="D415" s="407"/>
      <c r="E415" s="386"/>
      <c r="F415" s="426" t="s">
        <v>302</v>
      </c>
      <c r="G415" s="441"/>
      <c r="H415" s="408">
        <f>SUM(H416,H423,H426,H430)</f>
        <v>18.105283200000006</v>
      </c>
      <c r="I415" s="409">
        <f>I416+I423+I426+I430</f>
        <v>13</v>
      </c>
      <c r="J415" s="441"/>
      <c r="K415" s="408">
        <f>SUM(K416,K423,K426,K430)</f>
        <v>0</v>
      </c>
      <c r="L415" s="409">
        <f>L416+L423+L426+L430</f>
        <v>0</v>
      </c>
      <c r="M415" s="441"/>
    </row>
    <row r="416" spans="1:13" s="439" customFormat="1" hidden="1" outlineLevel="2" collapsed="1">
      <c r="A416" s="393"/>
      <c r="B416" s="387" t="s">
        <v>301</v>
      </c>
      <c r="C416" s="387" t="s">
        <v>301</v>
      </c>
      <c r="D416" s="441" t="s">
        <v>17</v>
      </c>
      <c r="E416" s="387"/>
      <c r="F416" s="428" t="s">
        <v>303</v>
      </c>
      <c r="G416" s="441"/>
      <c r="H416" s="388">
        <f>SUM(H417:H422)</f>
        <v>14.323800000000004</v>
      </c>
      <c r="I416" s="389">
        <f>SUM(I417:I422)</f>
        <v>6</v>
      </c>
      <c r="J416" s="441"/>
      <c r="K416" s="388">
        <f>SUM(K417:K422)</f>
        <v>0</v>
      </c>
      <c r="L416" s="389">
        <f>SUM(L417:L422)</f>
        <v>0</v>
      </c>
      <c r="M416" s="441"/>
    </row>
    <row r="417" spans="1:13" s="439" customFormat="1" hidden="1" outlineLevel="3">
      <c r="A417" s="393"/>
      <c r="B417" s="387" t="s">
        <v>301</v>
      </c>
      <c r="C417" s="387" t="s">
        <v>301</v>
      </c>
      <c r="D417" s="441" t="s">
        <v>17</v>
      </c>
      <c r="E417" s="387" t="s">
        <v>127</v>
      </c>
      <c r="F417" s="428" t="s">
        <v>284</v>
      </c>
      <c r="G417" s="441"/>
      <c r="H417" s="388">
        <v>4.7746000000000013</v>
      </c>
      <c r="I417" s="389">
        <v>1</v>
      </c>
      <c r="J417" s="441"/>
      <c r="K417" s="399">
        <f t="shared" ref="K417:K422" si="59">IF(L417=1,H417,0)</f>
        <v>0</v>
      </c>
      <c r="L417" s="389"/>
      <c r="M417" s="441"/>
    </row>
    <row r="418" spans="1:13" s="439" customFormat="1" hidden="1" outlineLevel="3">
      <c r="A418" s="393"/>
      <c r="B418" s="387" t="s">
        <v>301</v>
      </c>
      <c r="C418" s="387" t="s">
        <v>301</v>
      </c>
      <c r="D418" s="441" t="s">
        <v>17</v>
      </c>
      <c r="E418" s="387" t="s">
        <v>127</v>
      </c>
      <c r="F418" s="428" t="s">
        <v>31</v>
      </c>
      <c r="G418" s="441"/>
      <c r="H418" s="388">
        <v>4.3640000000000008</v>
      </c>
      <c r="I418" s="389">
        <v>1</v>
      </c>
      <c r="J418" s="441"/>
      <c r="K418" s="399">
        <f t="shared" si="59"/>
        <v>0</v>
      </c>
      <c r="L418" s="389"/>
      <c r="M418" s="441"/>
    </row>
    <row r="419" spans="1:13" s="439" customFormat="1" hidden="1" outlineLevel="3">
      <c r="A419" s="393"/>
      <c r="B419" s="387" t="s">
        <v>301</v>
      </c>
      <c r="C419" s="387" t="s">
        <v>301</v>
      </c>
      <c r="D419" s="441" t="s">
        <v>17</v>
      </c>
      <c r="E419" s="387" t="s">
        <v>127</v>
      </c>
      <c r="F419" s="428" t="s">
        <v>32</v>
      </c>
      <c r="G419" s="441"/>
      <c r="H419" s="388">
        <v>2.2846500000000005</v>
      </c>
      <c r="I419" s="389">
        <v>1</v>
      </c>
      <c r="J419" s="441"/>
      <c r="K419" s="399">
        <f t="shared" si="59"/>
        <v>0</v>
      </c>
      <c r="L419" s="389"/>
      <c r="M419" s="441"/>
    </row>
    <row r="420" spans="1:13" s="439" customFormat="1" hidden="1" outlineLevel="3">
      <c r="A420" s="393"/>
      <c r="B420" s="387" t="s">
        <v>301</v>
      </c>
      <c r="C420" s="387" t="s">
        <v>301</v>
      </c>
      <c r="D420" s="441" t="s">
        <v>17</v>
      </c>
      <c r="E420" s="387" t="s">
        <v>127</v>
      </c>
      <c r="F420" s="428" t="s">
        <v>170</v>
      </c>
      <c r="G420" s="441"/>
      <c r="H420" s="388">
        <v>2.3873000000000006</v>
      </c>
      <c r="I420" s="389">
        <v>1</v>
      </c>
      <c r="J420" s="441"/>
      <c r="K420" s="399">
        <f t="shared" si="59"/>
        <v>0</v>
      </c>
      <c r="L420" s="389"/>
      <c r="M420" s="441"/>
    </row>
    <row r="421" spans="1:13" s="439" customFormat="1" hidden="1" outlineLevel="3">
      <c r="A421" s="393"/>
      <c r="B421" s="387" t="s">
        <v>301</v>
      </c>
      <c r="C421" s="387" t="s">
        <v>301</v>
      </c>
      <c r="D421" s="441" t="s">
        <v>17</v>
      </c>
      <c r="E421" s="387" t="s">
        <v>177</v>
      </c>
      <c r="F421" s="428" t="s">
        <v>304</v>
      </c>
      <c r="G421" s="441"/>
      <c r="H421" s="388">
        <v>0.41060000000000008</v>
      </c>
      <c r="I421" s="389">
        <v>1</v>
      </c>
      <c r="J421" s="441"/>
      <c r="K421" s="399">
        <f t="shared" si="59"/>
        <v>0</v>
      </c>
      <c r="L421" s="389"/>
      <c r="M421" s="441"/>
    </row>
    <row r="422" spans="1:13" s="439" customFormat="1" hidden="1" outlineLevel="3">
      <c r="A422" s="393"/>
      <c r="B422" s="387" t="s">
        <v>301</v>
      </c>
      <c r="C422" s="387" t="s">
        <v>301</v>
      </c>
      <c r="D422" s="441" t="s">
        <v>17</v>
      </c>
      <c r="E422" s="387" t="s">
        <v>177</v>
      </c>
      <c r="F422" s="428" t="s">
        <v>305</v>
      </c>
      <c r="G422" s="441"/>
      <c r="H422" s="388">
        <v>0.10265000000000002</v>
      </c>
      <c r="I422" s="389">
        <v>1</v>
      </c>
      <c r="J422" s="441"/>
      <c r="K422" s="399">
        <f t="shared" si="59"/>
        <v>0</v>
      </c>
      <c r="L422" s="389"/>
      <c r="M422" s="441"/>
    </row>
    <row r="423" spans="1:13" s="439" customFormat="1" hidden="1" outlineLevel="2" collapsed="1">
      <c r="A423" s="393"/>
      <c r="B423" s="387" t="s">
        <v>301</v>
      </c>
      <c r="C423" s="387" t="s">
        <v>301</v>
      </c>
      <c r="D423" s="441" t="s">
        <v>25</v>
      </c>
      <c r="E423" s="441"/>
      <c r="F423" s="428" t="s">
        <v>303</v>
      </c>
      <c r="G423" s="441"/>
      <c r="H423" s="388">
        <f>SUM(H424:H425)</f>
        <v>2.0244304000000004</v>
      </c>
      <c r="I423" s="389">
        <f>SUM(I424:I425)</f>
        <v>2</v>
      </c>
      <c r="J423" s="441"/>
      <c r="K423" s="388">
        <f>SUM(K424:K425)</f>
        <v>0</v>
      </c>
      <c r="L423" s="389">
        <f>SUM(L424:L425)</f>
        <v>0</v>
      </c>
      <c r="M423" s="441"/>
    </row>
    <row r="424" spans="1:13" s="439" customFormat="1" hidden="1" outlineLevel="3">
      <c r="A424" s="393"/>
      <c r="B424" s="387" t="s">
        <v>301</v>
      </c>
      <c r="C424" s="387" t="s">
        <v>301</v>
      </c>
      <c r="D424" s="441" t="s">
        <v>25</v>
      </c>
      <c r="E424" s="441" t="s">
        <v>26</v>
      </c>
      <c r="F424" s="428" t="s">
        <v>31</v>
      </c>
      <c r="G424" s="441"/>
      <c r="H424" s="388">
        <v>1.5183228000000002</v>
      </c>
      <c r="I424" s="389">
        <v>1</v>
      </c>
      <c r="J424" s="441"/>
      <c r="K424" s="399">
        <f t="shared" ref="K424:K425" si="60">IF(L424=1,H424,0)</f>
        <v>0</v>
      </c>
      <c r="L424" s="389"/>
      <c r="M424" s="441"/>
    </row>
    <row r="425" spans="1:13" s="439" customFormat="1" hidden="1" outlineLevel="3">
      <c r="A425" s="393"/>
      <c r="B425" s="387" t="s">
        <v>301</v>
      </c>
      <c r="C425" s="387" t="s">
        <v>301</v>
      </c>
      <c r="D425" s="441" t="s">
        <v>25</v>
      </c>
      <c r="E425" s="441" t="s">
        <v>26</v>
      </c>
      <c r="F425" s="428" t="s">
        <v>170</v>
      </c>
      <c r="G425" s="441"/>
      <c r="H425" s="388">
        <v>0.5061076000000001</v>
      </c>
      <c r="I425" s="389">
        <v>1</v>
      </c>
      <c r="J425" s="441"/>
      <c r="K425" s="399">
        <f t="shared" si="60"/>
        <v>0</v>
      </c>
      <c r="L425" s="389"/>
      <c r="M425" s="441"/>
    </row>
    <row r="426" spans="1:13" s="439" customFormat="1" hidden="1" outlineLevel="2" collapsed="1">
      <c r="A426" s="393"/>
      <c r="B426" s="387" t="s">
        <v>301</v>
      </c>
      <c r="C426" s="387" t="s">
        <v>301</v>
      </c>
      <c r="D426" s="441" t="s">
        <v>27</v>
      </c>
      <c r="E426" s="441"/>
      <c r="F426" s="428" t="s">
        <v>303</v>
      </c>
      <c r="G426" s="441"/>
      <c r="H426" s="388">
        <f>SUM(H427:H429)</f>
        <v>1.1268056000000002</v>
      </c>
      <c r="I426" s="389">
        <f>SUM(I427:I429)</f>
        <v>3</v>
      </c>
      <c r="J426" s="441"/>
      <c r="K426" s="388">
        <f>SUM(K427:K429)</f>
        <v>0</v>
      </c>
      <c r="L426" s="389">
        <f>SUM(L427:L429)</f>
        <v>0</v>
      </c>
      <c r="M426" s="441"/>
    </row>
    <row r="427" spans="1:13" s="439" customFormat="1" hidden="1" outlineLevel="3">
      <c r="A427" s="393"/>
      <c r="B427" s="387" t="s">
        <v>301</v>
      </c>
      <c r="C427" s="387" t="s">
        <v>301</v>
      </c>
      <c r="D427" s="441" t="s">
        <v>27</v>
      </c>
      <c r="E427" s="441" t="s">
        <v>28</v>
      </c>
      <c r="F427" s="428" t="s">
        <v>31</v>
      </c>
      <c r="G427" s="441"/>
      <c r="H427" s="388">
        <v>0.56340280000000009</v>
      </c>
      <c r="I427" s="389">
        <v>1</v>
      </c>
      <c r="J427" s="441"/>
      <c r="K427" s="399">
        <f t="shared" ref="K427:K429" si="61">IF(L427=1,H427,0)</f>
        <v>0</v>
      </c>
      <c r="L427" s="389"/>
      <c r="M427" s="441"/>
    </row>
    <row r="428" spans="1:13" s="439" customFormat="1" hidden="1" outlineLevel="3">
      <c r="A428" s="393"/>
      <c r="B428" s="387" t="s">
        <v>301</v>
      </c>
      <c r="C428" s="387" t="s">
        <v>301</v>
      </c>
      <c r="D428" s="441" t="s">
        <v>27</v>
      </c>
      <c r="E428" s="441" t="s">
        <v>28</v>
      </c>
      <c r="F428" s="428" t="s">
        <v>32</v>
      </c>
      <c r="G428" s="441"/>
      <c r="H428" s="388">
        <v>0.28170140000000005</v>
      </c>
      <c r="I428" s="389">
        <v>1</v>
      </c>
      <c r="J428" s="441"/>
      <c r="K428" s="399">
        <f t="shared" si="61"/>
        <v>0</v>
      </c>
      <c r="L428" s="389"/>
      <c r="M428" s="441"/>
    </row>
    <row r="429" spans="1:13" s="439" customFormat="1" hidden="1" outlineLevel="3">
      <c r="A429" s="393"/>
      <c r="B429" s="387" t="s">
        <v>301</v>
      </c>
      <c r="C429" s="387" t="s">
        <v>301</v>
      </c>
      <c r="D429" s="441" t="s">
        <v>27</v>
      </c>
      <c r="E429" s="441" t="s">
        <v>28</v>
      </c>
      <c r="F429" s="428" t="s">
        <v>170</v>
      </c>
      <c r="G429" s="441"/>
      <c r="H429" s="388">
        <v>0.28170140000000005</v>
      </c>
      <c r="I429" s="389">
        <v>1</v>
      </c>
      <c r="J429" s="441"/>
      <c r="K429" s="399">
        <f t="shared" si="61"/>
        <v>0</v>
      </c>
      <c r="L429" s="389"/>
      <c r="M429" s="441"/>
    </row>
    <row r="430" spans="1:13" s="439" customFormat="1" hidden="1" outlineLevel="2" collapsed="1">
      <c r="A430" s="393">
        <v>2</v>
      </c>
      <c r="B430" s="387" t="s">
        <v>301</v>
      </c>
      <c r="C430" s="387" t="s">
        <v>301</v>
      </c>
      <c r="D430" s="441" t="s">
        <v>58</v>
      </c>
      <c r="E430" s="441"/>
      <c r="F430" s="428" t="s">
        <v>306</v>
      </c>
      <c r="G430" s="441"/>
      <c r="H430" s="388">
        <f>SUM(H431:H432)</f>
        <v>0.63024720000000012</v>
      </c>
      <c r="I430" s="389">
        <f>SUM(I431:I432)</f>
        <v>2</v>
      </c>
      <c r="J430" s="441"/>
      <c r="K430" s="388">
        <f>SUM(K431:K432)</f>
        <v>0</v>
      </c>
      <c r="L430" s="389">
        <f>SUM(L431:L432)</f>
        <v>0</v>
      </c>
      <c r="M430" s="441"/>
    </row>
    <row r="431" spans="1:13" s="439" customFormat="1" hidden="1" outlineLevel="3">
      <c r="A431" s="393"/>
      <c r="B431" s="387" t="s">
        <v>301</v>
      </c>
      <c r="C431" s="387" t="s">
        <v>301</v>
      </c>
      <c r="D431" s="441" t="s">
        <v>58</v>
      </c>
      <c r="E431" s="441" t="s">
        <v>28</v>
      </c>
      <c r="F431" s="428" t="s">
        <v>31</v>
      </c>
      <c r="G431" s="441"/>
      <c r="H431" s="388">
        <v>0.47268540000000003</v>
      </c>
      <c r="I431" s="389">
        <v>1</v>
      </c>
      <c r="J431" s="441"/>
      <c r="K431" s="399">
        <f t="shared" ref="K431:K432" si="62">IF(L431=1,H431,0)</f>
        <v>0</v>
      </c>
      <c r="L431" s="389"/>
      <c r="M431" s="441"/>
    </row>
    <row r="432" spans="1:13" s="439" customFormat="1" hidden="1" outlineLevel="3">
      <c r="A432" s="393"/>
      <c r="B432" s="387" t="s">
        <v>301</v>
      </c>
      <c r="C432" s="387" t="s">
        <v>301</v>
      </c>
      <c r="D432" s="441" t="s">
        <v>58</v>
      </c>
      <c r="E432" s="441" t="s">
        <v>28</v>
      </c>
      <c r="F432" s="428" t="s">
        <v>170</v>
      </c>
      <c r="G432" s="441"/>
      <c r="H432" s="388">
        <v>0.15756180000000003</v>
      </c>
      <c r="I432" s="389">
        <v>1</v>
      </c>
      <c r="J432" s="441"/>
      <c r="K432" s="399">
        <f t="shared" si="62"/>
        <v>0</v>
      </c>
      <c r="L432" s="389"/>
      <c r="M432" s="441"/>
    </row>
    <row r="433" spans="1:13" s="439" customFormat="1" outlineLevel="1" collapsed="1">
      <c r="A433" s="393"/>
      <c r="B433" s="386" t="s">
        <v>307</v>
      </c>
      <c r="C433" s="386" t="s">
        <v>308</v>
      </c>
      <c r="D433" s="386"/>
      <c r="E433" s="386"/>
      <c r="F433" s="426" t="s">
        <v>309</v>
      </c>
      <c r="G433" s="441"/>
      <c r="H433" s="408">
        <f>SUM(H434,H438,H440,H443)</f>
        <v>13.48481799</v>
      </c>
      <c r="I433" s="409">
        <f>I434+I438+I440+I443</f>
        <v>6</v>
      </c>
      <c r="J433" s="441"/>
      <c r="K433" s="408">
        <f>SUM(K434,K438,K440,K443)</f>
        <v>0</v>
      </c>
      <c r="L433" s="409">
        <f>L434+L438+L440+L443</f>
        <v>0</v>
      </c>
      <c r="M433" s="441"/>
    </row>
    <row r="434" spans="1:13" s="439" customFormat="1" hidden="1" outlineLevel="2" collapsed="1">
      <c r="A434" s="393"/>
      <c r="B434" s="387" t="s">
        <v>308</v>
      </c>
      <c r="C434" s="387" t="s">
        <v>308</v>
      </c>
      <c r="D434" s="441" t="s">
        <v>17</v>
      </c>
      <c r="E434" s="387"/>
      <c r="F434" s="428" t="s">
        <v>310</v>
      </c>
      <c r="G434" s="441"/>
      <c r="H434" s="402">
        <f>SUM(H435:H437)</f>
        <v>11.053129500000001</v>
      </c>
      <c r="I434" s="403">
        <f>SUM(I435:I437)</f>
        <v>3</v>
      </c>
      <c r="J434" s="441"/>
      <c r="K434" s="402">
        <f>SUM(K435:K437)</f>
        <v>0</v>
      </c>
      <c r="L434" s="403">
        <f>SUM(L435:L437)</f>
        <v>0</v>
      </c>
      <c r="M434" s="441"/>
    </row>
    <row r="435" spans="1:13" s="439" customFormat="1" hidden="1" outlineLevel="3" collapsed="1">
      <c r="A435" s="393"/>
      <c r="B435" s="387" t="s">
        <v>308</v>
      </c>
      <c r="C435" s="387" t="s">
        <v>308</v>
      </c>
      <c r="D435" s="441" t="s">
        <v>17</v>
      </c>
      <c r="E435" s="387" t="s">
        <v>64</v>
      </c>
      <c r="F435" s="428" t="s">
        <v>284</v>
      </c>
      <c r="G435" s="441"/>
      <c r="H435" s="402">
        <v>3.6843765000000008</v>
      </c>
      <c r="I435" s="403">
        <v>1</v>
      </c>
      <c r="J435" s="441"/>
      <c r="K435" s="399">
        <f t="shared" ref="K435:K437" si="63">IF(L435=1,H435,0)</f>
        <v>0</v>
      </c>
      <c r="L435" s="403"/>
      <c r="M435" s="441"/>
    </row>
    <row r="436" spans="1:13" s="439" customFormat="1" hidden="1" outlineLevel="3">
      <c r="A436" s="393"/>
      <c r="B436" s="387" t="s">
        <v>308</v>
      </c>
      <c r="C436" s="387" t="s">
        <v>308</v>
      </c>
      <c r="D436" s="441" t="s">
        <v>17</v>
      </c>
      <c r="E436" s="387" t="s">
        <v>64</v>
      </c>
      <c r="F436" s="428" t="s">
        <v>31</v>
      </c>
      <c r="G436" s="441"/>
      <c r="H436" s="402">
        <v>3.6843765000000008</v>
      </c>
      <c r="I436" s="403">
        <v>1</v>
      </c>
      <c r="J436" s="441"/>
      <c r="K436" s="399">
        <f t="shared" si="63"/>
        <v>0</v>
      </c>
      <c r="L436" s="403"/>
      <c r="M436" s="441"/>
    </row>
    <row r="437" spans="1:13" s="439" customFormat="1" hidden="1" outlineLevel="3">
      <c r="A437" s="393"/>
      <c r="B437" s="387" t="s">
        <v>308</v>
      </c>
      <c r="C437" s="387" t="s">
        <v>308</v>
      </c>
      <c r="D437" s="441" t="s">
        <v>17</v>
      </c>
      <c r="E437" s="387" t="s">
        <v>64</v>
      </c>
      <c r="F437" s="428" t="s">
        <v>32</v>
      </c>
      <c r="G437" s="441"/>
      <c r="H437" s="402">
        <v>3.6843764999999999</v>
      </c>
      <c r="I437" s="403">
        <v>1</v>
      </c>
      <c r="J437" s="441"/>
      <c r="K437" s="399">
        <f t="shared" si="63"/>
        <v>0</v>
      </c>
      <c r="L437" s="403"/>
      <c r="M437" s="441"/>
    </row>
    <row r="438" spans="1:13" s="439" customFormat="1" hidden="1" outlineLevel="2" collapsed="1">
      <c r="A438" s="393"/>
      <c r="B438" s="387" t="s">
        <v>308</v>
      </c>
      <c r="C438" s="387" t="s">
        <v>308</v>
      </c>
      <c r="D438" s="441" t="s">
        <v>25</v>
      </c>
      <c r="E438" s="441"/>
      <c r="F438" s="428" t="s">
        <v>310</v>
      </c>
      <c r="G438" s="441"/>
      <c r="H438" s="402">
        <f>SUM(H439:H439)</f>
        <v>1.5621756360000001</v>
      </c>
      <c r="I438" s="403">
        <f>SUM(I439:I439)</f>
        <v>1</v>
      </c>
      <c r="J438" s="441"/>
      <c r="K438" s="402">
        <f>SUM(K439:K439)</f>
        <v>0</v>
      </c>
      <c r="L438" s="403">
        <f>SUM(L439:L439)</f>
        <v>0</v>
      </c>
      <c r="M438" s="441"/>
    </row>
    <row r="439" spans="1:13" s="439" customFormat="1" hidden="1" outlineLevel="3">
      <c r="A439" s="393"/>
      <c r="B439" s="387" t="s">
        <v>308</v>
      </c>
      <c r="C439" s="387" t="s">
        <v>308</v>
      </c>
      <c r="D439" s="441" t="s">
        <v>25</v>
      </c>
      <c r="E439" s="441" t="s">
        <v>26</v>
      </c>
      <c r="F439" s="428" t="s">
        <v>31</v>
      </c>
      <c r="G439" s="441"/>
      <c r="H439" s="402">
        <v>1.5621756360000001</v>
      </c>
      <c r="I439" s="403">
        <v>1</v>
      </c>
      <c r="J439" s="441"/>
      <c r="K439" s="399">
        <f>IF(L439=1,H439,0)</f>
        <v>0</v>
      </c>
      <c r="L439" s="403"/>
      <c r="M439" s="441"/>
    </row>
    <row r="440" spans="1:13" s="439" customFormat="1" hidden="1" outlineLevel="2" collapsed="1">
      <c r="A440" s="393"/>
      <c r="B440" s="387" t="s">
        <v>308</v>
      </c>
      <c r="C440" s="387" t="s">
        <v>308</v>
      </c>
      <c r="D440" s="441" t="s">
        <v>27</v>
      </c>
      <c r="E440" s="441"/>
      <c r="F440" s="428" t="s">
        <v>310</v>
      </c>
      <c r="G440" s="441"/>
      <c r="H440" s="402">
        <f>SUM(H441:H442)</f>
        <v>0.86951285400000011</v>
      </c>
      <c r="I440" s="403">
        <f>SUM(I441:I442)</f>
        <v>2</v>
      </c>
      <c r="J440" s="441"/>
      <c r="K440" s="402">
        <f>SUM(K441:K442)</f>
        <v>0</v>
      </c>
      <c r="L440" s="403">
        <f>SUM(L441:L442)</f>
        <v>0</v>
      </c>
      <c r="M440" s="441"/>
    </row>
    <row r="441" spans="1:13" s="439" customFormat="1" hidden="1" outlineLevel="3">
      <c r="A441" s="393"/>
      <c r="B441" s="387" t="s">
        <v>308</v>
      </c>
      <c r="C441" s="387" t="s">
        <v>308</v>
      </c>
      <c r="D441" s="441" t="s">
        <v>27</v>
      </c>
      <c r="E441" s="441" t="s">
        <v>28</v>
      </c>
      <c r="F441" s="428" t="s">
        <v>31</v>
      </c>
      <c r="G441" s="441"/>
      <c r="H441" s="402">
        <v>0.43475642700000006</v>
      </c>
      <c r="I441" s="403">
        <v>1</v>
      </c>
      <c r="J441" s="441"/>
      <c r="K441" s="399">
        <f t="shared" ref="K441:K442" si="64">IF(L441=1,H441,0)</f>
        <v>0</v>
      </c>
      <c r="L441" s="403"/>
      <c r="M441" s="441"/>
    </row>
    <row r="442" spans="1:13" s="439" customFormat="1" ht="11.25" hidden="1" customHeight="1" outlineLevel="3">
      <c r="A442" s="393"/>
      <c r="B442" s="387" t="s">
        <v>308</v>
      </c>
      <c r="C442" s="387" t="s">
        <v>308</v>
      </c>
      <c r="D442" s="441" t="s">
        <v>27</v>
      </c>
      <c r="E442" s="441" t="s">
        <v>28</v>
      </c>
      <c r="F442" s="428" t="s">
        <v>32</v>
      </c>
      <c r="G442" s="441"/>
      <c r="H442" s="402">
        <v>0.43475642700000006</v>
      </c>
      <c r="I442" s="403">
        <v>1</v>
      </c>
      <c r="J442" s="441"/>
      <c r="K442" s="399">
        <f t="shared" si="64"/>
        <v>0</v>
      </c>
      <c r="L442" s="403"/>
      <c r="M442" s="441"/>
    </row>
    <row r="443" spans="1:13" s="439" customFormat="1" hidden="1" outlineLevel="2">
      <c r="A443" s="393"/>
      <c r="B443" s="387" t="s">
        <v>308</v>
      </c>
      <c r="C443" s="387" t="s">
        <v>308</v>
      </c>
      <c r="D443" s="441" t="s">
        <v>58</v>
      </c>
      <c r="E443" s="441"/>
      <c r="F443" s="428" t="s">
        <v>310</v>
      </c>
      <c r="G443" s="441"/>
      <c r="H443" s="402"/>
      <c r="I443" s="403"/>
      <c r="J443" s="441"/>
      <c r="K443" s="402"/>
      <c r="L443" s="403"/>
      <c r="M443" s="441"/>
    </row>
    <row r="444" spans="1:13" s="439" customFormat="1" outlineLevel="1" collapsed="1">
      <c r="A444" s="393"/>
      <c r="B444" s="386" t="s">
        <v>311</v>
      </c>
      <c r="C444" s="386" t="s">
        <v>312</v>
      </c>
      <c r="D444" s="386"/>
      <c r="E444" s="386"/>
      <c r="F444" s="426" t="s">
        <v>309</v>
      </c>
      <c r="G444" s="441"/>
      <c r="H444" s="408">
        <f>SUM(H445,H449,H451,H454)</f>
        <v>4.4949393300000002</v>
      </c>
      <c r="I444" s="409">
        <f>I445+I449+I451+I454</f>
        <v>6</v>
      </c>
      <c r="J444" s="441"/>
      <c r="K444" s="408">
        <f>SUM(K445,K449,K451,K454)</f>
        <v>0</v>
      </c>
      <c r="L444" s="409">
        <f>L445+L449+L451+L454</f>
        <v>0</v>
      </c>
      <c r="M444" s="441"/>
    </row>
    <row r="445" spans="1:13" hidden="1" outlineLevel="2" collapsed="1">
      <c r="A445" s="372"/>
      <c r="B445" s="387" t="s">
        <v>312</v>
      </c>
      <c r="C445" s="387" t="s">
        <v>312</v>
      </c>
      <c r="D445" s="372" t="s">
        <v>17</v>
      </c>
      <c r="E445" s="387"/>
      <c r="F445" s="428" t="s">
        <v>310</v>
      </c>
      <c r="G445" s="372"/>
      <c r="H445" s="402">
        <f>SUM(H446:H448)</f>
        <v>3.6843765000000004</v>
      </c>
      <c r="I445" s="403">
        <f>SUM(I446:I448)</f>
        <v>3</v>
      </c>
      <c r="J445" s="372"/>
      <c r="K445" s="402">
        <f>SUM(K446:K448)</f>
        <v>0</v>
      </c>
      <c r="L445" s="403">
        <f>SUM(L446:L448)</f>
        <v>0</v>
      </c>
      <c r="M445" s="372"/>
    </row>
    <row r="446" spans="1:13" hidden="1" outlineLevel="3" collapsed="1">
      <c r="A446" s="372"/>
      <c r="B446" s="387" t="s">
        <v>312</v>
      </c>
      <c r="C446" s="387" t="s">
        <v>312</v>
      </c>
      <c r="D446" s="372" t="s">
        <v>17</v>
      </c>
      <c r="E446" s="387" t="s">
        <v>64</v>
      </c>
      <c r="F446" s="428" t="s">
        <v>284</v>
      </c>
      <c r="G446" s="372"/>
      <c r="H446" s="402">
        <v>1.2281255000000002</v>
      </c>
      <c r="I446" s="403">
        <v>1</v>
      </c>
      <c r="J446" s="372"/>
      <c r="K446" s="399">
        <f t="shared" ref="K446:K448" si="65">IF(L446=1,H446,0)</f>
        <v>0</v>
      </c>
      <c r="L446" s="403"/>
      <c r="M446" s="372"/>
    </row>
    <row r="447" spans="1:13" hidden="1" outlineLevel="3">
      <c r="A447" s="372"/>
      <c r="B447" s="387" t="s">
        <v>312</v>
      </c>
      <c r="C447" s="387" t="s">
        <v>312</v>
      </c>
      <c r="D447" s="372" t="s">
        <v>17</v>
      </c>
      <c r="E447" s="387" t="s">
        <v>64</v>
      </c>
      <c r="F447" s="428" t="s">
        <v>31</v>
      </c>
      <c r="G447" s="372"/>
      <c r="H447" s="402">
        <v>1.2281255000000002</v>
      </c>
      <c r="I447" s="403">
        <v>1</v>
      </c>
      <c r="J447" s="372"/>
      <c r="K447" s="399">
        <f t="shared" si="65"/>
        <v>0</v>
      </c>
      <c r="L447" s="403"/>
      <c r="M447" s="372"/>
    </row>
    <row r="448" spans="1:13" hidden="1" outlineLevel="3">
      <c r="A448" s="372"/>
      <c r="B448" s="387" t="s">
        <v>312</v>
      </c>
      <c r="C448" s="387" t="s">
        <v>312</v>
      </c>
      <c r="D448" s="372" t="s">
        <v>17</v>
      </c>
      <c r="E448" s="387" t="s">
        <v>64</v>
      </c>
      <c r="F448" s="428" t="s">
        <v>32</v>
      </c>
      <c r="G448" s="372"/>
      <c r="H448" s="402">
        <v>1.2281255</v>
      </c>
      <c r="I448" s="403">
        <v>1</v>
      </c>
      <c r="J448" s="372"/>
      <c r="K448" s="399">
        <f t="shared" si="65"/>
        <v>0</v>
      </c>
      <c r="L448" s="403"/>
      <c r="M448" s="372"/>
    </row>
    <row r="449" spans="1:13" hidden="1" outlineLevel="2" collapsed="1">
      <c r="A449" s="372"/>
      <c r="B449" s="387" t="s">
        <v>312</v>
      </c>
      <c r="C449" s="387" t="s">
        <v>312</v>
      </c>
      <c r="D449" s="372" t="s">
        <v>25</v>
      </c>
      <c r="E449" s="372"/>
      <c r="F449" s="428" t="s">
        <v>310</v>
      </c>
      <c r="G449" s="372"/>
      <c r="H449" s="402">
        <f>SUM(H450:H450)</f>
        <v>0.52072521199999999</v>
      </c>
      <c r="I449" s="403">
        <f>SUM(I450:I450)</f>
        <v>1</v>
      </c>
      <c r="J449" s="372"/>
      <c r="K449" s="402">
        <f>SUM(K450:K450)</f>
        <v>0</v>
      </c>
      <c r="L449" s="403">
        <f>SUM(L450:L450)</f>
        <v>0</v>
      </c>
      <c r="M449" s="372"/>
    </row>
    <row r="450" spans="1:13" hidden="1" outlineLevel="3">
      <c r="A450" s="372"/>
      <c r="B450" s="387" t="s">
        <v>312</v>
      </c>
      <c r="C450" s="387" t="s">
        <v>312</v>
      </c>
      <c r="D450" s="372" t="s">
        <v>25</v>
      </c>
      <c r="E450" s="372" t="s">
        <v>26</v>
      </c>
      <c r="F450" s="428" t="s">
        <v>31</v>
      </c>
      <c r="G450" s="372"/>
      <c r="H450" s="402">
        <v>0.52072521199999999</v>
      </c>
      <c r="I450" s="403">
        <v>1</v>
      </c>
      <c r="J450" s="372"/>
      <c r="K450" s="399">
        <f>IF(L450=1,H450,0)</f>
        <v>0</v>
      </c>
      <c r="L450" s="403"/>
      <c r="M450" s="372"/>
    </row>
    <row r="451" spans="1:13" hidden="1" outlineLevel="2" collapsed="1">
      <c r="A451" s="372"/>
      <c r="B451" s="387" t="s">
        <v>312</v>
      </c>
      <c r="C451" s="387" t="s">
        <v>312</v>
      </c>
      <c r="D451" s="372" t="s">
        <v>27</v>
      </c>
      <c r="E451" s="372"/>
      <c r="F451" s="428" t="s">
        <v>313</v>
      </c>
      <c r="G451" s="372"/>
      <c r="H451" s="402">
        <f>SUM(H452:H453)</f>
        <v>0.28983761800000002</v>
      </c>
      <c r="I451" s="403">
        <f>SUM(I452:I453)</f>
        <v>2</v>
      </c>
      <c r="J451" s="372"/>
      <c r="K451" s="402">
        <f>SUM(K452:K453)</f>
        <v>0</v>
      </c>
      <c r="L451" s="403">
        <f>SUM(L452:L453)</f>
        <v>0</v>
      </c>
      <c r="M451" s="372"/>
    </row>
    <row r="452" spans="1:13" hidden="1" outlineLevel="3">
      <c r="A452" s="372"/>
      <c r="B452" s="387" t="s">
        <v>312</v>
      </c>
      <c r="C452" s="387" t="s">
        <v>312</v>
      </c>
      <c r="D452" s="372" t="s">
        <v>27</v>
      </c>
      <c r="E452" s="372" t="s">
        <v>28</v>
      </c>
      <c r="F452" s="428" t="s">
        <v>31</v>
      </c>
      <c r="G452" s="372"/>
      <c r="H452" s="402">
        <v>0.14491880900000001</v>
      </c>
      <c r="I452" s="403">
        <v>1</v>
      </c>
      <c r="J452" s="372"/>
      <c r="K452" s="399">
        <f t="shared" ref="K452:K453" si="66">IF(L452=1,H452,0)</f>
        <v>0</v>
      </c>
      <c r="L452" s="403"/>
      <c r="M452" s="372"/>
    </row>
    <row r="453" spans="1:13" hidden="1" outlineLevel="3">
      <c r="A453" s="372"/>
      <c r="B453" s="387" t="s">
        <v>312</v>
      </c>
      <c r="C453" s="387" t="s">
        <v>312</v>
      </c>
      <c r="D453" s="372" t="s">
        <v>27</v>
      </c>
      <c r="E453" s="372" t="s">
        <v>28</v>
      </c>
      <c r="F453" s="428" t="s">
        <v>32</v>
      </c>
      <c r="G453" s="372"/>
      <c r="H453" s="402">
        <v>0.14491880900000001</v>
      </c>
      <c r="I453" s="403">
        <v>1</v>
      </c>
      <c r="J453" s="372"/>
      <c r="K453" s="399">
        <f t="shared" si="66"/>
        <v>0</v>
      </c>
      <c r="L453" s="403"/>
      <c r="M453" s="372"/>
    </row>
    <row r="454" spans="1:13" hidden="1" outlineLevel="2">
      <c r="A454" s="372"/>
      <c r="B454" s="387" t="s">
        <v>312</v>
      </c>
      <c r="C454" s="387" t="s">
        <v>312</v>
      </c>
      <c r="D454" s="372" t="s">
        <v>58</v>
      </c>
      <c r="E454" s="372"/>
      <c r="F454" s="428" t="s">
        <v>313</v>
      </c>
      <c r="G454" s="372"/>
      <c r="H454" s="402"/>
      <c r="I454" s="403"/>
      <c r="J454" s="372"/>
      <c r="K454" s="402"/>
      <c r="L454" s="403"/>
      <c r="M454" s="372"/>
    </row>
    <row r="455" spans="1:13" outlineLevel="1" collapsed="1">
      <c r="A455" s="372"/>
      <c r="B455" s="380" t="s">
        <v>271</v>
      </c>
      <c r="C455" s="380" t="s">
        <v>271</v>
      </c>
      <c r="D455" s="385"/>
      <c r="E455" s="380"/>
      <c r="F455" s="424" t="s">
        <v>314</v>
      </c>
      <c r="G455" s="372"/>
      <c r="H455" s="410">
        <f>SUM(H456,H463,H467,H471,H476)</f>
        <v>3.9379500000000003</v>
      </c>
      <c r="I455" s="396">
        <f>SUM(I456,I463,I467,I471,I476)</f>
        <v>19</v>
      </c>
      <c r="J455" s="372"/>
      <c r="K455" s="410">
        <f>SUM(K456,K463,K467,K471,K476)</f>
        <v>7.9649999999999999E-2</v>
      </c>
      <c r="L455" s="396">
        <f>SUM(L456,L463,L467,L471,L476)</f>
        <v>1</v>
      </c>
      <c r="M455" s="372"/>
    </row>
    <row r="456" spans="1:13" hidden="1" outlineLevel="2" collapsed="1">
      <c r="A456" s="372"/>
      <c r="B456" s="372" t="s">
        <v>271</v>
      </c>
      <c r="C456" s="376" t="s">
        <v>271</v>
      </c>
      <c r="D456" s="372" t="s">
        <v>175</v>
      </c>
      <c r="E456" s="372"/>
      <c r="F456" s="422" t="s">
        <v>315</v>
      </c>
      <c r="G456" s="372"/>
      <c r="H456" s="399">
        <f>SUM(H457:H462)</f>
        <v>2.7524999999999999</v>
      </c>
      <c r="I456" s="397">
        <f>SUM(I457:I462)</f>
        <v>6</v>
      </c>
      <c r="J456" s="372"/>
      <c r="K456" s="399">
        <f>SUM(K457:K462)</f>
        <v>0</v>
      </c>
      <c r="L456" s="397">
        <f>SUM(L457:L462)</f>
        <v>0</v>
      </c>
      <c r="M456" s="372"/>
    </row>
    <row r="457" spans="1:13" hidden="1" outlineLevel="3">
      <c r="A457" s="372"/>
      <c r="B457" s="372" t="s">
        <v>271</v>
      </c>
      <c r="C457" s="376" t="s">
        <v>271</v>
      </c>
      <c r="D457" s="372" t="s">
        <v>175</v>
      </c>
      <c r="E457" s="372" t="s">
        <v>64</v>
      </c>
      <c r="F457" s="422" t="s">
        <v>316</v>
      </c>
      <c r="G457" s="372"/>
      <c r="H457" s="399">
        <v>0.33750000000000002</v>
      </c>
      <c r="I457" s="397">
        <v>1</v>
      </c>
      <c r="J457" s="372"/>
      <c r="K457" s="399">
        <f t="shared" ref="K457:K462" si="67">IF(L457=1,H457,0)</f>
        <v>0</v>
      </c>
      <c r="L457" s="397"/>
      <c r="M457" s="372"/>
    </row>
    <row r="458" spans="1:13" hidden="1" outlineLevel="3">
      <c r="A458" s="372"/>
      <c r="B458" s="372" t="s">
        <v>271</v>
      </c>
      <c r="C458" s="376" t="s">
        <v>271</v>
      </c>
      <c r="D458" s="372" t="s">
        <v>175</v>
      </c>
      <c r="E458" s="372" t="s">
        <v>64</v>
      </c>
      <c r="F458" s="422" t="s">
        <v>31</v>
      </c>
      <c r="G458" s="372"/>
      <c r="H458" s="399">
        <v>0.58000000000000007</v>
      </c>
      <c r="I458" s="378">
        <v>1</v>
      </c>
      <c r="J458" s="372"/>
      <c r="K458" s="399">
        <f t="shared" si="67"/>
        <v>0</v>
      </c>
      <c r="L458" s="378"/>
      <c r="M458" s="372"/>
    </row>
    <row r="459" spans="1:13" hidden="1" outlineLevel="3">
      <c r="A459" s="372"/>
      <c r="B459" s="372" t="s">
        <v>271</v>
      </c>
      <c r="C459" s="376" t="s">
        <v>271</v>
      </c>
      <c r="D459" s="372" t="s">
        <v>175</v>
      </c>
      <c r="E459" s="372" t="s">
        <v>64</v>
      </c>
      <c r="F459" s="422" t="s">
        <v>317</v>
      </c>
      <c r="G459" s="372"/>
      <c r="H459" s="399">
        <v>0.58000000000000007</v>
      </c>
      <c r="I459" s="397">
        <v>1</v>
      </c>
      <c r="J459" s="372"/>
      <c r="K459" s="399">
        <f t="shared" si="67"/>
        <v>0</v>
      </c>
      <c r="L459" s="397"/>
      <c r="M459" s="372"/>
    </row>
    <row r="460" spans="1:13" hidden="1" outlineLevel="3">
      <c r="A460" s="372"/>
      <c r="B460" s="372" t="s">
        <v>271</v>
      </c>
      <c r="C460" s="376" t="s">
        <v>271</v>
      </c>
      <c r="D460" s="372" t="s">
        <v>175</v>
      </c>
      <c r="E460" s="372" t="s">
        <v>64</v>
      </c>
      <c r="F460" s="422" t="s">
        <v>318</v>
      </c>
      <c r="G460" s="372"/>
      <c r="H460" s="399">
        <v>0.58000000000000007</v>
      </c>
      <c r="I460" s="397">
        <v>1</v>
      </c>
      <c r="J460" s="372"/>
      <c r="K460" s="399">
        <f t="shared" si="67"/>
        <v>0</v>
      </c>
      <c r="L460" s="397"/>
      <c r="M460" s="372"/>
    </row>
    <row r="461" spans="1:13" hidden="1" outlineLevel="3">
      <c r="A461" s="372"/>
      <c r="B461" s="372" t="s">
        <v>271</v>
      </c>
      <c r="C461" s="376" t="s">
        <v>271</v>
      </c>
      <c r="D461" s="372" t="s">
        <v>175</v>
      </c>
      <c r="E461" s="372" t="s">
        <v>64</v>
      </c>
      <c r="F461" s="422" t="s">
        <v>285</v>
      </c>
      <c r="G461" s="372"/>
      <c r="H461" s="399">
        <v>0.33750000000000002</v>
      </c>
      <c r="I461" s="397">
        <v>1</v>
      </c>
      <c r="J461" s="372"/>
      <c r="K461" s="399">
        <f t="shared" si="67"/>
        <v>0</v>
      </c>
      <c r="L461" s="397"/>
      <c r="M461" s="372"/>
    </row>
    <row r="462" spans="1:13" hidden="1" outlineLevel="3">
      <c r="A462" s="372"/>
      <c r="B462" s="372" t="s">
        <v>271</v>
      </c>
      <c r="C462" s="376" t="s">
        <v>271</v>
      </c>
      <c r="D462" s="372" t="s">
        <v>175</v>
      </c>
      <c r="E462" s="372" t="s">
        <v>64</v>
      </c>
      <c r="F462" s="422" t="s">
        <v>319</v>
      </c>
      <c r="G462" s="372"/>
      <c r="H462" s="399">
        <v>0.33750000000000002</v>
      </c>
      <c r="I462" s="397">
        <v>1</v>
      </c>
      <c r="J462" s="372"/>
      <c r="K462" s="399">
        <f t="shared" si="67"/>
        <v>0</v>
      </c>
      <c r="L462" s="397"/>
      <c r="M462" s="372"/>
    </row>
    <row r="463" spans="1:13" hidden="1" outlineLevel="2" collapsed="1">
      <c r="A463" s="372"/>
      <c r="B463" s="372" t="s">
        <v>271</v>
      </c>
      <c r="C463" s="376" t="s">
        <v>271</v>
      </c>
      <c r="D463" s="372" t="s">
        <v>17</v>
      </c>
      <c r="E463" s="376"/>
      <c r="F463" s="422" t="s">
        <v>323</v>
      </c>
      <c r="G463" s="372"/>
      <c r="H463" s="399">
        <f>SUM(H464:H466)</f>
        <v>0.28500000000000003</v>
      </c>
      <c r="I463" s="397">
        <f>SUM(I464:I466)</f>
        <v>3</v>
      </c>
      <c r="J463" s="372"/>
      <c r="K463" s="399">
        <f>SUM(K464:K466)</f>
        <v>0</v>
      </c>
      <c r="L463" s="397">
        <f>SUM(L464:L466)</f>
        <v>0</v>
      </c>
      <c r="M463" s="372"/>
    </row>
    <row r="464" spans="1:13" hidden="1" outlineLevel="3">
      <c r="A464" s="372"/>
      <c r="B464" s="372" t="s">
        <v>271</v>
      </c>
      <c r="C464" s="376" t="s">
        <v>271</v>
      </c>
      <c r="D464" s="372" t="s">
        <v>17</v>
      </c>
      <c r="E464" s="376" t="s">
        <v>177</v>
      </c>
      <c r="F464" s="406" t="s">
        <v>286</v>
      </c>
      <c r="G464" s="372"/>
      <c r="H464" s="399">
        <v>9.5000000000000015E-2</v>
      </c>
      <c r="I464" s="397">
        <v>1</v>
      </c>
      <c r="J464" s="372"/>
      <c r="K464" s="399">
        <f t="shared" ref="K464:K466" si="68">IF(L464=1,H464,0)</f>
        <v>0</v>
      </c>
      <c r="L464" s="397"/>
      <c r="M464" s="372"/>
    </row>
    <row r="465" spans="1:13" hidden="1" outlineLevel="3">
      <c r="A465" s="372"/>
      <c r="B465" s="372" t="s">
        <v>271</v>
      </c>
      <c r="C465" s="376" t="s">
        <v>271</v>
      </c>
      <c r="D465" s="372" t="s">
        <v>17</v>
      </c>
      <c r="E465" s="376" t="s">
        <v>177</v>
      </c>
      <c r="F465" s="406" t="s">
        <v>287</v>
      </c>
      <c r="G465" s="372"/>
      <c r="H465" s="399">
        <v>9.5000000000000015E-2</v>
      </c>
      <c r="I465" s="397">
        <v>1</v>
      </c>
      <c r="J465" s="372"/>
      <c r="K465" s="399">
        <f t="shared" si="68"/>
        <v>0</v>
      </c>
      <c r="L465" s="397"/>
      <c r="M465" s="372"/>
    </row>
    <row r="466" spans="1:13" hidden="1" outlineLevel="3">
      <c r="A466" s="372"/>
      <c r="B466" s="372" t="s">
        <v>271</v>
      </c>
      <c r="C466" s="376" t="s">
        <v>271</v>
      </c>
      <c r="D466" s="372" t="s">
        <v>17</v>
      </c>
      <c r="E466" s="376" t="s">
        <v>177</v>
      </c>
      <c r="F466" s="406" t="s">
        <v>324</v>
      </c>
      <c r="G466" s="372"/>
      <c r="H466" s="399">
        <v>9.5000000000000015E-2</v>
      </c>
      <c r="I466" s="397">
        <v>1</v>
      </c>
      <c r="J466" s="372"/>
      <c r="K466" s="399">
        <f t="shared" si="68"/>
        <v>0</v>
      </c>
      <c r="L466" s="397"/>
      <c r="M466" s="372"/>
    </row>
    <row r="467" spans="1:13" hidden="1" outlineLevel="2" collapsed="1">
      <c r="A467" s="372"/>
      <c r="B467" s="372" t="s">
        <v>271</v>
      </c>
      <c r="C467" s="376" t="s">
        <v>271</v>
      </c>
      <c r="D467" s="372" t="s">
        <v>25</v>
      </c>
      <c r="E467" s="372"/>
      <c r="F467" s="422" t="s">
        <v>325</v>
      </c>
      <c r="G467" s="372"/>
      <c r="H467" s="399">
        <f>SUM(H468:H470)</f>
        <v>0.57240000000000002</v>
      </c>
      <c r="I467" s="397">
        <f>SUM(I468:I470)</f>
        <v>3</v>
      </c>
      <c r="J467" s="372"/>
      <c r="K467" s="399">
        <f>SUM(K468:K470)</f>
        <v>0</v>
      </c>
      <c r="L467" s="397">
        <f>SUM(L468:L470)</f>
        <v>0</v>
      </c>
      <c r="M467" s="372"/>
    </row>
    <row r="468" spans="1:13" hidden="1" outlineLevel="3">
      <c r="A468" s="372"/>
      <c r="B468" s="372" t="s">
        <v>271</v>
      </c>
      <c r="C468" s="376" t="s">
        <v>271</v>
      </c>
      <c r="D468" s="372" t="s">
        <v>25</v>
      </c>
      <c r="E468" s="372" t="s">
        <v>26</v>
      </c>
      <c r="F468" s="422" t="s">
        <v>31</v>
      </c>
      <c r="G468" s="372"/>
      <c r="H468" s="399">
        <v>0.1431</v>
      </c>
      <c r="I468" s="397">
        <v>1</v>
      </c>
      <c r="J468" s="372"/>
      <c r="K468" s="399">
        <f t="shared" ref="K468:K470" si="69">IF(L468=1,H468,0)</f>
        <v>0</v>
      </c>
      <c r="L468" s="397"/>
      <c r="M468" s="372"/>
    </row>
    <row r="469" spans="1:13" hidden="1" outlineLevel="3">
      <c r="A469" s="372"/>
      <c r="B469" s="372" t="s">
        <v>271</v>
      </c>
      <c r="C469" s="376" t="s">
        <v>271</v>
      </c>
      <c r="D469" s="372" t="s">
        <v>25</v>
      </c>
      <c r="E469" s="372" t="s">
        <v>26</v>
      </c>
      <c r="F469" s="422" t="s">
        <v>33</v>
      </c>
      <c r="G469" s="372"/>
      <c r="H469" s="399">
        <v>0.28620000000000001</v>
      </c>
      <c r="I469" s="378">
        <v>1</v>
      </c>
      <c r="J469" s="372"/>
      <c r="K469" s="399">
        <f t="shared" si="69"/>
        <v>0</v>
      </c>
      <c r="L469" s="378"/>
      <c r="M469" s="372"/>
    </row>
    <row r="470" spans="1:13" hidden="1" outlineLevel="3">
      <c r="A470" s="372"/>
      <c r="B470" s="372" t="s">
        <v>271</v>
      </c>
      <c r="C470" s="376" t="s">
        <v>271</v>
      </c>
      <c r="D470" s="372" t="s">
        <v>25</v>
      </c>
      <c r="E470" s="372" t="s">
        <v>26</v>
      </c>
      <c r="F470" s="422" t="s">
        <v>326</v>
      </c>
      <c r="G470" s="372"/>
      <c r="H470" s="399">
        <v>0.1431</v>
      </c>
      <c r="I470" s="378">
        <v>1</v>
      </c>
      <c r="J470" s="372"/>
      <c r="K470" s="399">
        <f t="shared" si="69"/>
        <v>0</v>
      </c>
      <c r="L470" s="378"/>
      <c r="M470" s="372"/>
    </row>
    <row r="471" spans="1:13" hidden="1" outlineLevel="2" collapsed="1">
      <c r="A471" s="372"/>
      <c r="B471" s="372" t="s">
        <v>271</v>
      </c>
      <c r="C471" s="376" t="s">
        <v>271</v>
      </c>
      <c r="D471" s="372" t="s">
        <v>27</v>
      </c>
      <c r="E471" s="372"/>
      <c r="F471" s="422" t="s">
        <v>327</v>
      </c>
      <c r="G471" s="372"/>
      <c r="H471" s="399">
        <f>SUM(H472:H475)</f>
        <v>0.23895</v>
      </c>
      <c r="I471" s="397">
        <f>SUM(I472:I475)</f>
        <v>4</v>
      </c>
      <c r="J471" s="372"/>
      <c r="K471" s="399">
        <f>SUM(K472:K475)</f>
        <v>7.9649999999999999E-2</v>
      </c>
      <c r="L471" s="397">
        <f>SUM(L472:L475)</f>
        <v>1</v>
      </c>
      <c r="M471" s="372"/>
    </row>
    <row r="472" spans="1:13" hidden="1" outlineLevel="3">
      <c r="A472" s="372"/>
      <c r="B472" s="372" t="s">
        <v>271</v>
      </c>
      <c r="C472" s="376" t="s">
        <v>271</v>
      </c>
      <c r="D472" s="372" t="s">
        <v>27</v>
      </c>
      <c r="E472" s="372" t="s">
        <v>28</v>
      </c>
      <c r="F472" s="422" t="s">
        <v>31</v>
      </c>
      <c r="G472" s="372"/>
      <c r="H472" s="399">
        <v>3.9824999999999999E-2</v>
      </c>
      <c r="I472" s="397">
        <v>1</v>
      </c>
      <c r="J472" s="372"/>
      <c r="K472" s="399">
        <f t="shared" ref="K472:K475" si="70">IF(L472=1,H472,0)</f>
        <v>0</v>
      </c>
      <c r="L472" s="397"/>
      <c r="M472" s="372"/>
    </row>
    <row r="473" spans="1:13" hidden="1" outlineLevel="3">
      <c r="A473" s="372"/>
      <c r="B473" s="372" t="s">
        <v>271</v>
      </c>
      <c r="C473" s="376" t="s">
        <v>271</v>
      </c>
      <c r="D473" s="372" t="s">
        <v>27</v>
      </c>
      <c r="E473" s="372" t="s">
        <v>28</v>
      </c>
      <c r="F473" s="422" t="s">
        <v>32</v>
      </c>
      <c r="G473" s="372"/>
      <c r="H473" s="399">
        <v>7.9649999999999999E-2</v>
      </c>
      <c r="I473" s="397">
        <v>1</v>
      </c>
      <c r="J473" s="372"/>
      <c r="K473" s="399">
        <f t="shared" si="70"/>
        <v>7.9649999999999999E-2</v>
      </c>
      <c r="L473" s="397">
        <v>1</v>
      </c>
      <c r="M473" s="372"/>
    </row>
    <row r="474" spans="1:13" hidden="1" outlineLevel="3">
      <c r="A474" s="372"/>
      <c r="B474" s="372" t="s">
        <v>271</v>
      </c>
      <c r="C474" s="376" t="s">
        <v>271</v>
      </c>
      <c r="D474" s="372" t="s">
        <v>27</v>
      </c>
      <c r="E474" s="372" t="s">
        <v>28</v>
      </c>
      <c r="F474" s="422" t="s">
        <v>33</v>
      </c>
      <c r="G474" s="372"/>
      <c r="H474" s="399">
        <v>7.9649999999999999E-2</v>
      </c>
      <c r="I474" s="397">
        <v>1</v>
      </c>
      <c r="J474" s="372"/>
      <c r="K474" s="399">
        <f t="shared" si="70"/>
        <v>0</v>
      </c>
      <c r="L474" s="397"/>
      <c r="M474" s="372"/>
    </row>
    <row r="475" spans="1:13" hidden="1" outlineLevel="3" collapsed="1">
      <c r="A475" s="372"/>
      <c r="B475" s="372" t="s">
        <v>271</v>
      </c>
      <c r="C475" s="376" t="s">
        <v>271</v>
      </c>
      <c r="D475" s="372" t="s">
        <v>27</v>
      </c>
      <c r="E475" s="372" t="s">
        <v>28</v>
      </c>
      <c r="F475" s="422" t="s">
        <v>170</v>
      </c>
      <c r="G475" s="372"/>
      <c r="H475" s="377">
        <v>3.9824999999999999E-2</v>
      </c>
      <c r="I475" s="378">
        <v>1</v>
      </c>
      <c r="J475" s="372"/>
      <c r="K475" s="399">
        <f t="shared" si="70"/>
        <v>0</v>
      </c>
      <c r="L475" s="378"/>
      <c r="M475" s="372"/>
    </row>
    <row r="476" spans="1:13" hidden="1" outlineLevel="2" collapsed="1">
      <c r="A476" s="372"/>
      <c r="B476" s="372" t="s">
        <v>271</v>
      </c>
      <c r="C476" s="376" t="s">
        <v>271</v>
      </c>
      <c r="D476" s="372" t="s">
        <v>58</v>
      </c>
      <c r="E476" s="372"/>
      <c r="F476" s="422" t="s">
        <v>327</v>
      </c>
      <c r="G476" s="372"/>
      <c r="H476" s="399">
        <f>SUM(H477:H479)</f>
        <v>8.9100000000000013E-2</v>
      </c>
      <c r="I476" s="397">
        <f>SUM(I477:I479)</f>
        <v>3</v>
      </c>
      <c r="J476" s="372"/>
      <c r="K476" s="399">
        <f>SUM(K477:K479)</f>
        <v>0</v>
      </c>
      <c r="L476" s="397">
        <f>SUM(L477:L479)</f>
        <v>0</v>
      </c>
      <c r="M476" s="372"/>
    </row>
    <row r="477" spans="1:13" hidden="1" outlineLevel="3" collapsed="1">
      <c r="A477" s="372"/>
      <c r="B477" s="372" t="s">
        <v>271</v>
      </c>
      <c r="C477" s="376" t="s">
        <v>271</v>
      </c>
      <c r="D477" s="372" t="s">
        <v>58</v>
      </c>
      <c r="E477" s="372" t="s">
        <v>28</v>
      </c>
      <c r="F477" s="464" t="s">
        <v>31</v>
      </c>
      <c r="G477" s="372"/>
      <c r="H477" s="399">
        <v>4.4550000000000006E-2</v>
      </c>
      <c r="I477" s="397">
        <v>1</v>
      </c>
      <c r="J477" s="372"/>
      <c r="K477" s="399">
        <f t="shared" ref="K477:K479" si="71">IF(L477=1,H477,0)</f>
        <v>0</v>
      </c>
      <c r="L477" s="397"/>
      <c r="M477" s="372"/>
    </row>
    <row r="478" spans="1:13" hidden="1" outlineLevel="3">
      <c r="A478" s="372"/>
      <c r="B478" s="372" t="s">
        <v>271</v>
      </c>
      <c r="C478" s="376" t="s">
        <v>271</v>
      </c>
      <c r="D478" s="372" t="s">
        <v>58</v>
      </c>
      <c r="E478" s="372" t="s">
        <v>28</v>
      </c>
      <c r="F478" s="422" t="s">
        <v>33</v>
      </c>
      <c r="G478" s="372"/>
      <c r="H478" s="399">
        <v>2.2275000000000003E-2</v>
      </c>
      <c r="I478" s="397">
        <v>1</v>
      </c>
      <c r="J478" s="372"/>
      <c r="K478" s="399">
        <f t="shared" si="71"/>
        <v>0</v>
      </c>
      <c r="L478" s="397"/>
      <c r="M478" s="372"/>
    </row>
    <row r="479" spans="1:13" hidden="1" outlineLevel="3">
      <c r="A479" s="372"/>
      <c r="B479" s="372" t="s">
        <v>271</v>
      </c>
      <c r="C479" s="376" t="s">
        <v>271</v>
      </c>
      <c r="D479" s="372" t="s">
        <v>58</v>
      </c>
      <c r="E479" s="372" t="s">
        <v>28</v>
      </c>
      <c r="F479" s="422" t="s">
        <v>326</v>
      </c>
      <c r="G479" s="372"/>
      <c r="H479" s="399">
        <v>2.2275000000000003E-2</v>
      </c>
      <c r="I479" s="397">
        <v>1</v>
      </c>
      <c r="J479" s="372"/>
      <c r="K479" s="399">
        <f t="shared" si="71"/>
        <v>0</v>
      </c>
      <c r="L479" s="397"/>
      <c r="M479" s="372"/>
    </row>
    <row r="480" spans="1:13" ht="21" customHeight="1" outlineLevel="1" collapsed="1">
      <c r="A480" s="372"/>
      <c r="B480" s="380" t="s">
        <v>328</v>
      </c>
      <c r="C480" s="380" t="s">
        <v>265</v>
      </c>
      <c r="D480" s="380"/>
      <c r="E480" s="385"/>
      <c r="F480" s="424" t="s">
        <v>329</v>
      </c>
      <c r="G480" s="372"/>
      <c r="H480" s="405">
        <f>H481+H486+H487+H490+H494</f>
        <v>5.9871800000000004</v>
      </c>
      <c r="I480" s="396">
        <f>SUM(I481+I486+I487+I490+I494)</f>
        <v>12</v>
      </c>
      <c r="J480" s="372"/>
      <c r="K480" s="405">
        <f>K481+K486+K487+K490+K494</f>
        <v>0</v>
      </c>
      <c r="L480" s="396">
        <f>SUM(L481+L486+L487+L490+L494)</f>
        <v>0</v>
      </c>
      <c r="M480" s="372"/>
    </row>
    <row r="481" spans="1:13" hidden="1" outlineLevel="2" collapsed="1">
      <c r="A481" s="372"/>
      <c r="B481" s="376" t="s">
        <v>328</v>
      </c>
      <c r="C481" s="376" t="s">
        <v>121</v>
      </c>
      <c r="D481" s="372" t="s">
        <v>175</v>
      </c>
      <c r="E481" s="372"/>
      <c r="F481" s="422" t="s">
        <v>330</v>
      </c>
      <c r="G481" s="372"/>
      <c r="H481" s="377">
        <f>SUM(H482:H485)</f>
        <v>4.5200000000000005</v>
      </c>
      <c r="I481" s="378">
        <f>SUM(I482:I485)</f>
        <v>4</v>
      </c>
      <c r="J481" s="372"/>
      <c r="K481" s="377">
        <f>SUM(K482:K485)</f>
        <v>0</v>
      </c>
      <c r="L481" s="378">
        <f>SUM(L482:L485)</f>
        <v>0</v>
      </c>
      <c r="M481" s="372"/>
    </row>
    <row r="482" spans="1:13" hidden="1" outlineLevel="3">
      <c r="A482" s="372"/>
      <c r="B482" s="376" t="s">
        <v>328</v>
      </c>
      <c r="C482" s="376" t="s">
        <v>121</v>
      </c>
      <c r="D482" s="372" t="s">
        <v>175</v>
      </c>
      <c r="E482" s="372" t="s">
        <v>28</v>
      </c>
      <c r="F482" s="422" t="s">
        <v>284</v>
      </c>
      <c r="G482" s="372"/>
      <c r="H482" s="377">
        <v>0.85500000000000009</v>
      </c>
      <c r="I482" s="397">
        <v>1</v>
      </c>
      <c r="J482" s="372"/>
      <c r="K482" s="399">
        <f t="shared" ref="K482:K485" si="72">IF(L482=1,H482,0)</f>
        <v>0</v>
      </c>
      <c r="L482" s="397"/>
      <c r="M482" s="372"/>
    </row>
    <row r="483" spans="1:13" hidden="1" outlineLevel="3">
      <c r="A483" s="372"/>
      <c r="B483" s="376" t="s">
        <v>328</v>
      </c>
      <c r="C483" s="376" t="s">
        <v>121</v>
      </c>
      <c r="D483" s="372" t="s">
        <v>175</v>
      </c>
      <c r="E483" s="372" t="s">
        <v>28</v>
      </c>
      <c r="F483" s="422" t="s">
        <v>31</v>
      </c>
      <c r="G483" s="372"/>
      <c r="H483" s="377">
        <v>1.4050000000000002</v>
      </c>
      <c r="I483" s="397">
        <v>1</v>
      </c>
      <c r="J483" s="372"/>
      <c r="K483" s="399">
        <f t="shared" si="72"/>
        <v>0</v>
      </c>
      <c r="L483" s="397"/>
      <c r="M483" s="372"/>
    </row>
    <row r="484" spans="1:13" hidden="1" outlineLevel="3">
      <c r="A484" s="372"/>
      <c r="B484" s="376" t="s">
        <v>328</v>
      </c>
      <c r="C484" s="376" t="s">
        <v>121</v>
      </c>
      <c r="D484" s="372" t="s">
        <v>175</v>
      </c>
      <c r="E484" s="372" t="s">
        <v>28</v>
      </c>
      <c r="F484" s="422" t="s">
        <v>32</v>
      </c>
      <c r="G484" s="372"/>
      <c r="H484" s="377">
        <v>1.4050000000000002</v>
      </c>
      <c r="I484" s="397">
        <v>1</v>
      </c>
      <c r="J484" s="372"/>
      <c r="K484" s="399">
        <f t="shared" si="72"/>
        <v>0</v>
      </c>
      <c r="L484" s="397"/>
      <c r="M484" s="372"/>
    </row>
    <row r="485" spans="1:13" hidden="1" outlineLevel="3">
      <c r="A485" s="372"/>
      <c r="B485" s="376" t="s">
        <v>328</v>
      </c>
      <c r="C485" s="376" t="s">
        <v>121</v>
      </c>
      <c r="D485" s="372" t="s">
        <v>175</v>
      </c>
      <c r="E485" s="372" t="s">
        <v>28</v>
      </c>
      <c r="F485" s="422" t="s">
        <v>326</v>
      </c>
      <c r="G485" s="372"/>
      <c r="H485" s="377">
        <v>0.85500000000000009</v>
      </c>
      <c r="I485" s="397">
        <v>1</v>
      </c>
      <c r="J485" s="372"/>
      <c r="K485" s="399">
        <f t="shared" si="72"/>
        <v>0</v>
      </c>
      <c r="L485" s="397"/>
      <c r="M485" s="372"/>
    </row>
    <row r="486" spans="1:13" hidden="1" outlineLevel="2">
      <c r="A486" s="372"/>
      <c r="B486" s="376" t="s">
        <v>328</v>
      </c>
      <c r="C486" s="376" t="s">
        <v>121</v>
      </c>
      <c r="D486" s="372" t="s">
        <v>17</v>
      </c>
      <c r="E486" s="372"/>
      <c r="F486" s="422" t="s">
        <v>323</v>
      </c>
      <c r="G486" s="372"/>
      <c r="H486" s="377"/>
      <c r="I486" s="378"/>
      <c r="J486" s="372"/>
      <c r="K486" s="377"/>
      <c r="L486" s="378"/>
      <c r="M486" s="372"/>
    </row>
    <row r="487" spans="1:13" hidden="1" outlineLevel="2" collapsed="1">
      <c r="A487" s="372"/>
      <c r="B487" s="376" t="s">
        <v>328</v>
      </c>
      <c r="C487" s="376" t="s">
        <v>121</v>
      </c>
      <c r="D487" s="372" t="s">
        <v>25</v>
      </c>
      <c r="E487" s="372"/>
      <c r="F487" s="422" t="s">
        <v>331</v>
      </c>
      <c r="G487" s="372"/>
      <c r="H487" s="377">
        <f>SUM(H488:H489)</f>
        <v>0.72504000000000002</v>
      </c>
      <c r="I487" s="378">
        <f>SUM(I488:I489)</f>
        <v>2</v>
      </c>
      <c r="J487" s="372"/>
      <c r="K487" s="377">
        <f>SUM(K488:K489)</f>
        <v>0</v>
      </c>
      <c r="L487" s="378">
        <f>SUM(L488:L489)</f>
        <v>0</v>
      </c>
      <c r="M487" s="372"/>
    </row>
    <row r="488" spans="1:13" hidden="1" outlineLevel="3">
      <c r="A488" s="372"/>
      <c r="B488" s="376" t="s">
        <v>328</v>
      </c>
      <c r="C488" s="376" t="s">
        <v>121</v>
      </c>
      <c r="D488" s="372" t="s">
        <v>25</v>
      </c>
      <c r="E488" s="372" t="s">
        <v>26</v>
      </c>
      <c r="F488" s="422" t="s">
        <v>31</v>
      </c>
      <c r="G488" s="372"/>
      <c r="H488" s="377">
        <v>0.36252000000000001</v>
      </c>
      <c r="I488" s="378">
        <v>1</v>
      </c>
      <c r="J488" s="372"/>
      <c r="K488" s="399">
        <f t="shared" ref="K488:K489" si="73">IF(L488=1,H488,0)</f>
        <v>0</v>
      </c>
      <c r="L488" s="378"/>
      <c r="M488" s="372"/>
    </row>
    <row r="489" spans="1:13" hidden="1" outlineLevel="3">
      <c r="A489" s="372"/>
      <c r="B489" s="376" t="s">
        <v>328</v>
      </c>
      <c r="C489" s="376" t="s">
        <v>121</v>
      </c>
      <c r="D489" s="372" t="s">
        <v>25</v>
      </c>
      <c r="E489" s="372" t="s">
        <v>26</v>
      </c>
      <c r="F489" s="422" t="s">
        <v>326</v>
      </c>
      <c r="G489" s="372"/>
      <c r="H489" s="399">
        <v>0.36252000000000001</v>
      </c>
      <c r="I489" s="397">
        <v>1</v>
      </c>
      <c r="J489" s="372"/>
      <c r="K489" s="399">
        <f t="shared" si="73"/>
        <v>0</v>
      </c>
      <c r="L489" s="397"/>
      <c r="M489" s="372"/>
    </row>
    <row r="490" spans="1:13" hidden="1" outlineLevel="2" collapsed="1">
      <c r="A490" s="372"/>
      <c r="B490" s="376" t="s">
        <v>328</v>
      </c>
      <c r="C490" s="376" t="s">
        <v>121</v>
      </c>
      <c r="D490" s="372" t="s">
        <v>27</v>
      </c>
      <c r="E490" s="372"/>
      <c r="F490" s="422" t="s">
        <v>323</v>
      </c>
      <c r="G490" s="372"/>
      <c r="H490" s="377">
        <f>SUM(H491:H493)</f>
        <v>0.40355999999999997</v>
      </c>
      <c r="I490" s="378">
        <f>SUM(I491:I493)</f>
        <v>3</v>
      </c>
      <c r="J490" s="372"/>
      <c r="K490" s="377">
        <f>SUM(K491:K493)</f>
        <v>0</v>
      </c>
      <c r="L490" s="378">
        <f>SUM(L491:L493)</f>
        <v>0</v>
      </c>
      <c r="M490" s="372"/>
    </row>
    <row r="491" spans="1:13" hidden="1" outlineLevel="3">
      <c r="A491" s="372"/>
      <c r="B491" s="376" t="s">
        <v>328</v>
      </c>
      <c r="C491" s="376" t="s">
        <v>121</v>
      </c>
      <c r="D491" s="372" t="s">
        <v>27</v>
      </c>
      <c r="E491" s="372" t="s">
        <v>28</v>
      </c>
      <c r="F491" s="422" t="s">
        <v>31</v>
      </c>
      <c r="G491" s="372"/>
      <c r="H491" s="399">
        <v>0.10088999999999999</v>
      </c>
      <c r="I491" s="397">
        <v>1</v>
      </c>
      <c r="J491" s="372"/>
      <c r="K491" s="399">
        <f t="shared" ref="K491:K493" si="74">IF(L491=1,H491,0)</f>
        <v>0</v>
      </c>
      <c r="L491" s="397"/>
      <c r="M491" s="372"/>
    </row>
    <row r="492" spans="1:13" hidden="1" outlineLevel="3">
      <c r="A492" s="372"/>
      <c r="B492" s="376" t="s">
        <v>328</v>
      </c>
      <c r="C492" s="376" t="s">
        <v>121</v>
      </c>
      <c r="D492" s="372" t="s">
        <v>27</v>
      </c>
      <c r="E492" s="372" t="s">
        <v>28</v>
      </c>
      <c r="F492" s="422" t="s">
        <v>32</v>
      </c>
      <c r="G492" s="372"/>
      <c r="H492" s="399">
        <v>0.20177999999999999</v>
      </c>
      <c r="I492" s="397">
        <v>1</v>
      </c>
      <c r="J492" s="372"/>
      <c r="K492" s="399">
        <f t="shared" si="74"/>
        <v>0</v>
      </c>
      <c r="L492" s="397"/>
      <c r="M492" s="372"/>
    </row>
    <row r="493" spans="1:13" hidden="1" outlineLevel="3">
      <c r="A493" s="372"/>
      <c r="B493" s="376" t="s">
        <v>328</v>
      </c>
      <c r="C493" s="376" t="s">
        <v>121</v>
      </c>
      <c r="D493" s="372" t="s">
        <v>27</v>
      </c>
      <c r="E493" s="372" t="s">
        <v>28</v>
      </c>
      <c r="F493" s="422" t="s">
        <v>326</v>
      </c>
      <c r="G493" s="372"/>
      <c r="H493" s="377">
        <v>0.10088999999999999</v>
      </c>
      <c r="I493" s="378">
        <v>1</v>
      </c>
      <c r="J493" s="372"/>
      <c r="K493" s="399">
        <f t="shared" si="74"/>
        <v>0</v>
      </c>
      <c r="L493" s="378"/>
      <c r="M493" s="372"/>
    </row>
    <row r="494" spans="1:13" hidden="1" outlineLevel="2" collapsed="1">
      <c r="A494" s="372"/>
      <c r="B494" s="376" t="s">
        <v>328</v>
      </c>
      <c r="C494" s="376" t="s">
        <v>121</v>
      </c>
      <c r="D494" s="372" t="s">
        <v>58</v>
      </c>
      <c r="E494" s="372"/>
      <c r="F494" s="422" t="s">
        <v>323</v>
      </c>
      <c r="G494" s="372"/>
      <c r="H494" s="377">
        <f>+SUM(H495:H497)</f>
        <v>0.33857999999999999</v>
      </c>
      <c r="I494" s="378">
        <f>SUM(I495:I497)</f>
        <v>3</v>
      </c>
      <c r="J494" s="372"/>
      <c r="K494" s="377">
        <f>+SUM(K495:K497)</f>
        <v>0</v>
      </c>
      <c r="L494" s="378">
        <f>SUM(L495:L497)</f>
        <v>0</v>
      </c>
      <c r="M494" s="372"/>
    </row>
    <row r="495" spans="1:13" hidden="1" outlineLevel="3">
      <c r="A495" s="372"/>
      <c r="B495" s="376" t="s">
        <v>328</v>
      </c>
      <c r="C495" s="376" t="s">
        <v>121</v>
      </c>
      <c r="D495" s="372" t="s">
        <v>58</v>
      </c>
      <c r="E495" s="372" t="s">
        <v>28</v>
      </c>
      <c r="F495" s="422" t="s">
        <v>31</v>
      </c>
      <c r="G495" s="372"/>
      <c r="H495" s="399">
        <v>0.11286000000000002</v>
      </c>
      <c r="I495" s="397">
        <v>1</v>
      </c>
      <c r="J495" s="372"/>
      <c r="K495" s="399">
        <f t="shared" ref="K495:K497" si="75">IF(L495=1,H495,0)</f>
        <v>0</v>
      </c>
      <c r="L495" s="397"/>
      <c r="M495" s="372"/>
    </row>
    <row r="496" spans="1:13" hidden="1" outlineLevel="3">
      <c r="A496" s="372"/>
      <c r="B496" s="376" t="s">
        <v>328</v>
      </c>
      <c r="C496" s="376" t="s">
        <v>121</v>
      </c>
      <c r="D496" s="372" t="s">
        <v>58</v>
      </c>
      <c r="E496" s="372" t="s">
        <v>28</v>
      </c>
      <c r="F496" s="422" t="s">
        <v>32</v>
      </c>
      <c r="G496" s="372"/>
      <c r="H496" s="399">
        <v>0.16929</v>
      </c>
      <c r="I496" s="397">
        <v>1</v>
      </c>
      <c r="J496" s="372"/>
      <c r="K496" s="399">
        <f t="shared" si="75"/>
        <v>0</v>
      </c>
      <c r="L496" s="397"/>
      <c r="M496" s="372"/>
    </row>
    <row r="497" spans="1:13" hidden="1" outlineLevel="3">
      <c r="A497" s="372"/>
      <c r="B497" s="376" t="s">
        <v>328</v>
      </c>
      <c r="C497" s="376" t="s">
        <v>121</v>
      </c>
      <c r="D497" s="372" t="s">
        <v>58</v>
      </c>
      <c r="E497" s="372" t="s">
        <v>28</v>
      </c>
      <c r="F497" s="422" t="s">
        <v>326</v>
      </c>
      <c r="G497" s="372"/>
      <c r="H497" s="377">
        <v>5.6430000000000008E-2</v>
      </c>
      <c r="I497" s="378">
        <v>1</v>
      </c>
      <c r="J497" s="372"/>
      <c r="K497" s="399">
        <f t="shared" si="75"/>
        <v>0</v>
      </c>
      <c r="L497" s="378"/>
      <c r="M497" s="372"/>
    </row>
    <row r="498" spans="1:13" outlineLevel="1" collapsed="1">
      <c r="A498" s="372"/>
      <c r="B498" s="386" t="s">
        <v>332</v>
      </c>
      <c r="C498" s="386" t="s">
        <v>121</v>
      </c>
      <c r="D498" s="391"/>
      <c r="E498" s="385"/>
      <c r="F498" s="424" t="s">
        <v>333</v>
      </c>
      <c r="G498" s="372"/>
      <c r="H498" s="412">
        <f>H499+H503+H505+H507+H510</f>
        <v>2.7968904440006535</v>
      </c>
      <c r="I498" s="413">
        <f>I499+I503+I505+I507+I510</f>
        <v>9</v>
      </c>
      <c r="J498" s="372"/>
      <c r="K498" s="412">
        <f>K499+K503+K505+K507+K510</f>
        <v>0</v>
      </c>
      <c r="L498" s="413">
        <f>L499+L503+L505+L507+L510</f>
        <v>0</v>
      </c>
      <c r="M498" s="372"/>
    </row>
    <row r="499" spans="1:13" hidden="1" outlineLevel="2" collapsed="1">
      <c r="A499" s="372"/>
      <c r="B499" s="372" t="s">
        <v>332</v>
      </c>
      <c r="C499" s="387" t="s">
        <v>121</v>
      </c>
      <c r="D499" s="372" t="s">
        <v>175</v>
      </c>
      <c r="E499" s="372"/>
      <c r="F499" s="422" t="s">
        <v>334</v>
      </c>
      <c r="G499" s="372"/>
      <c r="H499" s="399">
        <f>SUM(H500:H502)</f>
        <v>2.184224765452226</v>
      </c>
      <c r="I499" s="397">
        <f>SUM(I500:I502)</f>
        <v>3</v>
      </c>
      <c r="J499" s="372"/>
      <c r="K499" s="399">
        <f>SUM(K500:K502)</f>
        <v>0</v>
      </c>
      <c r="L499" s="397">
        <f>SUM(L500:L502)</f>
        <v>0</v>
      </c>
      <c r="M499" s="372"/>
    </row>
    <row r="500" spans="1:13" hidden="1" outlineLevel="3">
      <c r="A500" s="372"/>
      <c r="B500" s="372" t="s">
        <v>332</v>
      </c>
      <c r="C500" s="387" t="s">
        <v>121</v>
      </c>
      <c r="D500" s="372" t="s">
        <v>175</v>
      </c>
      <c r="E500" s="372" t="s">
        <v>28</v>
      </c>
      <c r="F500" s="422" t="s">
        <v>284</v>
      </c>
      <c r="G500" s="372"/>
      <c r="H500" s="399">
        <v>0.4724994626592407</v>
      </c>
      <c r="I500" s="397">
        <v>1</v>
      </c>
      <c r="J500" s="372"/>
      <c r="K500" s="399">
        <f t="shared" ref="K500:K502" si="76">IF(L500=1,H500,0)</f>
        <v>0</v>
      </c>
      <c r="L500" s="397"/>
      <c r="M500" s="372"/>
    </row>
    <row r="501" spans="1:13" hidden="1" outlineLevel="3">
      <c r="A501" s="372"/>
      <c r="B501" s="372" t="s">
        <v>332</v>
      </c>
      <c r="C501" s="387" t="s">
        <v>121</v>
      </c>
      <c r="D501" s="372" t="s">
        <v>175</v>
      </c>
      <c r="E501" s="372" t="s">
        <v>28</v>
      </c>
      <c r="F501" s="422" t="s">
        <v>31</v>
      </c>
      <c r="G501" s="372"/>
      <c r="H501" s="399">
        <v>0.85586265139649265</v>
      </c>
      <c r="I501" s="397">
        <v>1</v>
      </c>
      <c r="J501" s="372"/>
      <c r="K501" s="399">
        <f t="shared" si="76"/>
        <v>0</v>
      </c>
      <c r="L501" s="397"/>
      <c r="M501" s="372"/>
    </row>
    <row r="502" spans="1:13" hidden="1" outlineLevel="3">
      <c r="A502" s="372"/>
      <c r="B502" s="372" t="s">
        <v>332</v>
      </c>
      <c r="C502" s="387" t="s">
        <v>121</v>
      </c>
      <c r="D502" s="372" t="s">
        <v>175</v>
      </c>
      <c r="E502" s="372" t="s">
        <v>28</v>
      </c>
      <c r="F502" s="422" t="s">
        <v>32</v>
      </c>
      <c r="G502" s="372"/>
      <c r="H502" s="399">
        <v>0.85586265139649265</v>
      </c>
      <c r="I502" s="397">
        <v>1</v>
      </c>
      <c r="J502" s="372"/>
      <c r="K502" s="399">
        <f t="shared" si="76"/>
        <v>0</v>
      </c>
      <c r="L502" s="397"/>
      <c r="M502" s="372"/>
    </row>
    <row r="503" spans="1:13" hidden="1" outlineLevel="2" collapsed="1">
      <c r="A503" s="372"/>
      <c r="B503" s="372" t="s">
        <v>332</v>
      </c>
      <c r="C503" s="387" t="s">
        <v>121</v>
      </c>
      <c r="D503" s="372" t="s">
        <v>17</v>
      </c>
      <c r="E503" s="372"/>
      <c r="F503" s="422" t="s">
        <v>334</v>
      </c>
      <c r="G503" s="372"/>
      <c r="H503" s="399">
        <f>SUM(H504:H504)</f>
        <v>8.9136273921988848E-2</v>
      </c>
      <c r="I503" s="397">
        <f>SUM(I504:I504)</f>
        <v>1</v>
      </c>
      <c r="J503" s="372"/>
      <c r="K503" s="399">
        <f>SUM(K504:K504)</f>
        <v>0</v>
      </c>
      <c r="L503" s="397">
        <f>SUM(L504:L504)</f>
        <v>0</v>
      </c>
      <c r="M503" s="372"/>
    </row>
    <row r="504" spans="1:13" hidden="1" outlineLevel="3">
      <c r="A504" s="372"/>
      <c r="B504" s="372" t="s">
        <v>332</v>
      </c>
      <c r="C504" s="387" t="s">
        <v>121</v>
      </c>
      <c r="D504" s="372" t="s">
        <v>17</v>
      </c>
      <c r="E504" s="372" t="s">
        <v>177</v>
      </c>
      <c r="F504" s="422" t="s">
        <v>31</v>
      </c>
      <c r="G504" s="372"/>
      <c r="H504" s="399">
        <v>8.9136273921988848E-2</v>
      </c>
      <c r="I504" s="397">
        <v>1</v>
      </c>
      <c r="J504" s="372"/>
      <c r="K504" s="399">
        <f>IF(L504=1,H504,0)</f>
        <v>0</v>
      </c>
      <c r="L504" s="397"/>
      <c r="M504" s="372"/>
    </row>
    <row r="505" spans="1:13" hidden="1" outlineLevel="2" collapsed="1">
      <c r="A505" s="372"/>
      <c r="B505" s="372" t="s">
        <v>332</v>
      </c>
      <c r="C505" s="387" t="s">
        <v>121</v>
      </c>
      <c r="D505" s="372" t="s">
        <v>25</v>
      </c>
      <c r="E505" s="372"/>
      <c r="F505" s="422" t="s">
        <v>334</v>
      </c>
      <c r="G505" s="372"/>
      <c r="H505" s="399">
        <f>SUM(H506:H506)</f>
        <v>0.20033977216751808</v>
      </c>
      <c r="I505" s="397">
        <f>SUM(I506:I506)</f>
        <v>1</v>
      </c>
      <c r="J505" s="372"/>
      <c r="K505" s="399">
        <f>SUM(K506:K506)</f>
        <v>0</v>
      </c>
      <c r="L505" s="397">
        <f>SUM(L506:L506)</f>
        <v>0</v>
      </c>
      <c r="M505" s="372"/>
    </row>
    <row r="506" spans="1:13" hidden="1" outlineLevel="3">
      <c r="A506" s="372"/>
      <c r="B506" s="372" t="s">
        <v>332</v>
      </c>
      <c r="C506" s="387" t="s">
        <v>121</v>
      </c>
      <c r="D506" s="372" t="s">
        <v>25</v>
      </c>
      <c r="E506" s="372" t="s">
        <v>26</v>
      </c>
      <c r="F506" s="422" t="s">
        <v>31</v>
      </c>
      <c r="G506" s="372"/>
      <c r="H506" s="399">
        <v>0.20033977216751808</v>
      </c>
      <c r="I506" s="397">
        <v>1</v>
      </c>
      <c r="J506" s="372"/>
      <c r="K506" s="399">
        <f>IF(L506=1,H506,0)</f>
        <v>0</v>
      </c>
      <c r="L506" s="397"/>
      <c r="M506" s="372"/>
    </row>
    <row r="507" spans="1:13" hidden="1" outlineLevel="2" collapsed="1">
      <c r="A507" s="372"/>
      <c r="B507" s="372" t="s">
        <v>332</v>
      </c>
      <c r="C507" s="387" t="s">
        <v>121</v>
      </c>
      <c r="D507" s="372" t="s">
        <v>27</v>
      </c>
      <c r="E507" s="372"/>
      <c r="F507" s="422" t="s">
        <v>334</v>
      </c>
      <c r="G507" s="372"/>
      <c r="H507" s="399">
        <f>SUM(H508:H509)</f>
        <v>0.1672648097813712</v>
      </c>
      <c r="I507" s="397">
        <f>SUM(I508:I509)</f>
        <v>2</v>
      </c>
      <c r="J507" s="372"/>
      <c r="K507" s="399">
        <f>SUM(K508:K509)</f>
        <v>0</v>
      </c>
      <c r="L507" s="397">
        <f>SUM(L508:L509)</f>
        <v>0</v>
      </c>
      <c r="M507" s="372"/>
    </row>
    <row r="508" spans="1:13" hidden="1" outlineLevel="3">
      <c r="A508" s="372"/>
      <c r="B508" s="372" t="s">
        <v>332</v>
      </c>
      <c r="C508" s="387" t="s">
        <v>121</v>
      </c>
      <c r="D508" s="373" t="s">
        <v>27</v>
      </c>
      <c r="E508" s="373" t="s">
        <v>28</v>
      </c>
      <c r="F508" s="422" t="s">
        <v>31</v>
      </c>
      <c r="G508" s="372"/>
      <c r="H508" s="399">
        <v>5.5754936593790397E-2</v>
      </c>
      <c r="I508" s="397">
        <v>1</v>
      </c>
      <c r="J508" s="372"/>
      <c r="K508" s="399">
        <f t="shared" ref="K508:K509" si="77">IF(L508=1,H508,0)</f>
        <v>0</v>
      </c>
      <c r="L508" s="397"/>
      <c r="M508" s="372"/>
    </row>
    <row r="509" spans="1:13" hidden="1" outlineLevel="3">
      <c r="A509" s="372"/>
      <c r="B509" s="372" t="s">
        <v>332</v>
      </c>
      <c r="C509" s="387" t="s">
        <v>121</v>
      </c>
      <c r="D509" s="373" t="s">
        <v>27</v>
      </c>
      <c r="E509" s="373" t="s">
        <v>28</v>
      </c>
      <c r="F509" s="422" t="s">
        <v>32</v>
      </c>
      <c r="G509" s="372"/>
      <c r="H509" s="399">
        <v>0.11150987318758079</v>
      </c>
      <c r="I509" s="397">
        <v>1</v>
      </c>
      <c r="J509" s="372"/>
      <c r="K509" s="399">
        <f t="shared" si="77"/>
        <v>0</v>
      </c>
      <c r="L509" s="397"/>
      <c r="M509" s="372"/>
    </row>
    <row r="510" spans="1:13" hidden="1" outlineLevel="2" collapsed="1">
      <c r="A510" s="372"/>
      <c r="B510" s="372" t="s">
        <v>332</v>
      </c>
      <c r="C510" s="387" t="s">
        <v>121</v>
      </c>
      <c r="D510" s="372" t="s">
        <v>58</v>
      </c>
      <c r="E510" s="372"/>
      <c r="F510" s="422" t="s">
        <v>334</v>
      </c>
      <c r="G510" s="372"/>
      <c r="H510" s="399">
        <f>SUM(H511:H512)</f>
        <v>0.15592482267754942</v>
      </c>
      <c r="I510" s="397">
        <f>SUM(I511:I512)</f>
        <v>2</v>
      </c>
      <c r="J510" s="372"/>
      <c r="K510" s="399">
        <f>SUM(K511:K512)</f>
        <v>0</v>
      </c>
      <c r="L510" s="397">
        <f>SUM(L511:L512)</f>
        <v>0</v>
      </c>
      <c r="M510" s="372"/>
    </row>
    <row r="511" spans="1:13" hidden="1" outlineLevel="4">
      <c r="A511" s="372"/>
      <c r="B511" s="372" t="s">
        <v>332</v>
      </c>
      <c r="C511" s="387" t="s">
        <v>121</v>
      </c>
      <c r="D511" s="372" t="s">
        <v>58</v>
      </c>
      <c r="E511" s="373" t="s">
        <v>28</v>
      </c>
      <c r="F511" s="422" t="s">
        <v>31</v>
      </c>
      <c r="G511" s="372"/>
      <c r="H511" s="399">
        <v>6.2369929071019771E-2</v>
      </c>
      <c r="I511" s="397">
        <v>1</v>
      </c>
      <c r="J511" s="372"/>
      <c r="K511" s="399">
        <f t="shared" ref="K511:K512" si="78">IF(L511=1,H511,0)</f>
        <v>0</v>
      </c>
      <c r="L511" s="397"/>
      <c r="M511" s="372"/>
    </row>
    <row r="512" spans="1:13" hidden="1" outlineLevel="4">
      <c r="A512" s="372"/>
      <c r="B512" s="372" t="s">
        <v>332</v>
      </c>
      <c r="C512" s="387" t="s">
        <v>121</v>
      </c>
      <c r="D512" s="372" t="s">
        <v>58</v>
      </c>
      <c r="E512" s="373" t="s">
        <v>28</v>
      </c>
      <c r="F512" s="422" t="s">
        <v>32</v>
      </c>
      <c r="G512" s="372"/>
      <c r="H512" s="399">
        <v>9.3554893606529646E-2</v>
      </c>
      <c r="I512" s="397">
        <v>1</v>
      </c>
      <c r="J512" s="372"/>
      <c r="K512" s="399">
        <f t="shared" si="78"/>
        <v>0</v>
      </c>
      <c r="L512" s="397"/>
      <c r="M512" s="372"/>
    </row>
    <row r="513" spans="1:13" outlineLevel="1">
      <c r="A513" s="372"/>
      <c r="B513" s="386" t="s">
        <v>335</v>
      </c>
      <c r="C513" s="386" t="s">
        <v>121</v>
      </c>
      <c r="D513" s="391" t="s">
        <v>12</v>
      </c>
      <c r="E513" s="385"/>
      <c r="F513" s="424" t="s">
        <v>333</v>
      </c>
      <c r="G513" s="372"/>
      <c r="H513" s="412">
        <f>H514+H521+H523+H528+H534</f>
        <v>3.4256928234375006</v>
      </c>
      <c r="I513" s="409">
        <f>I514+I521+I523+I528+I534</f>
        <v>21</v>
      </c>
      <c r="J513" s="372"/>
      <c r="K513" s="412">
        <f>K514+K521+K523+K528+K534</f>
        <v>2.0642246026479003</v>
      </c>
      <c r="L513" s="409">
        <f>L514+L521+L523+L528+L534</f>
        <v>6</v>
      </c>
      <c r="M513" s="372"/>
    </row>
    <row r="514" spans="1:13" outlineLevel="2" collapsed="1">
      <c r="A514" s="372"/>
      <c r="B514" s="372" t="s">
        <v>335</v>
      </c>
      <c r="C514" s="387" t="s">
        <v>121</v>
      </c>
      <c r="D514" s="372" t="s">
        <v>175</v>
      </c>
      <c r="E514" s="372"/>
      <c r="F514" s="422" t="s">
        <v>334</v>
      </c>
      <c r="G514" s="372"/>
      <c r="H514" s="399">
        <f>SUM(H515:H520)</f>
        <v>2.4260957513100001</v>
      </c>
      <c r="I514" s="397">
        <f>SUM(I515:I520)</f>
        <v>6</v>
      </c>
      <c r="J514" s="372"/>
      <c r="K514" s="399">
        <f>SUM(K515:K520)</f>
        <v>1.9564517164500002</v>
      </c>
      <c r="L514" s="397">
        <f>SUM(L515:L520)</f>
        <v>4</v>
      </c>
      <c r="M514" s="372"/>
    </row>
    <row r="515" spans="1:13" hidden="1" outlineLevel="3">
      <c r="A515" s="372"/>
      <c r="B515" s="372" t="s">
        <v>335</v>
      </c>
      <c r="C515" s="387" t="s">
        <v>121</v>
      </c>
      <c r="D515" s="372" t="s">
        <v>175</v>
      </c>
      <c r="E515" s="372" t="s">
        <v>28</v>
      </c>
      <c r="F515" s="422" t="s">
        <v>336</v>
      </c>
      <c r="G515" s="372"/>
      <c r="H515" s="399">
        <v>0.55066951170000011</v>
      </c>
      <c r="I515" s="397">
        <v>1</v>
      </c>
      <c r="J515" s="372"/>
      <c r="K515" s="399">
        <f t="shared" ref="K515:K520" si="79">IF(L515=1,H515,0)</f>
        <v>0.55066951170000011</v>
      </c>
      <c r="L515" s="397">
        <v>1</v>
      </c>
      <c r="M515" s="372"/>
    </row>
    <row r="516" spans="1:13" hidden="1" outlineLevel="3">
      <c r="A516" s="372"/>
      <c r="B516" s="372" t="s">
        <v>335</v>
      </c>
      <c r="C516" s="387" t="s">
        <v>121</v>
      </c>
      <c r="D516" s="372" t="s">
        <v>175</v>
      </c>
      <c r="E516" s="372" t="s">
        <v>28</v>
      </c>
      <c r="F516" s="422" t="s">
        <v>337</v>
      </c>
      <c r="G516" s="372"/>
      <c r="H516" s="399">
        <v>0.55066951170000011</v>
      </c>
      <c r="I516" s="397">
        <v>1</v>
      </c>
      <c r="J516" s="372"/>
      <c r="K516" s="399">
        <f t="shared" si="79"/>
        <v>0.55066951170000011</v>
      </c>
      <c r="L516" s="397">
        <v>1</v>
      </c>
      <c r="M516" s="372"/>
    </row>
    <row r="517" spans="1:13" hidden="1" outlineLevel="3">
      <c r="A517" s="372"/>
      <c r="B517" s="372" t="s">
        <v>335</v>
      </c>
      <c r="C517" s="387" t="s">
        <v>121</v>
      </c>
      <c r="D517" s="372" t="s">
        <v>175</v>
      </c>
      <c r="E517" s="372" t="s">
        <v>28</v>
      </c>
      <c r="F517" s="422" t="s">
        <v>33</v>
      </c>
      <c r="G517" s="372"/>
      <c r="H517" s="399">
        <v>0.55066951170000011</v>
      </c>
      <c r="I517" s="397">
        <v>1</v>
      </c>
      <c r="J517" s="372"/>
      <c r="K517" s="399">
        <f t="shared" si="79"/>
        <v>0.55066951170000011</v>
      </c>
      <c r="L517" s="397">
        <v>1</v>
      </c>
      <c r="M517" s="372"/>
    </row>
    <row r="518" spans="1:13" hidden="1" outlineLevel="3">
      <c r="A518" s="372"/>
      <c r="B518" s="372" t="s">
        <v>335</v>
      </c>
      <c r="C518" s="387" t="s">
        <v>121</v>
      </c>
      <c r="D518" s="372" t="s">
        <v>175</v>
      </c>
      <c r="E518" s="372" t="s">
        <v>28</v>
      </c>
      <c r="F518" s="422" t="s">
        <v>326</v>
      </c>
      <c r="G518" s="372"/>
      <c r="H518" s="399">
        <v>0.30444318135000004</v>
      </c>
      <c r="I518" s="397">
        <v>1</v>
      </c>
      <c r="J518" s="372"/>
      <c r="K518" s="399">
        <f t="shared" si="79"/>
        <v>0</v>
      </c>
      <c r="L518" s="397"/>
      <c r="M518" s="372"/>
    </row>
    <row r="519" spans="1:13" hidden="1" outlineLevel="3">
      <c r="A519" s="372"/>
      <c r="B519" s="372" t="s">
        <v>335</v>
      </c>
      <c r="C519" s="387" t="s">
        <v>121</v>
      </c>
      <c r="D519" s="372" t="s">
        <v>175</v>
      </c>
      <c r="E519" s="372" t="s">
        <v>28</v>
      </c>
      <c r="F519" s="422" t="s">
        <v>285</v>
      </c>
      <c r="G519" s="372"/>
      <c r="H519" s="399">
        <v>0.30444318135000004</v>
      </c>
      <c r="I519" s="397">
        <v>1</v>
      </c>
      <c r="J519" s="372"/>
      <c r="K519" s="399">
        <f t="shared" si="79"/>
        <v>0.30444318135000004</v>
      </c>
      <c r="L519" s="397">
        <v>1</v>
      </c>
      <c r="M519" s="372"/>
    </row>
    <row r="520" spans="1:13" hidden="1" outlineLevel="3">
      <c r="A520" s="372"/>
      <c r="B520" s="372" t="s">
        <v>335</v>
      </c>
      <c r="C520" s="387" t="s">
        <v>121</v>
      </c>
      <c r="D520" s="372" t="s">
        <v>175</v>
      </c>
      <c r="E520" s="372" t="s">
        <v>28</v>
      </c>
      <c r="F520" s="422" t="s">
        <v>338</v>
      </c>
      <c r="G520" s="372"/>
      <c r="H520" s="399">
        <v>0.16520085351</v>
      </c>
      <c r="I520" s="397">
        <v>1</v>
      </c>
      <c r="J520" s="372"/>
      <c r="K520" s="399">
        <f t="shared" si="79"/>
        <v>0</v>
      </c>
      <c r="L520" s="397"/>
      <c r="M520" s="372"/>
    </row>
    <row r="521" spans="1:13" outlineLevel="2" collapsed="1">
      <c r="A521" s="372"/>
      <c r="B521" s="372" t="s">
        <v>335</v>
      </c>
      <c r="C521" s="387" t="s">
        <v>121</v>
      </c>
      <c r="D521" s="372" t="s">
        <v>17</v>
      </c>
      <c r="E521" s="372"/>
      <c r="F521" s="422" t="s">
        <v>334</v>
      </c>
      <c r="G521" s="372"/>
      <c r="H521" s="399">
        <f>SUM(H522:H522)</f>
        <v>5.8216850999999993E-2</v>
      </c>
      <c r="I521" s="397">
        <f>SUM(I522:I522)</f>
        <v>1</v>
      </c>
      <c r="J521" s="372"/>
      <c r="K521" s="399">
        <f>SUM(K522:K522)</f>
        <v>0</v>
      </c>
      <c r="L521" s="397">
        <f>SUM(L522:L522)</f>
        <v>0</v>
      </c>
      <c r="M521" s="372"/>
    </row>
    <row r="522" spans="1:13" hidden="1" outlineLevel="3">
      <c r="A522" s="372"/>
      <c r="B522" s="372" t="s">
        <v>335</v>
      </c>
      <c r="C522" s="387" t="s">
        <v>121</v>
      </c>
      <c r="D522" s="372" t="s">
        <v>17</v>
      </c>
      <c r="E522" s="372" t="s">
        <v>177</v>
      </c>
      <c r="F522" s="422" t="s">
        <v>31</v>
      </c>
      <c r="G522" s="372"/>
      <c r="H522" s="399">
        <v>5.8216850999999993E-2</v>
      </c>
      <c r="I522" s="397">
        <v>1</v>
      </c>
      <c r="J522" s="372"/>
      <c r="K522" s="399">
        <f>IF(L522=1,H522,0)</f>
        <v>0</v>
      </c>
      <c r="L522" s="397"/>
      <c r="M522" s="372"/>
    </row>
    <row r="523" spans="1:13" outlineLevel="2" collapsed="1">
      <c r="A523" s="372"/>
      <c r="B523" s="372" t="s">
        <v>335</v>
      </c>
      <c r="C523" s="387" t="s">
        <v>121</v>
      </c>
      <c r="D523" s="372" t="s">
        <v>25</v>
      </c>
      <c r="E523" s="372"/>
      <c r="F523" s="422" t="s">
        <v>334</v>
      </c>
      <c r="G523" s="372"/>
      <c r="H523" s="399">
        <f>SUM(H524:H527)</f>
        <v>0.5747066038098001</v>
      </c>
      <c r="I523" s="397">
        <f>SUM(I524:I527)</f>
        <v>4</v>
      </c>
      <c r="J523" s="372"/>
      <c r="K523" s="399">
        <f>SUM(K524:K527)</f>
        <v>0</v>
      </c>
      <c r="L523" s="397">
        <f>SUM(L524:L527)</f>
        <v>0</v>
      </c>
      <c r="M523" s="372"/>
    </row>
    <row r="524" spans="1:13" hidden="1" outlineLevel="3">
      <c r="A524" s="372"/>
      <c r="B524" s="372" t="s">
        <v>335</v>
      </c>
      <c r="C524" s="387" t="s">
        <v>121</v>
      </c>
      <c r="D524" s="372" t="s">
        <v>25</v>
      </c>
      <c r="E524" s="372" t="s">
        <v>26</v>
      </c>
      <c r="F524" s="422" t="s">
        <v>31</v>
      </c>
      <c r="G524" s="372"/>
      <c r="H524" s="399">
        <v>0.12908390889240001</v>
      </c>
      <c r="I524" s="397">
        <v>1</v>
      </c>
      <c r="J524" s="372"/>
      <c r="K524" s="399">
        <f t="shared" ref="K524:K527" si="80">IF(L524=1,H524,0)</f>
        <v>0</v>
      </c>
      <c r="L524" s="397"/>
      <c r="M524" s="372"/>
    </row>
    <row r="525" spans="1:13" hidden="1" outlineLevel="3">
      <c r="A525" s="372"/>
      <c r="B525" s="372" t="s">
        <v>335</v>
      </c>
      <c r="C525" s="387" t="s">
        <v>121</v>
      </c>
      <c r="D525" s="372" t="s">
        <v>25</v>
      </c>
      <c r="E525" s="372" t="s">
        <v>26</v>
      </c>
      <c r="F525" s="422" t="s">
        <v>33</v>
      </c>
      <c r="G525" s="372"/>
      <c r="H525" s="399">
        <v>0.25816781778480002</v>
      </c>
      <c r="I525" s="397">
        <v>1</v>
      </c>
      <c r="J525" s="372"/>
      <c r="K525" s="399">
        <f t="shared" si="80"/>
        <v>0</v>
      </c>
      <c r="L525" s="397"/>
      <c r="M525" s="372"/>
    </row>
    <row r="526" spans="1:13" hidden="1" outlineLevel="3">
      <c r="A526" s="372"/>
      <c r="B526" s="372" t="s">
        <v>335</v>
      </c>
      <c r="C526" s="387" t="s">
        <v>121</v>
      </c>
      <c r="D526" s="372" t="s">
        <v>25</v>
      </c>
      <c r="E526" s="372" t="s">
        <v>26</v>
      </c>
      <c r="F526" s="422" t="s">
        <v>326</v>
      </c>
      <c r="G526" s="372"/>
      <c r="H526" s="399">
        <v>0.12908390889240001</v>
      </c>
      <c r="I526" s="397">
        <v>1</v>
      </c>
      <c r="J526" s="372"/>
      <c r="K526" s="399">
        <f t="shared" si="80"/>
        <v>0</v>
      </c>
      <c r="L526" s="397"/>
      <c r="M526" s="372"/>
    </row>
    <row r="527" spans="1:13" hidden="1" outlineLevel="3">
      <c r="A527" s="372"/>
      <c r="B527" s="372" t="s">
        <v>335</v>
      </c>
      <c r="C527" s="387" t="s">
        <v>121</v>
      </c>
      <c r="D527" s="372" t="s">
        <v>25</v>
      </c>
      <c r="E527" s="372" t="s">
        <v>26</v>
      </c>
      <c r="F527" s="422" t="s">
        <v>338</v>
      </c>
      <c r="G527" s="372"/>
      <c r="H527" s="399">
        <v>5.8370968240200008E-2</v>
      </c>
      <c r="I527" s="397">
        <v>1</v>
      </c>
      <c r="J527" s="372"/>
      <c r="K527" s="399">
        <f t="shared" si="80"/>
        <v>0</v>
      </c>
      <c r="L527" s="397"/>
      <c r="M527" s="372"/>
    </row>
    <row r="528" spans="1:13" outlineLevel="2" collapsed="1">
      <c r="A528" s="372"/>
      <c r="B528" s="372" t="s">
        <v>335</v>
      </c>
      <c r="C528" s="387" t="s">
        <v>121</v>
      </c>
      <c r="D528" s="372" t="s">
        <v>27</v>
      </c>
      <c r="E528" s="372"/>
      <c r="F528" s="422" t="s">
        <v>334</v>
      </c>
      <c r="G528" s="372"/>
      <c r="H528" s="399">
        <f>SUM(H529:H533)</f>
        <v>0.2480352735861</v>
      </c>
      <c r="I528" s="397">
        <f>SUM(I529:I533)</f>
        <v>5</v>
      </c>
      <c r="J528" s="372"/>
      <c r="K528" s="399">
        <f>SUM(K529:K533)</f>
        <v>0.10777288619789999</v>
      </c>
      <c r="L528" s="397">
        <f>SUM(L529:L533)</f>
        <v>2</v>
      </c>
      <c r="M528" s="372"/>
    </row>
    <row r="529" spans="1:13" hidden="1" outlineLevel="3">
      <c r="A529" s="372"/>
      <c r="B529" s="372" t="s">
        <v>335</v>
      </c>
      <c r="C529" s="387" t="s">
        <v>121</v>
      </c>
      <c r="D529" s="372" t="s">
        <v>27</v>
      </c>
      <c r="E529" s="372" t="s">
        <v>28</v>
      </c>
      <c r="F529" s="422" t="s">
        <v>31</v>
      </c>
      <c r="G529" s="372"/>
      <c r="H529" s="399">
        <v>3.5924295399299998E-2</v>
      </c>
      <c r="I529" s="397">
        <v>1</v>
      </c>
      <c r="J529" s="372"/>
      <c r="K529" s="399">
        <f t="shared" ref="K529:K533" si="81">IF(L529=1,H529,0)</f>
        <v>3.5924295399299998E-2</v>
      </c>
      <c r="L529" s="397">
        <v>1</v>
      </c>
      <c r="M529" s="372"/>
    </row>
    <row r="530" spans="1:13" hidden="1" outlineLevel="3">
      <c r="A530" s="372" t="s">
        <v>339</v>
      </c>
      <c r="B530" s="372" t="s">
        <v>335</v>
      </c>
      <c r="C530" s="387" t="s">
        <v>121</v>
      </c>
      <c r="D530" s="372" t="s">
        <v>27</v>
      </c>
      <c r="E530" s="372" t="s">
        <v>28</v>
      </c>
      <c r="F530" s="422" t="s">
        <v>337</v>
      </c>
      <c r="G530" s="372"/>
      <c r="H530" s="399">
        <v>7.1848590798599996E-2</v>
      </c>
      <c r="I530" s="397">
        <v>1</v>
      </c>
      <c r="J530" s="372"/>
      <c r="K530" s="399">
        <f t="shared" si="81"/>
        <v>7.1848590798599996E-2</v>
      </c>
      <c r="L530" s="397">
        <v>1</v>
      </c>
      <c r="M530" s="372"/>
    </row>
    <row r="531" spans="1:13" hidden="1" outlineLevel="3">
      <c r="A531" s="372"/>
      <c r="B531" s="372" t="s">
        <v>335</v>
      </c>
      <c r="C531" s="387" t="s">
        <v>121</v>
      </c>
      <c r="D531" s="372" t="s">
        <v>27</v>
      </c>
      <c r="E531" s="372" t="s">
        <v>28</v>
      </c>
      <c r="F531" s="422" t="s">
        <v>33</v>
      </c>
      <c r="G531" s="372"/>
      <c r="H531" s="399">
        <v>7.1848590798599996E-2</v>
      </c>
      <c r="I531" s="397">
        <v>1</v>
      </c>
      <c r="J531" s="372"/>
      <c r="K531" s="399">
        <f t="shared" si="81"/>
        <v>0</v>
      </c>
      <c r="L531" s="397"/>
      <c r="M531" s="372"/>
    </row>
    <row r="532" spans="1:13" hidden="1" outlineLevel="3">
      <c r="A532" s="372"/>
      <c r="B532" s="372" t="s">
        <v>335</v>
      </c>
      <c r="C532" s="387" t="s">
        <v>121</v>
      </c>
      <c r="D532" s="372" t="s">
        <v>27</v>
      </c>
      <c r="E532" s="372" t="s">
        <v>28</v>
      </c>
      <c r="F532" s="422" t="s">
        <v>326</v>
      </c>
      <c r="G532" s="372"/>
      <c r="H532" s="399">
        <v>3.5924295399299998E-2</v>
      </c>
      <c r="I532" s="397">
        <v>1</v>
      </c>
      <c r="J532" s="372"/>
      <c r="K532" s="399">
        <f t="shared" si="81"/>
        <v>0</v>
      </c>
      <c r="L532" s="397"/>
      <c r="M532" s="372"/>
    </row>
    <row r="533" spans="1:13" hidden="1" outlineLevel="3">
      <c r="A533" s="372"/>
      <c r="B533" s="372" t="s">
        <v>335</v>
      </c>
      <c r="C533" s="387" t="s">
        <v>121</v>
      </c>
      <c r="D533" s="372" t="s">
        <v>27</v>
      </c>
      <c r="E533" s="372" t="s">
        <v>28</v>
      </c>
      <c r="F533" s="422" t="s">
        <v>322</v>
      </c>
      <c r="G533" s="372"/>
      <c r="H533" s="399">
        <v>3.2489501190300002E-2</v>
      </c>
      <c r="I533" s="397">
        <v>1</v>
      </c>
      <c r="J533" s="372"/>
      <c r="K533" s="399">
        <f t="shared" si="81"/>
        <v>0</v>
      </c>
      <c r="L533" s="397"/>
      <c r="M533" s="372"/>
    </row>
    <row r="534" spans="1:13" outlineLevel="2" collapsed="1">
      <c r="A534" s="372"/>
      <c r="B534" s="372" t="s">
        <v>335</v>
      </c>
      <c r="C534" s="387" t="s">
        <v>121</v>
      </c>
      <c r="D534" s="372" t="s">
        <v>58</v>
      </c>
      <c r="E534" s="372"/>
      <c r="F534" s="422" t="s">
        <v>334</v>
      </c>
      <c r="G534" s="372"/>
      <c r="H534" s="399">
        <f>SUM(H535:H539)</f>
        <v>0.11863834373160001</v>
      </c>
      <c r="I534" s="397">
        <f>SUM(I535:I539)</f>
        <v>5</v>
      </c>
      <c r="J534" s="372"/>
      <c r="K534" s="399">
        <f>SUM(K535:K539)</f>
        <v>0</v>
      </c>
      <c r="L534" s="397">
        <f>SUM(L535:L539)</f>
        <v>0</v>
      </c>
      <c r="M534" s="372"/>
    </row>
    <row r="535" spans="1:13" hidden="1" outlineLevel="4">
      <c r="A535" s="372"/>
      <c r="B535" s="372" t="s">
        <v>335</v>
      </c>
      <c r="C535" s="387" t="s">
        <v>121</v>
      </c>
      <c r="D535" s="372" t="s">
        <v>58</v>
      </c>
      <c r="E535" s="372" t="s">
        <v>28</v>
      </c>
      <c r="F535" s="422" t="s">
        <v>31</v>
      </c>
      <c r="G535" s="372"/>
      <c r="H535" s="399">
        <v>4.0186499938200004E-2</v>
      </c>
      <c r="I535" s="397">
        <v>1</v>
      </c>
      <c r="J535" s="372"/>
      <c r="K535" s="399">
        <f t="shared" ref="K535:K539" si="82">IF(L535=1,H535,0)</f>
        <v>0</v>
      </c>
      <c r="L535" s="397"/>
      <c r="M535" s="372"/>
    </row>
    <row r="536" spans="1:13" hidden="1" outlineLevel="4">
      <c r="A536" s="372"/>
      <c r="B536" s="372" t="s">
        <v>335</v>
      </c>
      <c r="C536" s="387" t="s">
        <v>121</v>
      </c>
      <c r="D536" s="372" t="s">
        <v>58</v>
      </c>
      <c r="E536" s="372" t="s">
        <v>28</v>
      </c>
      <c r="F536" s="422" t="s">
        <v>33</v>
      </c>
      <c r="G536" s="372"/>
      <c r="H536" s="399">
        <v>2.0093249969100002E-2</v>
      </c>
      <c r="I536" s="397">
        <v>1</v>
      </c>
      <c r="J536" s="372"/>
      <c r="K536" s="399">
        <f t="shared" si="82"/>
        <v>0</v>
      </c>
      <c r="L536" s="397"/>
      <c r="M536" s="372"/>
    </row>
    <row r="537" spans="1:13" hidden="1" outlineLevel="4">
      <c r="A537" s="372"/>
      <c r="B537" s="372" t="s">
        <v>335</v>
      </c>
      <c r="C537" s="387" t="s">
        <v>121</v>
      </c>
      <c r="D537" s="372" t="s">
        <v>58</v>
      </c>
      <c r="E537" s="372" t="s">
        <v>28</v>
      </c>
      <c r="F537" s="422" t="s">
        <v>326</v>
      </c>
      <c r="G537" s="372"/>
      <c r="H537" s="399">
        <v>2.0093249969100002E-2</v>
      </c>
      <c r="I537" s="397">
        <v>1</v>
      </c>
      <c r="J537" s="372"/>
      <c r="K537" s="399">
        <f t="shared" si="82"/>
        <v>0</v>
      </c>
      <c r="L537" s="397"/>
      <c r="M537" s="372"/>
    </row>
    <row r="538" spans="1:13" hidden="1" outlineLevel="4">
      <c r="A538" s="372"/>
      <c r="B538" s="372" t="s">
        <v>335</v>
      </c>
      <c r="C538" s="387" t="s">
        <v>121</v>
      </c>
      <c r="D538" s="372" t="s">
        <v>58</v>
      </c>
      <c r="E538" s="372" t="s">
        <v>28</v>
      </c>
      <c r="F538" s="422" t="s">
        <v>285</v>
      </c>
      <c r="G538" s="372"/>
      <c r="H538" s="399">
        <v>2.0093249969100002E-2</v>
      </c>
      <c r="I538" s="397">
        <v>1</v>
      </c>
      <c r="J538" s="372"/>
      <c r="K538" s="399">
        <f t="shared" si="82"/>
        <v>0</v>
      </c>
      <c r="L538" s="397"/>
      <c r="M538" s="372"/>
    </row>
    <row r="539" spans="1:13" hidden="1" outlineLevel="4">
      <c r="A539" s="372"/>
      <c r="B539" s="372" t="s">
        <v>335</v>
      </c>
      <c r="C539" s="387" t="s">
        <v>121</v>
      </c>
      <c r="D539" s="372" t="s">
        <v>58</v>
      </c>
      <c r="E539" s="372" t="s">
        <v>28</v>
      </c>
      <c r="F539" s="422" t="s">
        <v>322</v>
      </c>
      <c r="G539" s="372"/>
      <c r="H539" s="399">
        <v>1.8172093886100003E-2</v>
      </c>
      <c r="I539" s="397">
        <v>1</v>
      </c>
      <c r="J539" s="372"/>
      <c r="K539" s="399">
        <f t="shared" si="82"/>
        <v>0</v>
      </c>
      <c r="L539" s="397"/>
      <c r="M539" s="372"/>
    </row>
    <row r="540" spans="1:13" outlineLevel="1" collapsed="1">
      <c r="A540" s="372"/>
      <c r="B540" s="380" t="s">
        <v>340</v>
      </c>
      <c r="C540" s="380" t="s">
        <v>340</v>
      </c>
      <c r="D540" s="380" t="s">
        <v>341</v>
      </c>
      <c r="E540" s="385"/>
      <c r="F540" s="424" t="s">
        <v>342</v>
      </c>
      <c r="G540" s="372"/>
      <c r="H540" s="405"/>
      <c r="I540" s="614"/>
      <c r="J540" s="372"/>
      <c r="K540" s="405"/>
      <c r="L540" s="614"/>
      <c r="M540" s="372"/>
    </row>
    <row r="541" spans="1:13" hidden="1" outlineLevel="2">
      <c r="A541" s="372"/>
      <c r="B541" s="376" t="s">
        <v>340</v>
      </c>
      <c r="C541" s="376" t="s">
        <v>121</v>
      </c>
      <c r="D541" s="372" t="s">
        <v>175</v>
      </c>
      <c r="E541" s="372"/>
      <c r="F541" s="422" t="s">
        <v>330</v>
      </c>
      <c r="G541" s="372"/>
      <c r="H541" s="399"/>
      <c r="I541" s="397"/>
      <c r="J541" s="372"/>
      <c r="K541" s="399"/>
      <c r="L541" s="397"/>
      <c r="M541" s="372"/>
    </row>
    <row r="542" spans="1:13" hidden="1" outlineLevel="2">
      <c r="A542" s="372"/>
      <c r="B542" s="376" t="s">
        <v>340</v>
      </c>
      <c r="C542" s="376" t="s">
        <v>121</v>
      </c>
      <c r="D542" s="372" t="s">
        <v>17</v>
      </c>
      <c r="E542" s="372"/>
      <c r="F542" s="422" t="s">
        <v>323</v>
      </c>
      <c r="G542" s="372"/>
      <c r="H542" s="399"/>
      <c r="I542" s="397"/>
      <c r="J542" s="372"/>
      <c r="K542" s="399"/>
      <c r="L542" s="397"/>
      <c r="M542" s="372"/>
    </row>
    <row r="543" spans="1:13" hidden="1" outlineLevel="2">
      <c r="A543" s="372"/>
      <c r="B543" s="376" t="s">
        <v>340</v>
      </c>
      <c r="C543" s="376" t="s">
        <v>121</v>
      </c>
      <c r="D543" s="372" t="s">
        <v>25</v>
      </c>
      <c r="E543" s="372"/>
      <c r="F543" s="422" t="s">
        <v>343</v>
      </c>
      <c r="G543" s="372"/>
      <c r="H543" s="399"/>
      <c r="I543" s="397"/>
      <c r="J543" s="372"/>
      <c r="K543" s="399"/>
      <c r="L543" s="397"/>
      <c r="M543" s="372"/>
    </row>
    <row r="544" spans="1:13" hidden="1" outlineLevel="2">
      <c r="A544" s="372"/>
      <c r="B544" s="376" t="s">
        <v>340</v>
      </c>
      <c r="C544" s="376" t="s">
        <v>121</v>
      </c>
      <c r="D544" s="372" t="s">
        <v>27</v>
      </c>
      <c r="E544" s="372"/>
      <c r="F544" s="422" t="s">
        <v>323</v>
      </c>
      <c r="G544" s="372"/>
      <c r="H544" s="399"/>
      <c r="I544" s="397"/>
      <c r="J544" s="372"/>
      <c r="K544" s="399"/>
      <c r="L544" s="397"/>
      <c r="M544" s="372"/>
    </row>
    <row r="545" spans="1:13" hidden="1" outlineLevel="2">
      <c r="A545" s="372"/>
      <c r="B545" s="376" t="s">
        <v>340</v>
      </c>
      <c r="C545" s="376" t="s">
        <v>121</v>
      </c>
      <c r="D545" s="372" t="s">
        <v>58</v>
      </c>
      <c r="E545" s="372"/>
      <c r="F545" s="422" t="s">
        <v>323</v>
      </c>
      <c r="G545" s="372"/>
      <c r="H545" s="399"/>
      <c r="I545" s="397"/>
      <c r="J545" s="372"/>
      <c r="K545" s="399"/>
      <c r="L545" s="397"/>
      <c r="M545" s="372"/>
    </row>
    <row r="546" spans="1:13" ht="16.350000000000001" customHeight="1" outlineLevel="1" collapsed="1">
      <c r="A546" s="372"/>
      <c r="B546" s="386" t="s">
        <v>344</v>
      </c>
      <c r="C546" s="380" t="s">
        <v>344</v>
      </c>
      <c r="D546" s="391"/>
      <c r="E546" s="380"/>
      <c r="F546" s="426" t="s">
        <v>345</v>
      </c>
      <c r="G546" s="372"/>
      <c r="H546" s="405">
        <f>H547+H549+H550+H551</f>
        <v>1.6141000000000003</v>
      </c>
      <c r="I546" s="614">
        <f>I547+I549+I550+I551</f>
        <v>1</v>
      </c>
      <c r="J546" s="372"/>
      <c r="K546" s="405">
        <f>K547+K549+K550+K551</f>
        <v>0</v>
      </c>
      <c r="L546" s="614">
        <f>L547+L549+L550+L551</f>
        <v>0</v>
      </c>
      <c r="M546" s="372"/>
    </row>
    <row r="547" spans="1:13" hidden="1" outlineLevel="2" collapsed="1">
      <c r="A547" s="372"/>
      <c r="B547" s="372" t="s">
        <v>344</v>
      </c>
      <c r="C547" s="372" t="s">
        <v>344</v>
      </c>
      <c r="D547" s="372" t="s">
        <v>17</v>
      </c>
      <c r="E547" s="376"/>
      <c r="F547" s="422" t="s">
        <v>346</v>
      </c>
      <c r="G547" s="372"/>
      <c r="H547" s="377">
        <f>SUM(H548:H548)</f>
        <v>1.6141000000000003</v>
      </c>
      <c r="I547" s="397">
        <f>SUM(I548:I548)</f>
        <v>1</v>
      </c>
      <c r="J547" s="372"/>
      <c r="K547" s="377">
        <f>SUM(K548:K548)</f>
        <v>0</v>
      </c>
      <c r="L547" s="397">
        <f>SUM(L548:L548)</f>
        <v>0</v>
      </c>
      <c r="M547" s="372"/>
    </row>
    <row r="548" spans="1:13" hidden="1" outlineLevel="3">
      <c r="A548" s="372"/>
      <c r="B548" s="372" t="s">
        <v>344</v>
      </c>
      <c r="C548" s="372" t="s">
        <v>344</v>
      </c>
      <c r="D548" s="372" t="s">
        <v>17</v>
      </c>
      <c r="E548" s="376" t="s">
        <v>177</v>
      </c>
      <c r="F548" s="422" t="s">
        <v>284</v>
      </c>
      <c r="G548" s="372"/>
      <c r="H548" s="377">
        <v>1.6141000000000003</v>
      </c>
      <c r="I548" s="378">
        <v>1</v>
      </c>
      <c r="J548" s="372"/>
      <c r="K548" s="399">
        <f>IF(L548=1,H548,0)</f>
        <v>0</v>
      </c>
      <c r="L548" s="378"/>
      <c r="M548" s="372"/>
    </row>
    <row r="549" spans="1:13" hidden="1" outlineLevel="2">
      <c r="A549" s="372"/>
      <c r="B549" s="372" t="s">
        <v>344</v>
      </c>
      <c r="C549" s="372" t="s">
        <v>344</v>
      </c>
      <c r="D549" s="372" t="s">
        <v>25</v>
      </c>
      <c r="E549" s="372"/>
      <c r="F549" s="422" t="s">
        <v>325</v>
      </c>
      <c r="G549" s="372"/>
      <c r="H549" s="399"/>
      <c r="I549" s="397"/>
      <c r="J549" s="372"/>
      <c r="K549" s="399"/>
      <c r="L549" s="397"/>
      <c r="M549" s="372"/>
    </row>
    <row r="550" spans="1:13" hidden="1" outlineLevel="2">
      <c r="A550" s="372"/>
      <c r="B550" s="372" t="s">
        <v>344</v>
      </c>
      <c r="C550" s="372" t="s">
        <v>344</v>
      </c>
      <c r="D550" s="372" t="s">
        <v>27</v>
      </c>
      <c r="E550" s="372"/>
      <c r="F550" s="422" t="s">
        <v>347</v>
      </c>
      <c r="G550" s="372"/>
      <c r="H550" s="377"/>
      <c r="I550" s="397"/>
      <c r="J550" s="372"/>
      <c r="K550" s="377"/>
      <c r="L550" s="397"/>
      <c r="M550" s="372"/>
    </row>
    <row r="551" spans="1:13" hidden="1" outlineLevel="2">
      <c r="A551" s="372"/>
      <c r="B551" s="372" t="s">
        <v>344</v>
      </c>
      <c r="C551" s="372" t="s">
        <v>344</v>
      </c>
      <c r="D551" s="372" t="s">
        <v>58</v>
      </c>
      <c r="E551" s="372"/>
      <c r="F551" s="422" t="s">
        <v>347</v>
      </c>
      <c r="G551" s="372"/>
      <c r="H551" s="377"/>
      <c r="I551" s="397"/>
      <c r="J551" s="372"/>
      <c r="K551" s="377"/>
      <c r="L551" s="397"/>
      <c r="M551" s="372"/>
    </row>
    <row r="552" spans="1:13" ht="26.4" outlineLevel="1" collapsed="1">
      <c r="A552" s="372"/>
      <c r="B552" s="386" t="s">
        <v>348</v>
      </c>
      <c r="C552" s="386" t="s">
        <v>349</v>
      </c>
      <c r="D552" s="386"/>
      <c r="E552" s="407"/>
      <c r="F552" s="426" t="s">
        <v>345</v>
      </c>
      <c r="G552" s="372"/>
      <c r="H552" s="405">
        <f>H553+H554+H555+H556</f>
        <v>0</v>
      </c>
      <c r="I552" s="614">
        <f>I553+I554+I555+I556</f>
        <v>0</v>
      </c>
      <c r="J552" s="372"/>
      <c r="K552" s="405">
        <f>K553+K554+K555+K556</f>
        <v>0</v>
      </c>
      <c r="L552" s="614">
        <f>L553+L554+L555+L556</f>
        <v>0</v>
      </c>
      <c r="M552" s="372"/>
    </row>
    <row r="553" spans="1:13" hidden="1" outlineLevel="2">
      <c r="A553" s="372"/>
      <c r="B553" s="372" t="s">
        <v>350</v>
      </c>
      <c r="C553" s="372" t="s">
        <v>350</v>
      </c>
      <c r="D553" s="372" t="s">
        <v>17</v>
      </c>
      <c r="E553" s="376"/>
      <c r="F553" s="422" t="s">
        <v>346</v>
      </c>
      <c r="G553" s="372"/>
      <c r="H553" s="377"/>
      <c r="I553" s="397"/>
      <c r="J553" s="372"/>
      <c r="K553" s="377"/>
      <c r="L553" s="397"/>
      <c r="M553" s="372"/>
    </row>
    <row r="554" spans="1:13" hidden="1" outlineLevel="2">
      <c r="A554" s="372"/>
      <c r="B554" s="372" t="s">
        <v>350</v>
      </c>
      <c r="C554" s="372" t="s">
        <v>350</v>
      </c>
      <c r="D554" s="372" t="s">
        <v>25</v>
      </c>
      <c r="E554" s="372"/>
      <c r="F554" s="422" t="s">
        <v>325</v>
      </c>
      <c r="G554" s="372"/>
      <c r="H554" s="377"/>
      <c r="I554" s="397"/>
      <c r="J554" s="372"/>
      <c r="K554" s="377"/>
      <c r="L554" s="397"/>
      <c r="M554" s="372"/>
    </row>
    <row r="555" spans="1:13" hidden="1" outlineLevel="2">
      <c r="A555" s="372"/>
      <c r="B555" s="372" t="s">
        <v>350</v>
      </c>
      <c r="C555" s="372" t="s">
        <v>350</v>
      </c>
      <c r="D555" s="372" t="s">
        <v>27</v>
      </c>
      <c r="E555" s="372"/>
      <c r="F555" s="422" t="s">
        <v>347</v>
      </c>
      <c r="G555" s="372"/>
      <c r="H555" s="377"/>
      <c r="I555" s="397"/>
      <c r="J555" s="372"/>
      <c r="K555" s="377"/>
      <c r="L555" s="397"/>
      <c r="M555" s="372"/>
    </row>
    <row r="556" spans="1:13" hidden="1" outlineLevel="2">
      <c r="A556" s="372"/>
      <c r="B556" s="372" t="s">
        <v>350</v>
      </c>
      <c r="C556" s="372" t="s">
        <v>350</v>
      </c>
      <c r="D556" s="372" t="s">
        <v>58</v>
      </c>
      <c r="E556" s="372"/>
      <c r="F556" s="422" t="s">
        <v>347</v>
      </c>
      <c r="G556" s="372"/>
      <c r="H556" s="377"/>
      <c r="I556" s="397"/>
      <c r="J556" s="372"/>
      <c r="K556" s="377"/>
      <c r="L556" s="397"/>
      <c r="M556" s="372"/>
    </row>
    <row r="557" spans="1:13" outlineLevel="1" collapsed="1">
      <c r="A557" s="372"/>
      <c r="B557" s="380" t="s">
        <v>351</v>
      </c>
      <c r="C557" s="380" t="s">
        <v>351</v>
      </c>
      <c r="D557" s="380"/>
      <c r="E557" s="380"/>
      <c r="F557" s="424" t="s">
        <v>234</v>
      </c>
      <c r="G557" s="372"/>
      <c r="H557" s="410">
        <f>SUM(H558:H567)</f>
        <v>0</v>
      </c>
      <c r="I557" s="396">
        <f>SUM(I558,I562,I564,I567)</f>
        <v>8</v>
      </c>
      <c r="J557" s="372"/>
      <c r="K557" s="410">
        <f>SUM(K558:K567)</f>
        <v>0</v>
      </c>
      <c r="L557" s="396">
        <f>SUM(L558,L562,L564,L567)</f>
        <v>0</v>
      </c>
      <c r="M557" s="372"/>
    </row>
    <row r="558" spans="1:13" hidden="1" outlineLevel="2" collapsed="1">
      <c r="A558" s="372"/>
      <c r="B558" s="376" t="s">
        <v>351</v>
      </c>
      <c r="C558" s="376" t="s">
        <v>351</v>
      </c>
      <c r="D558" s="372" t="s">
        <v>175</v>
      </c>
      <c r="E558" s="376"/>
      <c r="F558" s="422" t="s">
        <v>352</v>
      </c>
      <c r="G558" s="372"/>
      <c r="H558" s="377"/>
      <c r="I558" s="378">
        <f>SUM(I559:I561)</f>
        <v>3</v>
      </c>
      <c r="J558" s="372"/>
      <c r="K558" s="377"/>
      <c r="L558" s="378">
        <f>SUM(L559:L561)</f>
        <v>0</v>
      </c>
      <c r="M558" s="372"/>
    </row>
    <row r="559" spans="1:13" hidden="1" outlineLevel="3">
      <c r="A559" s="372"/>
      <c r="B559" s="376" t="s">
        <v>351</v>
      </c>
      <c r="C559" s="376" t="s">
        <v>351</v>
      </c>
      <c r="D559" s="372" t="s">
        <v>175</v>
      </c>
      <c r="E559" s="376" t="s">
        <v>28</v>
      </c>
      <c r="F559" s="422" t="s">
        <v>284</v>
      </c>
      <c r="G559" s="372"/>
      <c r="H559" s="377"/>
      <c r="I559" s="378">
        <v>1</v>
      </c>
      <c r="J559" s="372"/>
      <c r="K559" s="399">
        <f t="shared" ref="K559:K561" si="83">IF(L559=1,H559,0)</f>
        <v>0</v>
      </c>
      <c r="L559" s="378"/>
      <c r="M559" s="372"/>
    </row>
    <row r="560" spans="1:13" hidden="1" outlineLevel="3">
      <c r="A560" s="372"/>
      <c r="B560" s="376" t="s">
        <v>351</v>
      </c>
      <c r="C560" s="376" t="s">
        <v>351</v>
      </c>
      <c r="D560" s="372" t="s">
        <v>175</v>
      </c>
      <c r="E560" s="376" t="s">
        <v>28</v>
      </c>
      <c r="F560" s="422" t="s">
        <v>236</v>
      </c>
      <c r="G560" s="372"/>
      <c r="H560" s="377"/>
      <c r="I560" s="378">
        <v>1</v>
      </c>
      <c r="J560" s="372"/>
      <c r="K560" s="399">
        <f t="shared" si="83"/>
        <v>0</v>
      </c>
      <c r="L560" s="378"/>
      <c r="M560" s="372"/>
    </row>
    <row r="561" spans="1:13" hidden="1" outlineLevel="3">
      <c r="A561" s="372"/>
      <c r="B561" s="376" t="s">
        <v>351</v>
      </c>
      <c r="C561" s="376" t="s">
        <v>351</v>
      </c>
      <c r="D561" s="372" t="s">
        <v>175</v>
      </c>
      <c r="E561" s="376" t="s">
        <v>28</v>
      </c>
      <c r="F561" s="422" t="s">
        <v>32</v>
      </c>
      <c r="G561" s="372"/>
      <c r="H561" s="377"/>
      <c r="I561" s="378">
        <v>1</v>
      </c>
      <c r="J561" s="372"/>
      <c r="K561" s="399">
        <f t="shared" si="83"/>
        <v>0</v>
      </c>
      <c r="L561" s="378"/>
      <c r="M561" s="372"/>
    </row>
    <row r="562" spans="1:13" hidden="1" outlineLevel="2" collapsed="1">
      <c r="A562" s="372"/>
      <c r="B562" s="376" t="s">
        <v>351</v>
      </c>
      <c r="C562" s="376" t="s">
        <v>351</v>
      </c>
      <c r="D562" s="372" t="s">
        <v>25</v>
      </c>
      <c r="E562" s="372"/>
      <c r="F562" s="422" t="s">
        <v>352</v>
      </c>
      <c r="G562" s="372"/>
      <c r="H562" s="377"/>
      <c r="I562" s="378">
        <f>SUM(I563:I563)</f>
        <v>1</v>
      </c>
      <c r="J562" s="372"/>
      <c r="K562" s="377"/>
      <c r="L562" s="378">
        <f>SUM(L563:L563)</f>
        <v>0</v>
      </c>
      <c r="M562" s="372"/>
    </row>
    <row r="563" spans="1:13" hidden="1" outlineLevel="3">
      <c r="A563" s="372"/>
      <c r="B563" s="376" t="s">
        <v>351</v>
      </c>
      <c r="C563" s="376" t="s">
        <v>351</v>
      </c>
      <c r="D563" s="372" t="s">
        <v>25</v>
      </c>
      <c r="E563" s="372" t="s">
        <v>26</v>
      </c>
      <c r="F563" s="422" t="s">
        <v>236</v>
      </c>
      <c r="G563" s="372"/>
      <c r="H563" s="377"/>
      <c r="I563" s="378">
        <v>1</v>
      </c>
      <c r="J563" s="372"/>
      <c r="K563" s="399">
        <f>IF(L563=1,H563,0)</f>
        <v>0</v>
      </c>
      <c r="L563" s="378"/>
      <c r="M563" s="372"/>
    </row>
    <row r="564" spans="1:13" hidden="1" outlineLevel="2" collapsed="1">
      <c r="A564" s="372"/>
      <c r="B564" s="376" t="s">
        <v>351</v>
      </c>
      <c r="C564" s="376" t="s">
        <v>351</v>
      </c>
      <c r="D564" s="372" t="s">
        <v>27</v>
      </c>
      <c r="E564" s="372"/>
      <c r="F564" s="422" t="s">
        <v>352</v>
      </c>
      <c r="G564" s="372"/>
      <c r="H564" s="377"/>
      <c r="I564" s="378">
        <f>SUM(I565:I566)</f>
        <v>2</v>
      </c>
      <c r="J564" s="372"/>
      <c r="K564" s="377"/>
      <c r="L564" s="378">
        <f>SUM(L565:L566)</f>
        <v>0</v>
      </c>
      <c r="M564" s="372"/>
    </row>
    <row r="565" spans="1:13" hidden="1" outlineLevel="3">
      <c r="A565" s="372"/>
      <c r="B565" s="376" t="s">
        <v>351</v>
      </c>
      <c r="C565" s="376" t="s">
        <v>351</v>
      </c>
      <c r="D565" s="372" t="s">
        <v>27</v>
      </c>
      <c r="E565" s="372" t="s">
        <v>28</v>
      </c>
      <c r="F565" s="422" t="s">
        <v>236</v>
      </c>
      <c r="G565" s="372"/>
      <c r="H565" s="377"/>
      <c r="I565" s="378">
        <v>1</v>
      </c>
      <c r="J565" s="372"/>
      <c r="K565" s="399">
        <f t="shared" ref="K565:K566" si="84">IF(L565=1,H565,0)</f>
        <v>0</v>
      </c>
      <c r="L565" s="378"/>
      <c r="M565" s="372"/>
    </row>
    <row r="566" spans="1:13" hidden="1" outlineLevel="3">
      <c r="A566" s="372"/>
      <c r="B566" s="376" t="s">
        <v>351</v>
      </c>
      <c r="C566" s="376" t="s">
        <v>351</v>
      </c>
      <c r="D566" s="372" t="s">
        <v>27</v>
      </c>
      <c r="E566" s="372" t="s">
        <v>28</v>
      </c>
      <c r="F566" s="422" t="s">
        <v>32</v>
      </c>
      <c r="G566" s="372"/>
      <c r="H566" s="377"/>
      <c r="I566" s="378">
        <v>1</v>
      </c>
      <c r="J566" s="372"/>
      <c r="K566" s="399">
        <f t="shared" si="84"/>
        <v>0</v>
      </c>
      <c r="L566" s="378"/>
      <c r="M566" s="372"/>
    </row>
    <row r="567" spans="1:13" hidden="1" outlineLevel="2" collapsed="1">
      <c r="A567" s="372"/>
      <c r="B567" s="376" t="s">
        <v>351</v>
      </c>
      <c r="C567" s="376" t="s">
        <v>351</v>
      </c>
      <c r="D567" s="372" t="s">
        <v>58</v>
      </c>
      <c r="E567" s="372"/>
      <c r="F567" s="422" t="s">
        <v>352</v>
      </c>
      <c r="G567" s="372"/>
      <c r="H567" s="377"/>
      <c r="I567" s="378">
        <f>SUM(I568:I569)</f>
        <v>2</v>
      </c>
      <c r="J567" s="372"/>
      <c r="K567" s="377"/>
      <c r="L567" s="378">
        <f>SUM(L568:L569)</f>
        <v>0</v>
      </c>
      <c r="M567" s="372"/>
    </row>
    <row r="568" spans="1:13" hidden="1" outlineLevel="3">
      <c r="A568" s="372"/>
      <c r="B568" s="376" t="s">
        <v>351</v>
      </c>
      <c r="C568" s="376" t="s">
        <v>351</v>
      </c>
      <c r="D568" s="372" t="s">
        <v>58</v>
      </c>
      <c r="E568" s="372" t="s">
        <v>28</v>
      </c>
      <c r="F568" s="422" t="s">
        <v>236</v>
      </c>
      <c r="G568" s="372"/>
      <c r="H568" s="377"/>
      <c r="I568" s="378">
        <v>1</v>
      </c>
      <c r="J568" s="372"/>
      <c r="K568" s="399">
        <f t="shared" ref="K568:K569" si="85">IF(L568=1,H568,0)</f>
        <v>0</v>
      </c>
      <c r="L568" s="378"/>
      <c r="M568" s="372"/>
    </row>
    <row r="569" spans="1:13" hidden="1" outlineLevel="3">
      <c r="A569" s="372"/>
      <c r="B569" s="376" t="s">
        <v>351</v>
      </c>
      <c r="C569" s="376" t="s">
        <v>351</v>
      </c>
      <c r="D569" s="372" t="s">
        <v>58</v>
      </c>
      <c r="E569" s="372" t="s">
        <v>28</v>
      </c>
      <c r="F569" s="422" t="s">
        <v>32</v>
      </c>
      <c r="G569" s="372"/>
      <c r="H569" s="377"/>
      <c r="I569" s="378">
        <v>1</v>
      </c>
      <c r="J569" s="372"/>
      <c r="K569" s="399">
        <f t="shared" si="85"/>
        <v>0</v>
      </c>
      <c r="L569" s="378"/>
      <c r="M569" s="372"/>
    </row>
    <row r="570" spans="1:13" outlineLevel="1" collapsed="1">
      <c r="A570" s="372"/>
      <c r="B570" s="380" t="s">
        <v>353</v>
      </c>
      <c r="C570" s="385" t="s">
        <v>354</v>
      </c>
      <c r="D570" s="385"/>
      <c r="E570" s="380"/>
      <c r="F570" s="424" t="s">
        <v>234</v>
      </c>
      <c r="G570" s="372"/>
      <c r="H570" s="405">
        <f>SUM(H571,H575,H577,H580)</f>
        <v>1.95</v>
      </c>
      <c r="I570" s="396">
        <f>SUM(I571,I575,I577,I580)</f>
        <v>7</v>
      </c>
      <c r="J570" s="372"/>
      <c r="K570" s="405">
        <f>SUM(K571,K575,K577,K580)</f>
        <v>0.46</v>
      </c>
      <c r="L570" s="396">
        <f>SUM(L571,L575,L577,L580)</f>
        <v>1</v>
      </c>
      <c r="M570" s="372"/>
    </row>
    <row r="571" spans="1:13" hidden="1" outlineLevel="2" collapsed="1">
      <c r="A571" s="372"/>
      <c r="B571" s="372" t="s">
        <v>353</v>
      </c>
      <c r="C571" s="372" t="s">
        <v>354</v>
      </c>
      <c r="D571" s="372" t="s">
        <v>17</v>
      </c>
      <c r="E571" s="376"/>
      <c r="F571" s="422" t="s">
        <v>234</v>
      </c>
      <c r="G571" s="372"/>
      <c r="H571" s="399">
        <f>SUM(H572:H574)</f>
        <v>1.6099999999999999</v>
      </c>
      <c r="I571" s="378">
        <f>SUM(I572:I574)</f>
        <v>3</v>
      </c>
      <c r="J571" s="372"/>
      <c r="K571" s="399">
        <f>SUM(K572:K574)</f>
        <v>0.46</v>
      </c>
      <c r="L571" s="378">
        <f>SUM(L572:L574)</f>
        <v>1</v>
      </c>
      <c r="M571" s="372"/>
    </row>
    <row r="572" spans="1:13" hidden="1" outlineLevel="3">
      <c r="A572" s="372"/>
      <c r="B572" s="372" t="s">
        <v>353</v>
      </c>
      <c r="C572" s="372" t="s">
        <v>354</v>
      </c>
      <c r="D572" s="372" t="s">
        <v>17</v>
      </c>
      <c r="E572" s="376" t="s">
        <v>64</v>
      </c>
      <c r="F572" s="422" t="s">
        <v>235</v>
      </c>
      <c r="G572" s="372"/>
      <c r="H572" s="377">
        <v>0.46</v>
      </c>
      <c r="I572" s="378">
        <v>1</v>
      </c>
      <c r="J572" s="372"/>
      <c r="K572" s="399">
        <f t="shared" ref="K572:K574" si="86">IF(L572=1,H572,0)</f>
        <v>0.46</v>
      </c>
      <c r="L572" s="378">
        <v>1</v>
      </c>
      <c r="M572" s="372"/>
    </row>
    <row r="573" spans="1:13" hidden="1" outlineLevel="3">
      <c r="A573" s="372"/>
      <c r="B573" s="372" t="s">
        <v>353</v>
      </c>
      <c r="C573" s="372" t="s">
        <v>354</v>
      </c>
      <c r="D573" s="372" t="s">
        <v>17</v>
      </c>
      <c r="E573" s="376" t="s">
        <v>64</v>
      </c>
      <c r="F573" s="422" t="s">
        <v>236</v>
      </c>
      <c r="G573" s="372"/>
      <c r="H573" s="399">
        <v>0.69</v>
      </c>
      <c r="I573" s="397">
        <v>1</v>
      </c>
      <c r="J573" s="372"/>
      <c r="K573" s="399">
        <f t="shared" si="86"/>
        <v>0</v>
      </c>
      <c r="L573" s="397"/>
      <c r="M573" s="372"/>
    </row>
    <row r="574" spans="1:13" hidden="1" outlineLevel="3">
      <c r="A574" s="372"/>
      <c r="B574" s="372" t="s">
        <v>353</v>
      </c>
      <c r="C574" s="372" t="s">
        <v>354</v>
      </c>
      <c r="D574" s="372" t="s">
        <v>17</v>
      </c>
      <c r="E574" s="376" t="s">
        <v>64</v>
      </c>
      <c r="F574" s="422" t="s">
        <v>32</v>
      </c>
      <c r="G574" s="372"/>
      <c r="H574" s="399">
        <v>0.46</v>
      </c>
      <c r="I574" s="397">
        <v>1</v>
      </c>
      <c r="J574" s="372"/>
      <c r="K574" s="399">
        <f t="shared" si="86"/>
        <v>0</v>
      </c>
      <c r="L574" s="397"/>
      <c r="M574" s="372"/>
    </row>
    <row r="575" spans="1:13" hidden="1" outlineLevel="2" collapsed="1">
      <c r="A575" s="372"/>
      <c r="B575" s="372" t="s">
        <v>353</v>
      </c>
      <c r="C575" s="372" t="s">
        <v>354</v>
      </c>
      <c r="D575" s="372" t="s">
        <v>25</v>
      </c>
      <c r="E575" s="372"/>
      <c r="F575" s="422" t="s">
        <v>234</v>
      </c>
      <c r="G575" s="372"/>
      <c r="H575" s="399">
        <f>SUM(H576:H576)</f>
        <v>0.19</v>
      </c>
      <c r="I575" s="378">
        <f>SUM(I576:I576)</f>
        <v>1</v>
      </c>
      <c r="J575" s="372"/>
      <c r="K575" s="399">
        <f>SUM(K576:K576)</f>
        <v>0</v>
      </c>
      <c r="L575" s="378">
        <f>SUM(L576:L576)</f>
        <v>0</v>
      </c>
      <c r="M575" s="372"/>
    </row>
    <row r="576" spans="1:13" hidden="1" outlineLevel="3">
      <c r="A576" s="372"/>
      <c r="B576" s="372" t="s">
        <v>353</v>
      </c>
      <c r="C576" s="372" t="s">
        <v>354</v>
      </c>
      <c r="D576" s="372" t="s">
        <v>25</v>
      </c>
      <c r="E576" s="372" t="s">
        <v>26</v>
      </c>
      <c r="F576" s="422" t="s">
        <v>236</v>
      </c>
      <c r="G576" s="372"/>
      <c r="H576" s="377">
        <v>0.19</v>
      </c>
      <c r="I576" s="378">
        <v>1</v>
      </c>
      <c r="J576" s="372"/>
      <c r="K576" s="399">
        <f>IF(L576=1,H576,0)</f>
        <v>0</v>
      </c>
      <c r="L576" s="378"/>
      <c r="M576" s="372"/>
    </row>
    <row r="577" spans="1:13" hidden="1" outlineLevel="2" collapsed="1">
      <c r="A577" s="372"/>
      <c r="B577" s="372" t="s">
        <v>353</v>
      </c>
      <c r="C577" s="372" t="s">
        <v>354</v>
      </c>
      <c r="D577" s="372" t="s">
        <v>27</v>
      </c>
      <c r="E577" s="372"/>
      <c r="F577" s="422" t="s">
        <v>234</v>
      </c>
      <c r="G577" s="397">
        <f t="shared" ref="G577:M577" si="87">SUM(G578:G579)</f>
        <v>0</v>
      </c>
      <c r="H577" s="399">
        <f t="shared" si="87"/>
        <v>0.1</v>
      </c>
      <c r="I577" s="378">
        <f t="shared" si="87"/>
        <v>2</v>
      </c>
      <c r="J577" s="397">
        <f t="shared" si="87"/>
        <v>0</v>
      </c>
      <c r="K577" s="399">
        <f t="shared" si="87"/>
        <v>0</v>
      </c>
      <c r="L577" s="378">
        <f t="shared" si="87"/>
        <v>0</v>
      </c>
      <c r="M577" s="397">
        <f t="shared" si="87"/>
        <v>0</v>
      </c>
    </row>
    <row r="578" spans="1:13" hidden="1" outlineLevel="3">
      <c r="A578" s="372"/>
      <c r="B578" s="372" t="s">
        <v>353</v>
      </c>
      <c r="C578" s="372" t="s">
        <v>354</v>
      </c>
      <c r="D578" s="372" t="s">
        <v>27</v>
      </c>
      <c r="E578" s="372" t="s">
        <v>28</v>
      </c>
      <c r="F578" s="422" t="s">
        <v>236</v>
      </c>
      <c r="G578" s="372"/>
      <c r="H578" s="377">
        <v>0.05</v>
      </c>
      <c r="I578" s="378">
        <v>1</v>
      </c>
      <c r="J578" s="372"/>
      <c r="K578" s="399">
        <f t="shared" ref="K578:K579" si="88">IF(L578=1,H578,0)</f>
        <v>0</v>
      </c>
      <c r="L578" s="378"/>
      <c r="M578" s="372"/>
    </row>
    <row r="579" spans="1:13" hidden="1" outlineLevel="3">
      <c r="A579" s="372"/>
      <c r="B579" s="372" t="s">
        <v>353</v>
      </c>
      <c r="C579" s="372" t="s">
        <v>354</v>
      </c>
      <c r="D579" s="372" t="s">
        <v>27</v>
      </c>
      <c r="E579" s="372" t="s">
        <v>28</v>
      </c>
      <c r="F579" s="422" t="s">
        <v>32</v>
      </c>
      <c r="G579" s="372"/>
      <c r="H579" s="377">
        <v>0.05</v>
      </c>
      <c r="I579" s="378">
        <v>1</v>
      </c>
      <c r="J579" s="372"/>
      <c r="K579" s="399">
        <f t="shared" si="88"/>
        <v>0</v>
      </c>
      <c r="L579" s="378"/>
      <c r="M579" s="372"/>
    </row>
    <row r="580" spans="1:13" hidden="1" outlineLevel="2" collapsed="1">
      <c r="A580" s="372"/>
      <c r="B580" s="372" t="s">
        <v>353</v>
      </c>
      <c r="C580" s="372" t="s">
        <v>354</v>
      </c>
      <c r="D580" s="372" t="s">
        <v>58</v>
      </c>
      <c r="E580" s="372"/>
      <c r="F580" s="422" t="s">
        <v>234</v>
      </c>
      <c r="G580" s="372"/>
      <c r="H580" s="399">
        <f>SUM(H581:H581)</f>
        <v>0.05</v>
      </c>
      <c r="I580" s="378">
        <f>SUM(I581:I581)</f>
        <v>1</v>
      </c>
      <c r="J580" s="372"/>
      <c r="K580" s="399">
        <f>SUM(K581:K581)</f>
        <v>0</v>
      </c>
      <c r="L580" s="378">
        <f>SUM(L581:L581)</f>
        <v>0</v>
      </c>
      <c r="M580" s="372"/>
    </row>
    <row r="581" spans="1:13" hidden="1" outlineLevel="3">
      <c r="A581" s="372"/>
      <c r="B581" s="372" t="s">
        <v>353</v>
      </c>
      <c r="C581" s="372" t="s">
        <v>354</v>
      </c>
      <c r="D581" s="372" t="s">
        <v>58</v>
      </c>
      <c r="E581" s="372" t="s">
        <v>28</v>
      </c>
      <c r="F581" s="422" t="s">
        <v>32</v>
      </c>
      <c r="G581" s="372"/>
      <c r="H581" s="377">
        <v>0.05</v>
      </c>
      <c r="I581" s="378">
        <v>1</v>
      </c>
      <c r="J581" s="372"/>
      <c r="K581" s="399">
        <f>IF(L581=1,H581,0)</f>
        <v>0</v>
      </c>
      <c r="L581" s="378"/>
      <c r="M581" s="372"/>
    </row>
    <row r="582" spans="1:13" outlineLevel="1" collapsed="1">
      <c r="A582" s="372"/>
      <c r="B582" s="450" t="s">
        <v>355</v>
      </c>
      <c r="C582" s="450" t="s">
        <v>356</v>
      </c>
      <c r="D582" s="451"/>
      <c r="E582" s="450"/>
      <c r="F582" s="452" t="s">
        <v>357</v>
      </c>
      <c r="G582" s="372"/>
      <c r="H582" s="453">
        <f>SUM(H583,H587,H589,H592)</f>
        <v>0.19417209600000002</v>
      </c>
      <c r="I582" s="454">
        <f>I583+I587+I589+I592</f>
        <v>8</v>
      </c>
      <c r="J582" s="372"/>
      <c r="K582" s="453">
        <f>SUM(K583,K587,K589,K592)</f>
        <v>0</v>
      </c>
      <c r="L582" s="454">
        <f>L583+L587+L589+L592</f>
        <v>0</v>
      </c>
      <c r="M582" s="372"/>
    </row>
    <row r="583" spans="1:13" hidden="1" outlineLevel="2" collapsed="1">
      <c r="A583" s="372"/>
      <c r="B583" s="456" t="s">
        <v>356</v>
      </c>
      <c r="C583" s="456" t="s">
        <v>356</v>
      </c>
      <c r="D583" s="457" t="s">
        <v>17</v>
      </c>
      <c r="E583" s="456"/>
      <c r="F583" s="425" t="s">
        <v>77</v>
      </c>
      <c r="G583" s="372"/>
      <c r="H583" s="399">
        <f>SUM(H584:H586)</f>
        <v>0.153458592</v>
      </c>
      <c r="I583" s="455">
        <f>SUM(I584:I586)</f>
        <v>3</v>
      </c>
      <c r="J583" s="372"/>
      <c r="K583" s="399">
        <f>SUM(K584:K586)</f>
        <v>0</v>
      </c>
      <c r="L583" s="455">
        <f>SUM(L584:L586)</f>
        <v>0</v>
      </c>
      <c r="M583" s="372"/>
    </row>
    <row r="584" spans="1:13" hidden="1" outlineLevel="3">
      <c r="A584" s="372"/>
      <c r="B584" s="456" t="s">
        <v>356</v>
      </c>
      <c r="C584" s="456" t="s">
        <v>356</v>
      </c>
      <c r="D584" s="457" t="s">
        <v>17</v>
      </c>
      <c r="E584" s="456" t="s">
        <v>241</v>
      </c>
      <c r="F584" s="425" t="s">
        <v>235</v>
      </c>
      <c r="G584" s="372"/>
      <c r="H584" s="458">
        <v>4.3845312000000004E-2</v>
      </c>
      <c r="I584" s="455">
        <v>1</v>
      </c>
      <c r="J584" s="372"/>
      <c r="K584" s="399">
        <f t="shared" ref="K584:K586" si="89">IF(L584=1,H584,0)</f>
        <v>0</v>
      </c>
      <c r="L584" s="455"/>
      <c r="M584" s="372"/>
    </row>
    <row r="585" spans="1:13" hidden="1" outlineLevel="3">
      <c r="A585" s="372"/>
      <c r="B585" s="456" t="s">
        <v>356</v>
      </c>
      <c r="C585" s="456" t="s">
        <v>356</v>
      </c>
      <c r="D585" s="457" t="s">
        <v>17</v>
      </c>
      <c r="E585" s="456" t="s">
        <v>241</v>
      </c>
      <c r="F585" s="425" t="s">
        <v>236</v>
      </c>
      <c r="G585" s="372"/>
      <c r="H585" s="458">
        <v>6.576796800000001E-2</v>
      </c>
      <c r="I585" s="455">
        <v>1</v>
      </c>
      <c r="J585" s="372"/>
      <c r="K585" s="399">
        <f t="shared" si="89"/>
        <v>0</v>
      </c>
      <c r="L585" s="455"/>
      <c r="M585" s="372"/>
    </row>
    <row r="586" spans="1:13" hidden="1" outlineLevel="3">
      <c r="A586" s="372"/>
      <c r="B586" s="456" t="s">
        <v>356</v>
      </c>
      <c r="C586" s="456" t="s">
        <v>356</v>
      </c>
      <c r="D586" s="457" t="s">
        <v>17</v>
      </c>
      <c r="E586" s="456" t="s">
        <v>241</v>
      </c>
      <c r="F586" s="425" t="s">
        <v>32</v>
      </c>
      <c r="G586" s="372"/>
      <c r="H586" s="458">
        <v>4.3845312000000004E-2</v>
      </c>
      <c r="I586" s="455">
        <v>1</v>
      </c>
      <c r="J586" s="372"/>
      <c r="K586" s="399">
        <f t="shared" si="89"/>
        <v>0</v>
      </c>
      <c r="L586" s="455"/>
      <c r="M586" s="372"/>
    </row>
    <row r="587" spans="1:13" hidden="1" outlineLevel="2" collapsed="1">
      <c r="A587" s="372"/>
      <c r="B587" s="456" t="s">
        <v>356</v>
      </c>
      <c r="C587" s="456" t="s">
        <v>356</v>
      </c>
      <c r="D587" s="457" t="s">
        <v>25</v>
      </c>
      <c r="E587" s="457"/>
      <c r="F587" s="425" t="s">
        <v>77</v>
      </c>
      <c r="G587" s="372"/>
      <c r="H587" s="399">
        <f>SUM(H588:H588)</f>
        <v>2.0043571200000002E-2</v>
      </c>
      <c r="I587" s="455">
        <f>SUM(I588:I588)</f>
        <v>1</v>
      </c>
      <c r="J587" s="372"/>
      <c r="K587" s="399">
        <f>SUM(K588:K588)</f>
        <v>0</v>
      </c>
      <c r="L587" s="455">
        <f>SUM(L588:L588)</f>
        <v>0</v>
      </c>
      <c r="M587" s="372"/>
    </row>
    <row r="588" spans="1:13" hidden="1" outlineLevel="3">
      <c r="A588" s="372"/>
      <c r="B588" s="456" t="s">
        <v>356</v>
      </c>
      <c r="C588" s="456" t="s">
        <v>356</v>
      </c>
      <c r="D588" s="457" t="s">
        <v>25</v>
      </c>
      <c r="E588" s="457" t="s">
        <v>26</v>
      </c>
      <c r="F588" s="425" t="s">
        <v>236</v>
      </c>
      <c r="G588" s="372"/>
      <c r="H588" s="458">
        <v>2.0043571200000002E-2</v>
      </c>
      <c r="I588" s="455">
        <v>1</v>
      </c>
      <c r="J588" s="372"/>
      <c r="K588" s="399">
        <f>IF(L588=1,H588,0)</f>
        <v>0</v>
      </c>
      <c r="L588" s="455"/>
      <c r="M588" s="372"/>
    </row>
    <row r="589" spans="1:13" hidden="1" outlineLevel="2" collapsed="1">
      <c r="A589" s="372"/>
      <c r="B589" s="456" t="s">
        <v>356</v>
      </c>
      <c r="C589" s="456" t="s">
        <v>356</v>
      </c>
      <c r="D589" s="457" t="s">
        <v>27</v>
      </c>
      <c r="E589" s="457"/>
      <c r="F589" s="425" t="s">
        <v>77</v>
      </c>
      <c r="G589" s="372"/>
      <c r="H589" s="399">
        <f>SUM(H590:H591)</f>
        <v>1.1274508799999999E-2</v>
      </c>
      <c r="I589" s="455">
        <f>SUM(I590:I591)</f>
        <v>2</v>
      </c>
      <c r="J589" s="372"/>
      <c r="K589" s="399">
        <f>SUM(K590:K591)</f>
        <v>0</v>
      </c>
      <c r="L589" s="455">
        <f>SUM(L590:L591)</f>
        <v>0</v>
      </c>
      <c r="M589" s="372"/>
    </row>
    <row r="590" spans="1:13" hidden="1" outlineLevel="3">
      <c r="A590" s="372"/>
      <c r="B590" s="456" t="s">
        <v>356</v>
      </c>
      <c r="C590" s="456" t="s">
        <v>356</v>
      </c>
      <c r="D590" s="457" t="s">
        <v>27</v>
      </c>
      <c r="E590" s="457" t="s">
        <v>28</v>
      </c>
      <c r="F590" s="425" t="s">
        <v>236</v>
      </c>
      <c r="G590" s="372"/>
      <c r="H590" s="458">
        <v>5.6372543999999997E-3</v>
      </c>
      <c r="I590" s="455">
        <v>1</v>
      </c>
      <c r="J590" s="372"/>
      <c r="K590" s="399">
        <f t="shared" ref="K590:K591" si="90">IF(L590=1,H590,0)</f>
        <v>0</v>
      </c>
      <c r="L590" s="455"/>
      <c r="M590" s="372"/>
    </row>
    <row r="591" spans="1:13" hidden="1" outlineLevel="3">
      <c r="A591" s="372"/>
      <c r="B591" s="456" t="s">
        <v>356</v>
      </c>
      <c r="C591" s="456" t="s">
        <v>356</v>
      </c>
      <c r="D591" s="457" t="s">
        <v>27</v>
      </c>
      <c r="E591" s="457" t="s">
        <v>28</v>
      </c>
      <c r="F591" s="425" t="s">
        <v>32</v>
      </c>
      <c r="G591" s="372"/>
      <c r="H591" s="458">
        <v>5.6372543999999997E-3</v>
      </c>
      <c r="I591" s="455">
        <v>1</v>
      </c>
      <c r="J591" s="372"/>
      <c r="K591" s="399">
        <f t="shared" si="90"/>
        <v>0</v>
      </c>
      <c r="L591" s="455"/>
      <c r="M591" s="372"/>
    </row>
    <row r="592" spans="1:13" hidden="1" outlineLevel="2" collapsed="1">
      <c r="A592" s="372"/>
      <c r="B592" s="456" t="s">
        <v>356</v>
      </c>
      <c r="C592" s="456" t="s">
        <v>356</v>
      </c>
      <c r="D592" s="457" t="s">
        <v>58</v>
      </c>
      <c r="E592" s="457"/>
      <c r="F592" s="425" t="s">
        <v>77</v>
      </c>
      <c r="G592" s="372"/>
      <c r="H592" s="399">
        <f>SUM(H593:H594)</f>
        <v>9.3954239999999994E-3</v>
      </c>
      <c r="I592" s="455">
        <f>SUM(I593:I594)</f>
        <v>2</v>
      </c>
      <c r="J592" s="372"/>
      <c r="K592" s="399">
        <f>SUM(K593:K594)</f>
        <v>0</v>
      </c>
      <c r="L592" s="455">
        <f>SUM(L593:L594)</f>
        <v>0</v>
      </c>
      <c r="M592" s="372"/>
    </row>
    <row r="593" spans="1:13" hidden="1" outlineLevel="3">
      <c r="A593" s="372"/>
      <c r="B593" s="456" t="s">
        <v>356</v>
      </c>
      <c r="C593" s="456" t="s">
        <v>356</v>
      </c>
      <c r="D593" s="457" t="s">
        <v>58</v>
      </c>
      <c r="E593" s="457" t="s">
        <v>28</v>
      </c>
      <c r="F593" s="425" t="s">
        <v>236</v>
      </c>
      <c r="G593" s="372"/>
      <c r="H593" s="458">
        <v>4.6977119999999997E-3</v>
      </c>
      <c r="I593" s="455">
        <v>1</v>
      </c>
      <c r="J593" s="372"/>
      <c r="K593" s="399">
        <f t="shared" ref="K593:K594" si="91">IF(L593=1,H593,0)</f>
        <v>0</v>
      </c>
      <c r="L593" s="455"/>
      <c r="M593" s="372"/>
    </row>
    <row r="594" spans="1:13" hidden="1" outlineLevel="3">
      <c r="A594" s="372"/>
      <c r="B594" s="456" t="s">
        <v>356</v>
      </c>
      <c r="C594" s="456" t="s">
        <v>356</v>
      </c>
      <c r="D594" s="457" t="s">
        <v>58</v>
      </c>
      <c r="E594" s="457" t="s">
        <v>28</v>
      </c>
      <c r="F594" s="425" t="s">
        <v>32</v>
      </c>
      <c r="G594" s="372"/>
      <c r="H594" s="458">
        <v>4.6977119999999997E-3</v>
      </c>
      <c r="I594" s="455">
        <v>1</v>
      </c>
      <c r="J594" s="372"/>
      <c r="K594" s="399">
        <f t="shared" si="91"/>
        <v>0</v>
      </c>
      <c r="L594" s="455"/>
      <c r="M594" s="372"/>
    </row>
    <row r="595" spans="1:13" s="466" customFormat="1" ht="26.4" outlineLevel="1" collapsed="1">
      <c r="A595" s="457"/>
      <c r="B595" s="450" t="s">
        <v>364</v>
      </c>
      <c r="C595" s="450" t="s">
        <v>365</v>
      </c>
      <c r="D595" s="450"/>
      <c r="E595" s="450"/>
      <c r="F595" s="452" t="s">
        <v>366</v>
      </c>
      <c r="G595" s="457"/>
      <c r="H595" s="453">
        <f>SUM(H596,H602,H605,H609)</f>
        <v>4.4898450109999999</v>
      </c>
      <c r="I595" s="454">
        <f>SUM(I596,I602,I605,I609)</f>
        <v>12</v>
      </c>
      <c r="J595" s="457"/>
      <c r="K595" s="453">
        <f>SUM(K596,K602,K605,K609)</f>
        <v>0</v>
      </c>
      <c r="L595" s="454">
        <f>SUM(L596,L602,L605,L609)</f>
        <v>0</v>
      </c>
      <c r="M595" s="457"/>
    </row>
    <row r="596" spans="1:13" hidden="1" outlineLevel="2" collapsed="1">
      <c r="A596" s="372"/>
      <c r="B596" s="372" t="s">
        <v>364</v>
      </c>
      <c r="C596" s="376" t="s">
        <v>365</v>
      </c>
      <c r="D596" s="372" t="s">
        <v>17</v>
      </c>
      <c r="E596" s="376"/>
      <c r="F596" s="422" t="s">
        <v>367</v>
      </c>
      <c r="G596" s="372"/>
      <c r="H596" s="399">
        <f>SUM(H597:H601)</f>
        <v>3.4099999999999997</v>
      </c>
      <c r="I596" s="397">
        <f>SUM(I597:I601)</f>
        <v>5</v>
      </c>
      <c r="J596" s="372"/>
      <c r="K596" s="399">
        <f>SUM(K597:K601)</f>
        <v>0</v>
      </c>
      <c r="L596" s="397">
        <f>SUM(L597:L601)</f>
        <v>0</v>
      </c>
      <c r="M596" s="372"/>
    </row>
    <row r="597" spans="1:13" hidden="1" outlineLevel="3">
      <c r="A597" s="372"/>
      <c r="B597" s="372" t="s">
        <v>364</v>
      </c>
      <c r="C597" s="376" t="s">
        <v>365</v>
      </c>
      <c r="D597" s="372" t="s">
        <v>17</v>
      </c>
      <c r="E597" s="376" t="s">
        <v>64</v>
      </c>
      <c r="F597" s="422" t="s">
        <v>368</v>
      </c>
      <c r="G597" s="372"/>
      <c r="H597" s="399">
        <v>1.34</v>
      </c>
      <c r="I597" s="397">
        <v>1</v>
      </c>
      <c r="J597" s="372"/>
      <c r="K597" s="399">
        <f t="shared" ref="K597:K601" si="92">IF(L597=1,H597,0)</f>
        <v>0</v>
      </c>
      <c r="L597" s="397"/>
      <c r="M597" s="372"/>
    </row>
    <row r="598" spans="1:13" hidden="1" outlineLevel="3">
      <c r="A598" s="372"/>
      <c r="B598" s="372" t="s">
        <v>364</v>
      </c>
      <c r="C598" s="376" t="s">
        <v>365</v>
      </c>
      <c r="D598" s="372" t="s">
        <v>17</v>
      </c>
      <c r="E598" s="376" t="s">
        <v>64</v>
      </c>
      <c r="F598" s="422" t="s">
        <v>292</v>
      </c>
      <c r="G598" s="372"/>
      <c r="H598" s="399">
        <v>1.34</v>
      </c>
      <c r="I598" s="397">
        <v>1</v>
      </c>
      <c r="J598" s="372"/>
      <c r="K598" s="399">
        <f t="shared" si="92"/>
        <v>0</v>
      </c>
      <c r="L598" s="397"/>
      <c r="M598" s="372"/>
    </row>
    <row r="599" spans="1:13" hidden="1" outlineLevel="3">
      <c r="A599" s="372"/>
      <c r="B599" s="372" t="s">
        <v>364</v>
      </c>
      <c r="C599" s="376" t="s">
        <v>365</v>
      </c>
      <c r="D599" s="372" t="s">
        <v>17</v>
      </c>
      <c r="E599" s="376" t="s">
        <v>64</v>
      </c>
      <c r="F599" s="422" t="s">
        <v>32</v>
      </c>
      <c r="G599" s="372"/>
      <c r="H599" s="399">
        <v>0.67</v>
      </c>
      <c r="I599" s="397">
        <v>1</v>
      </c>
      <c r="J599" s="372"/>
      <c r="K599" s="399">
        <f t="shared" si="92"/>
        <v>0</v>
      </c>
      <c r="L599" s="397"/>
      <c r="M599" s="372"/>
    </row>
    <row r="600" spans="1:13" hidden="1" outlineLevel="3">
      <c r="A600" s="372"/>
      <c r="B600" s="372" t="s">
        <v>364</v>
      </c>
      <c r="C600" s="376" t="s">
        <v>365</v>
      </c>
      <c r="D600" s="372" t="s">
        <v>17</v>
      </c>
      <c r="E600" s="376" t="s">
        <v>177</v>
      </c>
      <c r="F600" s="406" t="s">
        <v>370</v>
      </c>
      <c r="G600" s="372"/>
      <c r="H600" s="399">
        <v>0.03</v>
      </c>
      <c r="I600" s="397">
        <v>1</v>
      </c>
      <c r="J600" s="372"/>
      <c r="K600" s="399">
        <f t="shared" si="92"/>
        <v>0</v>
      </c>
      <c r="L600" s="397"/>
      <c r="M600" s="372"/>
    </row>
    <row r="601" spans="1:13" hidden="1" outlineLevel="3">
      <c r="A601" s="372"/>
      <c r="B601" s="372" t="s">
        <v>364</v>
      </c>
      <c r="C601" s="376" t="s">
        <v>365</v>
      </c>
      <c r="D601" s="372" t="s">
        <v>17</v>
      </c>
      <c r="E601" s="376" t="s">
        <v>177</v>
      </c>
      <c r="F601" s="406" t="s">
        <v>371</v>
      </c>
      <c r="G601" s="372"/>
      <c r="H601" s="399">
        <v>0.03</v>
      </c>
      <c r="I601" s="397">
        <v>1</v>
      </c>
      <c r="J601" s="372"/>
      <c r="K601" s="399">
        <f t="shared" si="92"/>
        <v>0</v>
      </c>
      <c r="L601" s="397"/>
      <c r="M601" s="372"/>
    </row>
    <row r="602" spans="1:13" hidden="1" outlineLevel="2" collapsed="1">
      <c r="A602" s="372"/>
      <c r="B602" s="372" t="s">
        <v>364</v>
      </c>
      <c r="C602" s="376" t="s">
        <v>365</v>
      </c>
      <c r="D602" s="372" t="s">
        <v>25</v>
      </c>
      <c r="E602" s="372"/>
      <c r="F602" s="422" t="s">
        <v>325</v>
      </c>
      <c r="G602" s="372"/>
      <c r="H602" s="399">
        <f>SUM(H603:H604)</f>
        <v>0.62984501100000001</v>
      </c>
      <c r="I602" s="397">
        <f>SUM(I603:I604)</f>
        <v>2</v>
      </c>
      <c r="J602" s="372"/>
      <c r="K602" s="399">
        <f>SUM(K603:K604)</f>
        <v>0</v>
      </c>
      <c r="L602" s="397">
        <f>SUM(L603:L604)</f>
        <v>0</v>
      </c>
      <c r="M602" s="372"/>
    </row>
    <row r="603" spans="1:13" hidden="1" outlineLevel="3">
      <c r="A603" s="372"/>
      <c r="B603" s="372" t="s">
        <v>364</v>
      </c>
      <c r="C603" s="376" t="s">
        <v>365</v>
      </c>
      <c r="D603" s="372" t="s">
        <v>25</v>
      </c>
      <c r="E603" s="372" t="s">
        <v>26</v>
      </c>
      <c r="F603" s="422" t="s">
        <v>368</v>
      </c>
      <c r="G603" s="372"/>
      <c r="H603" s="399">
        <v>0.26984501099999997</v>
      </c>
      <c r="I603" s="397">
        <v>1</v>
      </c>
      <c r="J603" s="372"/>
      <c r="K603" s="399">
        <f t="shared" ref="K603:K604" si="93">IF(L603=1,H603,0)</f>
        <v>0</v>
      </c>
      <c r="L603" s="397"/>
      <c r="M603" s="372"/>
    </row>
    <row r="604" spans="1:13" hidden="1" outlineLevel="3">
      <c r="A604" s="372"/>
      <c r="B604" s="372" t="s">
        <v>364</v>
      </c>
      <c r="C604" s="376" t="s">
        <v>365</v>
      </c>
      <c r="D604" s="372" t="s">
        <v>25</v>
      </c>
      <c r="E604" s="372" t="s">
        <v>26</v>
      </c>
      <c r="F604" s="422" t="s">
        <v>292</v>
      </c>
      <c r="G604" s="372"/>
      <c r="H604" s="399">
        <v>0.36</v>
      </c>
      <c r="I604" s="397">
        <v>1</v>
      </c>
      <c r="J604" s="372"/>
      <c r="K604" s="399">
        <f t="shared" si="93"/>
        <v>0</v>
      </c>
      <c r="L604" s="397"/>
      <c r="M604" s="372"/>
    </row>
    <row r="605" spans="1:13" hidden="1" outlineLevel="2" collapsed="1">
      <c r="A605" s="372"/>
      <c r="B605" s="372" t="s">
        <v>364</v>
      </c>
      <c r="C605" s="376" t="s">
        <v>365</v>
      </c>
      <c r="D605" s="372" t="s">
        <v>27</v>
      </c>
      <c r="E605" s="372"/>
      <c r="F605" s="422" t="s">
        <v>372</v>
      </c>
      <c r="G605" s="372"/>
      <c r="H605" s="399">
        <f>SUM(H606:H608)</f>
        <v>0.25</v>
      </c>
      <c r="I605" s="397">
        <f>SUM(I606:I608)</f>
        <v>3</v>
      </c>
      <c r="J605" s="372"/>
      <c r="K605" s="399">
        <f>SUM(K606:K608)</f>
        <v>0</v>
      </c>
      <c r="L605" s="397">
        <f>SUM(L606:L608)</f>
        <v>0</v>
      </c>
      <c r="M605" s="372"/>
    </row>
    <row r="606" spans="1:13" hidden="1" outlineLevel="3">
      <c r="A606" s="372"/>
      <c r="B606" s="372" t="s">
        <v>364</v>
      </c>
      <c r="C606" s="376" t="s">
        <v>365</v>
      </c>
      <c r="D606" s="372" t="s">
        <v>27</v>
      </c>
      <c r="E606" s="372" t="s">
        <v>28</v>
      </c>
      <c r="F606" s="422" t="s">
        <v>31</v>
      </c>
      <c r="G606" s="372"/>
      <c r="H606" s="399">
        <v>0.1</v>
      </c>
      <c r="I606" s="397">
        <v>1</v>
      </c>
      <c r="J606" s="372"/>
      <c r="K606" s="399">
        <f t="shared" ref="K606:K608" si="94">IF(L606=1,H606,0)</f>
        <v>0</v>
      </c>
      <c r="L606" s="397"/>
      <c r="M606" s="372"/>
    </row>
    <row r="607" spans="1:13" hidden="1" outlineLevel="3">
      <c r="A607" s="372"/>
      <c r="B607" s="372" t="s">
        <v>364</v>
      </c>
      <c r="C607" s="376" t="s">
        <v>365</v>
      </c>
      <c r="D607" s="372" t="s">
        <v>27</v>
      </c>
      <c r="E607" s="372" t="s">
        <v>28</v>
      </c>
      <c r="F607" s="422" t="s">
        <v>32</v>
      </c>
      <c r="G607" s="372"/>
      <c r="H607" s="399">
        <v>0.05</v>
      </c>
      <c r="I607" s="397">
        <v>1</v>
      </c>
      <c r="J607" s="372"/>
      <c r="K607" s="399">
        <f t="shared" si="94"/>
        <v>0</v>
      </c>
      <c r="L607" s="397"/>
      <c r="M607" s="372"/>
    </row>
    <row r="608" spans="1:13" hidden="1" outlineLevel="3">
      <c r="A608" s="372"/>
      <c r="B608" s="372" t="s">
        <v>364</v>
      </c>
      <c r="C608" s="376" t="s">
        <v>365</v>
      </c>
      <c r="D608" s="372" t="s">
        <v>27</v>
      </c>
      <c r="E608" s="372" t="s">
        <v>28</v>
      </c>
      <c r="F608" s="422" t="s">
        <v>292</v>
      </c>
      <c r="G608" s="372"/>
      <c r="H608" s="399">
        <v>0.1</v>
      </c>
      <c r="I608" s="397">
        <v>1</v>
      </c>
      <c r="J608" s="372"/>
      <c r="K608" s="399">
        <f t="shared" si="94"/>
        <v>0</v>
      </c>
      <c r="L608" s="397"/>
      <c r="M608" s="372"/>
    </row>
    <row r="609" spans="1:13" hidden="1" outlineLevel="2" collapsed="1">
      <c r="A609" s="372"/>
      <c r="B609" s="372" t="s">
        <v>364</v>
      </c>
      <c r="C609" s="376" t="s">
        <v>365</v>
      </c>
      <c r="D609" s="372" t="s">
        <v>58</v>
      </c>
      <c r="E609" s="372"/>
      <c r="F609" s="422" t="s">
        <v>372</v>
      </c>
      <c r="G609" s="372"/>
      <c r="H609" s="399">
        <f>SUM(H610:H611)</f>
        <v>0.2</v>
      </c>
      <c r="I609" s="397">
        <f>SUM(I610:I611)</f>
        <v>2</v>
      </c>
      <c r="J609" s="372"/>
      <c r="K609" s="399">
        <f>SUM(K610:K611)</f>
        <v>0</v>
      </c>
      <c r="L609" s="397">
        <f>SUM(L610:L611)</f>
        <v>0</v>
      </c>
      <c r="M609" s="372"/>
    </row>
    <row r="610" spans="1:13" hidden="1" outlineLevel="3">
      <c r="A610" s="372"/>
      <c r="B610" s="372" t="s">
        <v>364</v>
      </c>
      <c r="C610" s="376" t="s">
        <v>365</v>
      </c>
      <c r="D610" s="372" t="s">
        <v>58</v>
      </c>
      <c r="E610" s="372" t="s">
        <v>28</v>
      </c>
      <c r="F610" s="422" t="s">
        <v>31</v>
      </c>
      <c r="G610" s="372"/>
      <c r="H610" s="399">
        <v>0.15</v>
      </c>
      <c r="I610" s="397">
        <v>1</v>
      </c>
      <c r="J610" s="372"/>
      <c r="K610" s="399">
        <f t="shared" ref="K610:K611" si="95">IF(L610=1,H610,0)</f>
        <v>0</v>
      </c>
      <c r="L610" s="397"/>
      <c r="M610" s="372"/>
    </row>
    <row r="611" spans="1:13" hidden="1" outlineLevel="3">
      <c r="A611" s="372"/>
      <c r="B611" s="372" t="s">
        <v>364</v>
      </c>
      <c r="C611" s="376" t="s">
        <v>365</v>
      </c>
      <c r="D611" s="372" t="s">
        <v>58</v>
      </c>
      <c r="E611" s="372" t="s">
        <v>28</v>
      </c>
      <c r="F611" s="422" t="s">
        <v>32</v>
      </c>
      <c r="G611" s="372"/>
      <c r="H611" s="399">
        <v>0.05</v>
      </c>
      <c r="I611" s="397">
        <v>1</v>
      </c>
      <c r="J611" s="372"/>
      <c r="K611" s="399">
        <f t="shared" si="95"/>
        <v>0</v>
      </c>
      <c r="L611" s="397"/>
      <c r="M611" s="372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73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2:X51"/>
  <sheetViews>
    <sheetView zoomScaleNormal="100" zoomScaleSheetLayoutView="90" workbookViewId="0">
      <pane xSplit="2" ySplit="4" topLeftCell="C5" activePane="bottomRight" state="frozen"/>
      <selection pane="topRight" activeCell="I10" sqref="I10"/>
      <selection pane="bottomLeft" activeCell="I10" sqref="I10"/>
      <selection pane="bottomRight" activeCell="I10" sqref="I10"/>
    </sheetView>
  </sheetViews>
  <sheetFormatPr defaultColWidth="9.44140625" defaultRowHeight="13.2" outlineLevelRow="2"/>
  <cols>
    <col min="1" max="1" width="0.5546875" style="373" customWidth="1"/>
    <col min="2" max="2" width="19.44140625" style="373" customWidth="1"/>
    <col min="3" max="3" width="16.33203125" style="373" bestFit="1" customWidth="1"/>
    <col min="4" max="4" width="12.5546875" style="373" customWidth="1"/>
    <col min="5" max="5" width="13.6640625" style="373" bestFit="1" customWidth="1"/>
    <col min="6" max="6" width="47.5546875" style="491" bestFit="1" customWidth="1"/>
    <col min="7" max="8" width="11" style="373" customWidth="1"/>
    <col min="9" max="9" width="0.5546875" style="373" customWidth="1"/>
    <col min="10" max="11" width="9.44140625" style="373"/>
    <col min="12" max="13" width="9.5546875" style="373" bestFit="1" customWidth="1"/>
    <col min="14" max="14" width="7" style="373" bestFit="1" customWidth="1"/>
    <col min="15" max="15" width="8.5546875" style="373" bestFit="1" customWidth="1"/>
    <col min="16" max="16" width="12.5546875" style="373" customWidth="1"/>
    <col min="17" max="17" width="7.5546875" style="373" bestFit="1" customWidth="1"/>
    <col min="18" max="18" width="5.5546875" style="373" bestFit="1" customWidth="1"/>
    <col min="19" max="19" width="9.44140625" style="373" bestFit="1" customWidth="1"/>
    <col min="20" max="23" width="9.44140625" style="373"/>
    <col min="24" max="24" width="9.44140625" style="373" bestFit="1" customWidth="1"/>
    <col min="25" max="16384" width="9.44140625" style="373"/>
  </cols>
  <sheetData>
    <row r="2" spans="1:24" s="416" customFormat="1" ht="17.399999999999999">
      <c r="A2" s="376"/>
      <c r="B2" s="418" t="s">
        <v>1847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SUM(G7)</f>
        <v>28.983259913425307</v>
      </c>
      <c r="H4" s="434">
        <f>SUM(H7)</f>
        <v>32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127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B9" s="475" t="s">
        <v>120</v>
      </c>
      <c r="C9" s="475" t="s">
        <v>121</v>
      </c>
      <c r="D9" s="475" t="s">
        <v>17</v>
      </c>
      <c r="E9" s="475" t="s">
        <v>127</v>
      </c>
      <c r="F9" s="475" t="s">
        <v>1848</v>
      </c>
      <c r="G9" s="476">
        <v>0</v>
      </c>
      <c r="H9" s="476">
        <v>0</v>
      </c>
    </row>
    <row r="10" spans="1:24" outlineLevel="1">
      <c r="B10" s="475" t="s">
        <v>125</v>
      </c>
      <c r="C10" s="446" t="s">
        <v>126</v>
      </c>
      <c r="D10" s="445" t="s">
        <v>17</v>
      </c>
      <c r="E10" s="446" t="s">
        <v>127</v>
      </c>
      <c r="F10" s="475" t="s">
        <v>1849</v>
      </c>
      <c r="G10" s="476">
        <f>SUM(G11:G12)</f>
        <v>0.25</v>
      </c>
      <c r="H10" s="476">
        <f>SUM(H11:H12)</f>
        <v>2</v>
      </c>
    </row>
    <row r="11" spans="1:24" outlineLevel="2">
      <c r="B11" s="477" t="s">
        <v>125</v>
      </c>
      <c r="C11" s="447" t="s">
        <v>126</v>
      </c>
      <c r="D11" s="443" t="s">
        <v>17</v>
      </c>
      <c r="E11" s="447" t="s">
        <v>127</v>
      </c>
      <c r="F11" s="477" t="s">
        <v>122</v>
      </c>
      <c r="G11" s="478">
        <v>7.0000000000000007E-2</v>
      </c>
      <c r="H11" s="478">
        <v>1</v>
      </c>
    </row>
    <row r="12" spans="1:24" outlineLevel="2">
      <c r="B12" s="477" t="s">
        <v>125</v>
      </c>
      <c r="C12" s="447" t="s">
        <v>126</v>
      </c>
      <c r="D12" s="443" t="s">
        <v>17</v>
      </c>
      <c r="E12" s="447" t="s">
        <v>127</v>
      </c>
      <c r="F12" s="477" t="s">
        <v>128</v>
      </c>
      <c r="G12" s="478">
        <v>0.18</v>
      </c>
      <c r="H12" s="478">
        <v>1</v>
      </c>
    </row>
    <row r="13" spans="1:24" outlineLevel="1">
      <c r="B13" s="475" t="s">
        <v>130</v>
      </c>
      <c r="C13" s="446" t="s">
        <v>131</v>
      </c>
      <c r="D13" s="445" t="s">
        <v>17</v>
      </c>
      <c r="E13" s="446" t="s">
        <v>127</v>
      </c>
      <c r="F13" s="475" t="s">
        <v>1850</v>
      </c>
      <c r="G13" s="476">
        <f>SUM(G14:G17)</f>
        <v>2.3753571</v>
      </c>
      <c r="H13" s="476">
        <f>SUM(H14:H17)</f>
        <v>4</v>
      </c>
    </row>
    <row r="14" spans="1:24" outlineLevel="2">
      <c r="B14" s="477" t="s">
        <v>130</v>
      </c>
      <c r="C14" s="447" t="s">
        <v>131</v>
      </c>
      <c r="D14" s="443" t="s">
        <v>17</v>
      </c>
      <c r="E14" s="447" t="s">
        <v>127</v>
      </c>
      <c r="F14" s="477" t="s">
        <v>139</v>
      </c>
      <c r="G14" s="478">
        <v>0.3</v>
      </c>
      <c r="H14" s="478">
        <v>1</v>
      </c>
    </row>
    <row r="15" spans="1:24" outlineLevel="2">
      <c r="B15" s="477" t="s">
        <v>130</v>
      </c>
      <c r="C15" s="447" t="s">
        <v>131</v>
      </c>
      <c r="D15" s="443" t="s">
        <v>17</v>
      </c>
      <c r="E15" s="447" t="s">
        <v>127</v>
      </c>
      <c r="F15" s="477" t="s">
        <v>140</v>
      </c>
      <c r="G15" s="478">
        <v>0.3</v>
      </c>
      <c r="H15" s="478">
        <v>1</v>
      </c>
    </row>
    <row r="16" spans="1:24" outlineLevel="2">
      <c r="B16" s="477" t="s">
        <v>130</v>
      </c>
      <c r="C16" s="447" t="s">
        <v>131</v>
      </c>
      <c r="D16" s="443" t="s">
        <v>17</v>
      </c>
      <c r="E16" s="447" t="s">
        <v>127</v>
      </c>
      <c r="F16" s="477" t="s">
        <v>141</v>
      </c>
      <c r="G16" s="478">
        <v>0.03</v>
      </c>
      <c r="H16" s="478">
        <v>1</v>
      </c>
    </row>
    <row r="17" spans="2:8" outlineLevel="2">
      <c r="B17" s="477" t="s">
        <v>130</v>
      </c>
      <c r="C17" s="447" t="s">
        <v>131</v>
      </c>
      <c r="D17" s="443" t="s">
        <v>17</v>
      </c>
      <c r="E17" s="447" t="s">
        <v>127</v>
      </c>
      <c r="F17" s="477" t="s">
        <v>146</v>
      </c>
      <c r="G17" s="478">
        <v>1.7453571000000001</v>
      </c>
      <c r="H17" s="478">
        <v>1</v>
      </c>
    </row>
    <row r="18" spans="2:8" outlineLevel="1">
      <c r="B18" s="475" t="s">
        <v>160</v>
      </c>
      <c r="C18" s="446" t="s">
        <v>22</v>
      </c>
      <c r="D18" s="445" t="s">
        <v>17</v>
      </c>
      <c r="E18" s="446" t="s">
        <v>127</v>
      </c>
      <c r="F18" s="475" t="s">
        <v>1851</v>
      </c>
      <c r="G18" s="476">
        <v>0.30105801900000001</v>
      </c>
      <c r="H18" s="476">
        <f>SUM(H19:H21)</f>
        <v>3</v>
      </c>
    </row>
    <row r="19" spans="2:8" outlineLevel="2">
      <c r="B19" s="477" t="s">
        <v>160</v>
      </c>
      <c r="C19" s="447" t="s">
        <v>22</v>
      </c>
      <c r="D19" s="443" t="s">
        <v>17</v>
      </c>
      <c r="E19" s="447" t="s">
        <v>127</v>
      </c>
      <c r="F19" s="477" t="s">
        <v>163</v>
      </c>
      <c r="G19" s="478">
        <v>9.2092275000000001E-2</v>
      </c>
      <c r="H19" s="478">
        <v>1</v>
      </c>
    </row>
    <row r="20" spans="2:8" outlineLevel="2">
      <c r="B20" s="477" t="s">
        <v>160</v>
      </c>
      <c r="C20" s="447" t="s">
        <v>22</v>
      </c>
      <c r="D20" s="443" t="s">
        <v>17</v>
      </c>
      <c r="E20" s="447" t="s">
        <v>127</v>
      </c>
      <c r="F20" s="477" t="s">
        <v>164</v>
      </c>
      <c r="G20" s="478">
        <v>0.13060359000000002</v>
      </c>
      <c r="H20" s="478">
        <v>1</v>
      </c>
    </row>
    <row r="21" spans="2:8" outlineLevel="2">
      <c r="B21" s="477" t="s">
        <v>160</v>
      </c>
      <c r="C21" s="447" t="s">
        <v>22</v>
      </c>
      <c r="D21" s="443" t="s">
        <v>17</v>
      </c>
      <c r="E21" s="447" t="s">
        <v>127</v>
      </c>
      <c r="F21" s="477" t="s">
        <v>165</v>
      </c>
      <c r="G21" s="478">
        <v>7.8362154000000003E-2</v>
      </c>
      <c r="H21" s="478">
        <v>1</v>
      </c>
    </row>
    <row r="22" spans="2:8" outlineLevel="1">
      <c r="B22" s="475" t="s">
        <v>296</v>
      </c>
      <c r="C22" s="446" t="s">
        <v>297</v>
      </c>
      <c r="D22" s="445" t="s">
        <v>17</v>
      </c>
      <c r="E22" s="446" t="s">
        <v>127</v>
      </c>
      <c r="F22" s="475" t="s">
        <v>1852</v>
      </c>
      <c r="G22" s="476">
        <v>8.7813947704253064</v>
      </c>
      <c r="H22" s="476">
        <f>SUM(H23:H25)</f>
        <v>3</v>
      </c>
    </row>
    <row r="23" spans="2:8" outlineLevel="2">
      <c r="B23" s="477" t="s">
        <v>296</v>
      </c>
      <c r="C23" s="447" t="s">
        <v>297</v>
      </c>
      <c r="D23" s="443" t="s">
        <v>17</v>
      </c>
      <c r="E23" s="447" t="s">
        <v>127</v>
      </c>
      <c r="F23" s="477" t="s">
        <v>33</v>
      </c>
      <c r="G23" s="478">
        <v>4.3906973852126532</v>
      </c>
      <c r="H23" s="478">
        <v>1</v>
      </c>
    </row>
    <row r="24" spans="2:8" outlineLevel="2">
      <c r="B24" s="477" t="s">
        <v>296</v>
      </c>
      <c r="C24" s="447" t="s">
        <v>297</v>
      </c>
      <c r="D24" s="443" t="s">
        <v>17</v>
      </c>
      <c r="E24" s="447" t="s">
        <v>127</v>
      </c>
      <c r="F24" s="477" t="s">
        <v>170</v>
      </c>
      <c r="G24" s="478">
        <v>2.1953486926063266</v>
      </c>
      <c r="H24" s="478">
        <v>1</v>
      </c>
    </row>
    <row r="25" spans="2:8" outlineLevel="2">
      <c r="B25" s="477" t="s">
        <v>296</v>
      </c>
      <c r="C25" s="447" t="s">
        <v>297</v>
      </c>
      <c r="D25" s="443" t="s">
        <v>17</v>
      </c>
      <c r="E25" s="447" t="s">
        <v>127</v>
      </c>
      <c r="F25" s="477" t="s">
        <v>285</v>
      </c>
      <c r="G25" s="478">
        <v>2.1953486926063266</v>
      </c>
      <c r="H25" s="478">
        <v>1</v>
      </c>
    </row>
    <row r="26" spans="2:8" outlineLevel="1">
      <c r="B26" s="475" t="s">
        <v>167</v>
      </c>
      <c r="C26" s="446" t="s">
        <v>121</v>
      </c>
      <c r="D26" s="445" t="s">
        <v>17</v>
      </c>
      <c r="E26" s="446" t="s">
        <v>127</v>
      </c>
      <c r="F26" s="475" t="s">
        <v>1853</v>
      </c>
      <c r="G26" s="476">
        <v>0.96000000000000008</v>
      </c>
      <c r="H26" s="476">
        <f>SUM(H27:H31)</f>
        <v>5</v>
      </c>
    </row>
    <row r="27" spans="2:8" outlineLevel="2">
      <c r="B27" s="477" t="s">
        <v>167</v>
      </c>
      <c r="C27" s="447" t="s">
        <v>121</v>
      </c>
      <c r="D27" s="443" t="s">
        <v>17</v>
      </c>
      <c r="E27" s="447" t="s">
        <v>127</v>
      </c>
      <c r="F27" s="477" t="s">
        <v>168</v>
      </c>
      <c r="G27" s="478">
        <v>0.51</v>
      </c>
      <c r="H27" s="478">
        <v>1</v>
      </c>
    </row>
    <row r="28" spans="2:8" outlineLevel="2">
      <c r="B28" s="477" t="s">
        <v>167</v>
      </c>
      <c r="C28" s="447" t="s">
        <v>121</v>
      </c>
      <c r="D28" s="443" t="s">
        <v>17</v>
      </c>
      <c r="E28" s="447" t="s">
        <v>127</v>
      </c>
      <c r="F28" s="477" t="s">
        <v>169</v>
      </c>
      <c r="G28" s="478">
        <v>0.3</v>
      </c>
      <c r="H28" s="478">
        <v>1</v>
      </c>
    </row>
    <row r="29" spans="2:8" outlineLevel="2">
      <c r="B29" s="477" t="s">
        <v>167</v>
      </c>
      <c r="C29" s="447" t="s">
        <v>121</v>
      </c>
      <c r="D29" s="443" t="s">
        <v>17</v>
      </c>
      <c r="E29" s="447" t="s">
        <v>127</v>
      </c>
      <c r="F29" s="477" t="s">
        <v>141</v>
      </c>
      <c r="G29" s="478">
        <v>0.09</v>
      </c>
      <c r="H29" s="478">
        <v>1</v>
      </c>
    </row>
    <row r="30" spans="2:8" outlineLevel="2">
      <c r="B30" s="477" t="s">
        <v>167</v>
      </c>
      <c r="C30" s="447" t="s">
        <v>121</v>
      </c>
      <c r="D30" s="443" t="s">
        <v>17</v>
      </c>
      <c r="E30" s="447" t="s">
        <v>127</v>
      </c>
      <c r="F30" s="477" t="s">
        <v>122</v>
      </c>
      <c r="G30" s="478">
        <v>0.03</v>
      </c>
      <c r="H30" s="478">
        <v>1</v>
      </c>
    </row>
    <row r="31" spans="2:8" outlineLevel="2">
      <c r="B31" s="477" t="s">
        <v>167</v>
      </c>
      <c r="C31" s="447" t="s">
        <v>121</v>
      </c>
      <c r="D31" s="443" t="s">
        <v>17</v>
      </c>
      <c r="E31" s="447" t="s">
        <v>127</v>
      </c>
      <c r="F31" s="477" t="s">
        <v>129</v>
      </c>
      <c r="G31" s="478">
        <v>0.03</v>
      </c>
      <c r="H31" s="478">
        <v>1</v>
      </c>
    </row>
    <row r="32" spans="2:8" outlineLevel="1">
      <c r="B32" s="475" t="s">
        <v>245</v>
      </c>
      <c r="C32" s="446" t="s">
        <v>246</v>
      </c>
      <c r="D32" s="445" t="s">
        <v>17</v>
      </c>
      <c r="E32" s="446" t="s">
        <v>127</v>
      </c>
      <c r="F32" s="475" t="s">
        <v>1854</v>
      </c>
      <c r="G32" s="476">
        <v>0.10500000000000001</v>
      </c>
      <c r="H32" s="476">
        <f>SUM(H33:H34)</f>
        <v>2</v>
      </c>
    </row>
    <row r="33" spans="2:8" outlineLevel="2">
      <c r="B33" s="477" t="s">
        <v>245</v>
      </c>
      <c r="C33" s="447" t="s">
        <v>246</v>
      </c>
      <c r="D33" s="443" t="s">
        <v>17</v>
      </c>
      <c r="E33" s="447" t="s">
        <v>127</v>
      </c>
      <c r="F33" s="477" t="s">
        <v>236</v>
      </c>
      <c r="G33" s="478">
        <v>6.3E-2</v>
      </c>
      <c r="H33" s="478">
        <v>1</v>
      </c>
    </row>
    <row r="34" spans="2:8" outlineLevel="2">
      <c r="B34" s="477" t="s">
        <v>245</v>
      </c>
      <c r="C34" s="447" t="s">
        <v>246</v>
      </c>
      <c r="D34" s="443" t="s">
        <v>17</v>
      </c>
      <c r="E34" s="447" t="s">
        <v>127</v>
      </c>
      <c r="F34" s="477" t="s">
        <v>32</v>
      </c>
      <c r="G34" s="478">
        <v>4.2000000000000003E-2</v>
      </c>
      <c r="H34" s="478">
        <v>1</v>
      </c>
    </row>
    <row r="35" spans="2:8" outlineLevel="1">
      <c r="B35" s="475" t="s">
        <v>248</v>
      </c>
      <c r="C35" s="446" t="s">
        <v>249</v>
      </c>
      <c r="D35" s="445" t="s">
        <v>17</v>
      </c>
      <c r="E35" s="479" t="s">
        <v>127</v>
      </c>
      <c r="F35" s="475" t="s">
        <v>1855</v>
      </c>
      <c r="G35" s="476">
        <v>0.77993999999999997</v>
      </c>
      <c r="H35" s="476">
        <f>SUM(H36:H39)</f>
        <v>4</v>
      </c>
    </row>
    <row r="36" spans="2:8" outlineLevel="2">
      <c r="B36" s="477" t="s">
        <v>248</v>
      </c>
      <c r="C36" s="447" t="s">
        <v>249</v>
      </c>
      <c r="D36" s="443" t="s">
        <v>17</v>
      </c>
      <c r="E36" s="382" t="s">
        <v>127</v>
      </c>
      <c r="F36" s="477" t="s">
        <v>237</v>
      </c>
      <c r="G36" s="478">
        <v>0.12999000000000002</v>
      </c>
      <c r="H36" s="478">
        <v>1</v>
      </c>
    </row>
    <row r="37" spans="2:8" outlineLevel="2">
      <c r="B37" s="477" t="s">
        <v>248</v>
      </c>
      <c r="C37" s="447" t="s">
        <v>249</v>
      </c>
      <c r="D37" s="443" t="s">
        <v>17</v>
      </c>
      <c r="E37" s="382" t="s">
        <v>127</v>
      </c>
      <c r="F37" s="477" t="s">
        <v>238</v>
      </c>
      <c r="G37" s="478">
        <v>0.25998000000000004</v>
      </c>
      <c r="H37" s="478">
        <v>1</v>
      </c>
    </row>
    <row r="38" spans="2:8" outlineLevel="2">
      <c r="B38" s="477" t="s">
        <v>248</v>
      </c>
      <c r="C38" s="447" t="s">
        <v>249</v>
      </c>
      <c r="D38" s="443" t="s">
        <v>17</v>
      </c>
      <c r="E38" s="382" t="s">
        <v>127</v>
      </c>
      <c r="F38" s="477" t="s">
        <v>242</v>
      </c>
      <c r="G38" s="478">
        <v>0.19498499999999999</v>
      </c>
      <c r="H38" s="478">
        <v>1</v>
      </c>
    </row>
    <row r="39" spans="2:8" outlineLevel="2">
      <c r="B39" s="477" t="s">
        <v>248</v>
      </c>
      <c r="C39" s="447" t="s">
        <v>249</v>
      </c>
      <c r="D39" s="443" t="s">
        <v>17</v>
      </c>
      <c r="E39" s="382" t="s">
        <v>127</v>
      </c>
      <c r="F39" s="477" t="s">
        <v>239</v>
      </c>
      <c r="G39" s="478">
        <v>0.19498499999999999</v>
      </c>
      <c r="H39" s="478">
        <v>1</v>
      </c>
    </row>
    <row r="40" spans="2:8" outlineLevel="1">
      <c r="B40" s="475" t="s">
        <v>258</v>
      </c>
      <c r="C40" s="446" t="s">
        <v>259</v>
      </c>
      <c r="D40" s="445" t="s">
        <v>17</v>
      </c>
      <c r="E40" s="446" t="s">
        <v>127</v>
      </c>
      <c r="F40" s="475" t="s">
        <v>1856</v>
      </c>
      <c r="G40" s="476">
        <v>0.43996002400000001</v>
      </c>
      <c r="H40" s="476">
        <f>SUM(H41:H42)</f>
        <v>2</v>
      </c>
    </row>
    <row r="41" spans="2:8" outlineLevel="2">
      <c r="B41" s="477" t="s">
        <v>258</v>
      </c>
      <c r="C41" s="447" t="s">
        <v>259</v>
      </c>
      <c r="D41" s="443" t="s">
        <v>17</v>
      </c>
      <c r="E41" s="447" t="s">
        <v>127</v>
      </c>
      <c r="F41" s="468" t="s">
        <v>235</v>
      </c>
      <c r="G41" s="480">
        <v>0.17598400959999999</v>
      </c>
      <c r="H41" s="478">
        <v>1</v>
      </c>
    </row>
    <row r="42" spans="2:8" outlineLevel="2">
      <c r="B42" s="477" t="s">
        <v>258</v>
      </c>
      <c r="C42" s="447" t="s">
        <v>259</v>
      </c>
      <c r="D42" s="443" t="s">
        <v>17</v>
      </c>
      <c r="E42" s="447" t="s">
        <v>127</v>
      </c>
      <c r="F42" s="468" t="s">
        <v>236</v>
      </c>
      <c r="G42" s="480">
        <v>0.26397601440000001</v>
      </c>
      <c r="H42" s="478">
        <v>1</v>
      </c>
    </row>
    <row r="43" spans="2:8" outlineLevel="1">
      <c r="B43" s="475" t="s">
        <v>281</v>
      </c>
      <c r="C43" s="446" t="s">
        <v>70</v>
      </c>
      <c r="D43" s="445" t="s">
        <v>17</v>
      </c>
      <c r="E43" s="446" t="s">
        <v>127</v>
      </c>
      <c r="F43" s="475" t="s">
        <v>1857</v>
      </c>
      <c r="G43" s="476">
        <v>1.18</v>
      </c>
      <c r="H43" s="476">
        <f>SUM(H44:H46)</f>
        <v>3</v>
      </c>
    </row>
    <row r="44" spans="2:8" outlineLevel="2">
      <c r="B44" s="477" t="s">
        <v>281</v>
      </c>
      <c r="C44" s="447" t="s">
        <v>70</v>
      </c>
      <c r="D44" s="443" t="s">
        <v>17</v>
      </c>
      <c r="E44" s="447" t="s">
        <v>127</v>
      </c>
      <c r="F44" s="477" t="s">
        <v>284</v>
      </c>
      <c r="G44" s="478">
        <v>0.54</v>
      </c>
      <c r="H44" s="478">
        <v>1</v>
      </c>
    </row>
    <row r="45" spans="2:8" outlineLevel="2">
      <c r="B45" s="477" t="s">
        <v>281</v>
      </c>
      <c r="C45" s="447" t="s">
        <v>70</v>
      </c>
      <c r="D45" s="443" t="s">
        <v>17</v>
      </c>
      <c r="E45" s="447" t="s">
        <v>127</v>
      </c>
      <c r="F45" s="477" t="s">
        <v>31</v>
      </c>
      <c r="G45" s="478">
        <v>0.43</v>
      </c>
      <c r="H45" s="478">
        <v>1</v>
      </c>
    </row>
    <row r="46" spans="2:8" outlineLevel="2">
      <c r="B46" s="477" t="s">
        <v>281</v>
      </c>
      <c r="C46" s="447" t="s">
        <v>70</v>
      </c>
      <c r="D46" s="443" t="s">
        <v>17</v>
      </c>
      <c r="E46" s="447" t="s">
        <v>127</v>
      </c>
      <c r="F46" s="477" t="s">
        <v>32</v>
      </c>
      <c r="G46" s="478">
        <v>0.21</v>
      </c>
      <c r="H46" s="478">
        <v>1</v>
      </c>
    </row>
    <row r="47" spans="2:8" outlineLevel="1">
      <c r="B47" s="475" t="s">
        <v>301</v>
      </c>
      <c r="C47" s="446" t="s">
        <v>301</v>
      </c>
      <c r="D47" s="445" t="s">
        <v>17</v>
      </c>
      <c r="E47" s="481" t="s">
        <v>127</v>
      </c>
      <c r="F47" s="475" t="s">
        <v>1858</v>
      </c>
      <c r="G47" s="476">
        <v>13.810550000000003</v>
      </c>
      <c r="H47" s="476">
        <f>SUM(H48:H51)</f>
        <v>4</v>
      </c>
    </row>
    <row r="48" spans="2:8" outlineLevel="2">
      <c r="B48" s="477" t="s">
        <v>301</v>
      </c>
      <c r="C48" s="447" t="s">
        <v>301</v>
      </c>
      <c r="D48" s="443" t="s">
        <v>17</v>
      </c>
      <c r="E48" s="448" t="s">
        <v>127</v>
      </c>
      <c r="F48" s="482" t="s">
        <v>284</v>
      </c>
      <c r="G48" s="483">
        <v>4.7746000000000013</v>
      </c>
      <c r="H48" s="478">
        <v>1</v>
      </c>
    </row>
    <row r="49" spans="2:8" outlineLevel="2">
      <c r="B49" s="477" t="s">
        <v>301</v>
      </c>
      <c r="C49" s="447" t="s">
        <v>301</v>
      </c>
      <c r="D49" s="443" t="s">
        <v>17</v>
      </c>
      <c r="E49" s="448" t="s">
        <v>127</v>
      </c>
      <c r="F49" s="482" t="s">
        <v>31</v>
      </c>
      <c r="G49" s="483">
        <v>4.3640000000000008</v>
      </c>
      <c r="H49" s="478">
        <v>1</v>
      </c>
    </row>
    <row r="50" spans="2:8" outlineLevel="2">
      <c r="B50" s="477" t="s">
        <v>301</v>
      </c>
      <c r="C50" s="447" t="s">
        <v>301</v>
      </c>
      <c r="D50" s="443" t="s">
        <v>17</v>
      </c>
      <c r="E50" s="448" t="s">
        <v>127</v>
      </c>
      <c r="F50" s="482" t="s">
        <v>32</v>
      </c>
      <c r="G50" s="483">
        <v>2.2846500000000005</v>
      </c>
      <c r="H50" s="478">
        <v>1</v>
      </c>
    </row>
    <row r="51" spans="2:8" outlineLevel="2">
      <c r="B51" s="477" t="s">
        <v>301</v>
      </c>
      <c r="C51" s="447" t="s">
        <v>301</v>
      </c>
      <c r="D51" s="443" t="s">
        <v>17</v>
      </c>
      <c r="E51" s="448" t="s">
        <v>127</v>
      </c>
      <c r="F51" s="482" t="s">
        <v>170</v>
      </c>
      <c r="G51" s="483">
        <v>2.3873000000000006</v>
      </c>
      <c r="H51" s="478">
        <v>1</v>
      </c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2:Y60"/>
  <sheetViews>
    <sheetView zoomScaleNormal="100" workbookViewId="0">
      <pane xSplit="3" ySplit="4" topLeftCell="D46" activePane="bottomRight" state="frozen"/>
      <selection pane="topRight" activeCell="I10" sqref="I10"/>
      <selection pane="bottomLeft" activeCell="I10" sqref="I10"/>
      <selection pane="bottomRight" activeCell="I10" sqref="I10"/>
    </sheetView>
  </sheetViews>
  <sheetFormatPr defaultColWidth="9.44140625" defaultRowHeight="13.2" outlineLevelRow="2"/>
  <cols>
    <col min="1" max="1" width="0.5546875" style="495" customWidth="1"/>
    <col min="2" max="2" width="6.44140625" style="495" bestFit="1" customWidth="1"/>
    <col min="3" max="3" width="19.44140625" style="495" customWidth="1"/>
    <col min="4" max="4" width="16.33203125" style="495" bestFit="1" customWidth="1"/>
    <col min="5" max="5" width="12.5546875" style="495" customWidth="1"/>
    <col min="6" max="6" width="13.6640625" style="495" bestFit="1" customWidth="1"/>
    <col min="7" max="7" width="66.33203125" style="498" bestFit="1" customWidth="1"/>
    <col min="8" max="9" width="11" style="495" customWidth="1"/>
    <col min="10" max="10" width="0.5546875" style="495" customWidth="1"/>
    <col min="11" max="12" width="9.44140625" style="495" bestFit="1"/>
    <col min="13" max="14" width="9.5546875" style="495" bestFit="1" customWidth="1"/>
    <col min="15" max="15" width="7" style="495" bestFit="1" customWidth="1"/>
    <col min="16" max="16" width="8.5546875" style="495" bestFit="1" customWidth="1"/>
    <col min="17" max="17" width="12.5546875" style="495" customWidth="1"/>
    <col min="18" max="18" width="7.5546875" style="495" bestFit="1" customWidth="1"/>
    <col min="19" max="19" width="5.5546875" style="495" bestFit="1" customWidth="1"/>
    <col min="20" max="20" width="9.44140625" style="495" bestFit="1" customWidth="1"/>
    <col min="21" max="24" width="9.44140625" style="495" bestFit="1"/>
    <col min="25" max="25" width="9.44140625" style="495" bestFit="1" customWidth="1"/>
    <col min="26" max="34" width="9.44140625" style="495" bestFit="1"/>
    <col min="35" max="16384" width="9.44140625" style="495"/>
  </cols>
  <sheetData>
    <row r="2" spans="1:25" s="496" customFormat="1" ht="17.399999999999999">
      <c r="A2" s="376"/>
      <c r="B2" s="376"/>
      <c r="C2" s="418" t="s">
        <v>1847</v>
      </c>
      <c r="D2" s="418"/>
      <c r="E2" s="418"/>
      <c r="F2" s="418"/>
      <c r="G2" s="469"/>
      <c r="H2" s="419" t="s">
        <v>1</v>
      </c>
      <c r="I2" s="419" t="s">
        <v>6</v>
      </c>
      <c r="J2" s="376"/>
      <c r="K2" s="416"/>
      <c r="L2" s="416"/>
      <c r="M2" s="440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s="497" customFormat="1" ht="1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12.655551378481437</v>
      </c>
      <c r="I4" s="434">
        <f>SUM(I7)</f>
        <v>45</v>
      </c>
      <c r="J4" s="374"/>
      <c r="K4" s="375"/>
      <c r="L4" s="375"/>
      <c r="M4" s="375"/>
      <c r="N4" s="375"/>
      <c r="O4" s="375"/>
      <c r="P4" s="449"/>
      <c r="Q4" s="375"/>
      <c r="R4" s="375"/>
      <c r="S4" s="375"/>
      <c r="T4" s="375"/>
      <c r="U4" s="375"/>
      <c r="V4" s="373"/>
      <c r="W4" s="373"/>
      <c r="X4" s="373"/>
      <c r="Y4" s="375"/>
    </row>
    <row r="5" spans="1:25" ht="10.35" hidden="1" customHeight="1">
      <c r="A5" s="372"/>
      <c r="B5" s="372"/>
      <c r="C5" s="376"/>
      <c r="D5" s="372"/>
      <c r="E5" s="376"/>
      <c r="F5" s="376" t="s">
        <v>12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s="496" customFormat="1" ht="15.6">
      <c r="A7" s="376"/>
      <c r="B7" s="376" t="s">
        <v>1859</v>
      </c>
      <c r="C7" s="470" t="s">
        <v>19</v>
      </c>
      <c r="D7" s="471"/>
      <c r="E7" s="471"/>
      <c r="F7" s="471"/>
      <c r="G7" s="472"/>
      <c r="H7" s="473">
        <f>SUM(H9,H12,H15,H31,H40,H59)</f>
        <v>12.655551378481437</v>
      </c>
      <c r="I7" s="473">
        <f>SUM(I9,I12,I15,I31,I40,I59)</f>
        <v>45</v>
      </c>
      <c r="J7" s="376"/>
      <c r="K7" s="416"/>
      <c r="L7" s="416"/>
      <c r="M7" s="440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outlineLevel="1">
      <c r="A9" s="373"/>
      <c r="B9" s="373"/>
      <c r="C9" s="475" t="s">
        <v>14</v>
      </c>
      <c r="D9" s="446" t="s">
        <v>18</v>
      </c>
      <c r="E9" s="445" t="s">
        <v>17</v>
      </c>
      <c r="F9" s="446" t="s">
        <v>19</v>
      </c>
      <c r="G9" s="475" t="s">
        <v>1860</v>
      </c>
      <c r="H9" s="476">
        <f>SUM(H10:H11)</f>
        <v>0.31537703586000004</v>
      </c>
      <c r="I9" s="476">
        <f>SUM(I10:I11)</f>
        <v>2</v>
      </c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outlineLevel="2">
      <c r="A10" s="373"/>
      <c r="B10" s="373">
        <v>1</v>
      </c>
      <c r="C10" s="477" t="s">
        <v>14</v>
      </c>
      <c r="D10" s="447" t="s">
        <v>18</v>
      </c>
      <c r="E10" s="443" t="s">
        <v>17</v>
      </c>
      <c r="F10" s="447" t="s">
        <v>19</v>
      </c>
      <c r="G10" s="477" t="s">
        <v>20</v>
      </c>
      <c r="H10" s="478">
        <v>0.27</v>
      </c>
      <c r="I10" s="478">
        <v>1</v>
      </c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outlineLevel="2">
      <c r="A11" s="373"/>
      <c r="B11" s="373">
        <v>1</v>
      </c>
      <c r="C11" s="477" t="s">
        <v>14</v>
      </c>
      <c r="D11" s="447" t="s">
        <v>18</v>
      </c>
      <c r="E11" s="443" t="s">
        <v>17</v>
      </c>
      <c r="F11" s="447" t="s">
        <v>19</v>
      </c>
      <c r="G11" s="477" t="s">
        <v>21</v>
      </c>
      <c r="H11" s="478">
        <v>4.5377035860000005E-2</v>
      </c>
      <c r="I11" s="478">
        <v>1</v>
      </c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outlineLevel="1">
      <c r="A12" s="373"/>
      <c r="B12" s="373"/>
      <c r="C12" s="475" t="s">
        <v>14</v>
      </c>
      <c r="D12" s="446" t="s">
        <v>22</v>
      </c>
      <c r="E12" s="445" t="s">
        <v>17</v>
      </c>
      <c r="F12" s="446" t="s">
        <v>19</v>
      </c>
      <c r="G12" s="475" t="s">
        <v>1860</v>
      </c>
      <c r="H12" s="476">
        <f>SUM(H13:H14)</f>
        <v>8.1654546317853002E-2</v>
      </c>
      <c r="I12" s="476">
        <f>SUM(I13:I14)</f>
        <v>2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outlineLevel="2">
      <c r="A13" s="373"/>
      <c r="B13" s="373">
        <v>1</v>
      </c>
      <c r="C13" s="477" t="s">
        <v>14</v>
      </c>
      <c r="D13" s="447" t="s">
        <v>22</v>
      </c>
      <c r="E13" s="443" t="s">
        <v>17</v>
      </c>
      <c r="F13" s="447" t="s">
        <v>19</v>
      </c>
      <c r="G13" s="477" t="s">
        <v>23</v>
      </c>
      <c r="H13" s="478">
        <v>4.2238262499999998E-2</v>
      </c>
      <c r="I13" s="478">
        <v>1</v>
      </c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outlineLevel="2">
      <c r="A14" s="373"/>
      <c r="B14" s="373">
        <v>1</v>
      </c>
      <c r="C14" s="477" t="s">
        <v>14</v>
      </c>
      <c r="D14" s="447" t="s">
        <v>22</v>
      </c>
      <c r="E14" s="443" t="s">
        <v>17</v>
      </c>
      <c r="F14" s="447" t="s">
        <v>19</v>
      </c>
      <c r="G14" s="477" t="s">
        <v>24</v>
      </c>
      <c r="H14" s="478">
        <v>3.9416283817853004E-2</v>
      </c>
      <c r="I14" s="478">
        <v>1</v>
      </c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outlineLevel="1">
      <c r="A15" s="373"/>
      <c r="B15" s="373"/>
      <c r="C15" s="475" t="s">
        <v>14</v>
      </c>
      <c r="D15" s="446" t="s">
        <v>29</v>
      </c>
      <c r="E15" s="445" t="s">
        <v>17</v>
      </c>
      <c r="F15" s="446" t="s">
        <v>19</v>
      </c>
      <c r="G15" s="475" t="s">
        <v>1860</v>
      </c>
      <c r="H15" s="476">
        <f>SUM(H16:H30)</f>
        <v>1.8087697963035858</v>
      </c>
      <c r="I15" s="476">
        <f>SUM(I16:I30)</f>
        <v>15</v>
      </c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outlineLevel="2">
      <c r="A16" s="373"/>
      <c r="B16" s="373">
        <v>1</v>
      </c>
      <c r="C16" s="477" t="s">
        <v>14</v>
      </c>
      <c r="D16" s="447" t="s">
        <v>29</v>
      </c>
      <c r="E16" s="443" t="s">
        <v>17</v>
      </c>
      <c r="F16" s="447" t="s">
        <v>19</v>
      </c>
      <c r="G16" s="468" t="s">
        <v>30</v>
      </c>
      <c r="H16" s="480">
        <v>0.27398366869616486</v>
      </c>
      <c r="I16" s="478">
        <v>1</v>
      </c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2:9" outlineLevel="2">
      <c r="B17" s="373">
        <v>1</v>
      </c>
      <c r="C17" s="477" t="s">
        <v>14</v>
      </c>
      <c r="D17" s="447" t="s">
        <v>29</v>
      </c>
      <c r="E17" s="443" t="s">
        <v>17</v>
      </c>
      <c r="F17" s="447" t="s">
        <v>19</v>
      </c>
      <c r="G17" s="468" t="s">
        <v>31</v>
      </c>
      <c r="H17" s="480">
        <v>0.27398366869616486</v>
      </c>
      <c r="I17" s="478">
        <v>1</v>
      </c>
    </row>
    <row r="18" spans="2:9" outlineLevel="2">
      <c r="B18" s="373">
        <v>1</v>
      </c>
      <c r="C18" s="477" t="s">
        <v>14</v>
      </c>
      <c r="D18" s="447" t="s">
        <v>29</v>
      </c>
      <c r="E18" s="443" t="s">
        <v>17</v>
      </c>
      <c r="F18" s="447" t="s">
        <v>19</v>
      </c>
      <c r="G18" s="468" t="s">
        <v>32</v>
      </c>
      <c r="H18" s="480">
        <v>0.13699183434808243</v>
      </c>
      <c r="I18" s="478">
        <v>1</v>
      </c>
    </row>
    <row r="19" spans="2:9" outlineLevel="2">
      <c r="B19" s="373">
        <v>1</v>
      </c>
      <c r="C19" s="477" t="s">
        <v>14</v>
      </c>
      <c r="D19" s="447" t="s">
        <v>29</v>
      </c>
      <c r="E19" s="443" t="s">
        <v>17</v>
      </c>
      <c r="F19" s="447" t="s">
        <v>19</v>
      </c>
      <c r="G19" s="468" t="s">
        <v>33</v>
      </c>
      <c r="H19" s="480">
        <v>0.27398366869616486</v>
      </c>
      <c r="I19" s="478">
        <v>1</v>
      </c>
    </row>
    <row r="20" spans="2:9" outlineLevel="2">
      <c r="B20" s="373">
        <v>1</v>
      </c>
      <c r="C20" s="477" t="s">
        <v>14</v>
      </c>
      <c r="D20" s="447" t="s">
        <v>29</v>
      </c>
      <c r="E20" s="443" t="s">
        <v>17</v>
      </c>
      <c r="F20" s="447" t="s">
        <v>19</v>
      </c>
      <c r="G20" s="468" t="s">
        <v>34</v>
      </c>
      <c r="H20" s="480">
        <v>0.36</v>
      </c>
      <c r="I20" s="478">
        <v>1</v>
      </c>
    </row>
    <row r="21" spans="2:9" outlineLevel="2">
      <c r="B21" s="373">
        <v>1</v>
      </c>
      <c r="C21" s="477" t="s">
        <v>14</v>
      </c>
      <c r="D21" s="447" t="s">
        <v>29</v>
      </c>
      <c r="E21" s="443" t="s">
        <v>17</v>
      </c>
      <c r="F21" s="447" t="s">
        <v>19</v>
      </c>
      <c r="G21" s="468" t="s">
        <v>36</v>
      </c>
      <c r="H21" s="480">
        <v>4.3982695586700871E-2</v>
      </c>
      <c r="I21" s="478">
        <v>1</v>
      </c>
    </row>
    <row r="22" spans="2:9" outlineLevel="2">
      <c r="B22" s="373">
        <v>1</v>
      </c>
      <c r="C22" s="477" t="s">
        <v>14</v>
      </c>
      <c r="D22" s="447" t="s">
        <v>29</v>
      </c>
      <c r="E22" s="443" t="s">
        <v>17</v>
      </c>
      <c r="F22" s="447" t="s">
        <v>19</v>
      </c>
      <c r="G22" s="468" t="s">
        <v>37</v>
      </c>
      <c r="H22" s="480">
        <v>6.5974043380051306E-2</v>
      </c>
      <c r="I22" s="478">
        <v>1</v>
      </c>
    </row>
    <row r="23" spans="2:9" outlineLevel="2">
      <c r="B23" s="373">
        <v>1</v>
      </c>
      <c r="C23" s="477" t="s">
        <v>14</v>
      </c>
      <c r="D23" s="447" t="s">
        <v>29</v>
      </c>
      <c r="E23" s="443" t="s">
        <v>17</v>
      </c>
      <c r="F23" s="447" t="s">
        <v>19</v>
      </c>
      <c r="G23" s="468" t="s">
        <v>39</v>
      </c>
      <c r="H23" s="480">
        <v>6.5974043380051306E-2</v>
      </c>
      <c r="I23" s="478">
        <v>1</v>
      </c>
    </row>
    <row r="24" spans="2:9" outlineLevel="2">
      <c r="B24" s="373">
        <v>2</v>
      </c>
      <c r="C24" s="477" t="s">
        <v>14</v>
      </c>
      <c r="D24" s="447" t="s">
        <v>29</v>
      </c>
      <c r="E24" s="443" t="s">
        <v>17</v>
      </c>
      <c r="F24" s="447" t="s">
        <v>19</v>
      </c>
      <c r="G24" s="468" t="s">
        <v>35</v>
      </c>
      <c r="H24" s="480">
        <v>4.3982695586700871E-2</v>
      </c>
      <c r="I24" s="478">
        <v>1</v>
      </c>
    </row>
    <row r="25" spans="2:9" outlineLevel="2">
      <c r="B25" s="373">
        <v>2</v>
      </c>
      <c r="C25" s="477" t="s">
        <v>14</v>
      </c>
      <c r="D25" s="447" t="s">
        <v>29</v>
      </c>
      <c r="E25" s="443" t="s">
        <v>17</v>
      </c>
      <c r="F25" s="447" t="s">
        <v>19</v>
      </c>
      <c r="G25" s="468" t="s">
        <v>38</v>
      </c>
      <c r="H25" s="480">
        <v>6.5974043380051306E-2</v>
      </c>
      <c r="I25" s="478">
        <v>1</v>
      </c>
    </row>
    <row r="26" spans="2:9" outlineLevel="2">
      <c r="B26" s="373">
        <v>2</v>
      </c>
      <c r="C26" s="477" t="s">
        <v>14</v>
      </c>
      <c r="D26" s="447" t="s">
        <v>29</v>
      </c>
      <c r="E26" s="443" t="s">
        <v>17</v>
      </c>
      <c r="F26" s="447" t="s">
        <v>19</v>
      </c>
      <c r="G26" s="468" t="s">
        <v>40</v>
      </c>
      <c r="H26" s="480">
        <v>6.5974043380051306E-2</v>
      </c>
      <c r="I26" s="478">
        <v>1</v>
      </c>
    </row>
    <row r="27" spans="2:9" outlineLevel="2">
      <c r="B27" s="373">
        <v>2</v>
      </c>
      <c r="C27" s="477" t="s">
        <v>14</v>
      </c>
      <c r="D27" s="447" t="s">
        <v>29</v>
      </c>
      <c r="E27" s="443" t="s">
        <v>17</v>
      </c>
      <c r="F27" s="447" t="s">
        <v>19</v>
      </c>
      <c r="G27" s="468" t="s">
        <v>41</v>
      </c>
      <c r="H27" s="480">
        <v>1.466089852890029E-2</v>
      </c>
      <c r="I27" s="478">
        <v>1</v>
      </c>
    </row>
    <row r="28" spans="2:9" outlineLevel="2">
      <c r="B28" s="373">
        <v>2</v>
      </c>
      <c r="C28" s="477" t="s">
        <v>14</v>
      </c>
      <c r="D28" s="447" t="s">
        <v>29</v>
      </c>
      <c r="E28" s="443" t="s">
        <v>17</v>
      </c>
      <c r="F28" s="447" t="s">
        <v>19</v>
      </c>
      <c r="G28" s="468" t="s">
        <v>42</v>
      </c>
      <c r="H28" s="480">
        <v>2.932179705780058E-2</v>
      </c>
      <c r="I28" s="478">
        <v>1</v>
      </c>
    </row>
    <row r="29" spans="2:9" outlineLevel="2">
      <c r="B29" s="373">
        <v>2</v>
      </c>
      <c r="C29" s="477" t="s">
        <v>14</v>
      </c>
      <c r="D29" s="447" t="s">
        <v>29</v>
      </c>
      <c r="E29" s="443" t="s">
        <v>17</v>
      </c>
      <c r="F29" s="447" t="s">
        <v>19</v>
      </c>
      <c r="G29" s="468" t="s">
        <v>43</v>
      </c>
      <c r="H29" s="480">
        <v>4.3982695586700871E-2</v>
      </c>
      <c r="I29" s="478">
        <v>1</v>
      </c>
    </row>
    <row r="30" spans="2:9" outlineLevel="2">
      <c r="B30" s="373">
        <v>2</v>
      </c>
      <c r="C30" s="477" t="s">
        <v>14</v>
      </c>
      <c r="D30" s="447" t="s">
        <v>29</v>
      </c>
      <c r="E30" s="443" t="s">
        <v>17</v>
      </c>
      <c r="F30" s="447" t="s">
        <v>19</v>
      </c>
      <c r="G30" s="468" t="s">
        <v>44</v>
      </c>
      <c r="H30" s="480">
        <v>0.05</v>
      </c>
      <c r="I30" s="478">
        <v>1</v>
      </c>
    </row>
    <row r="31" spans="2:9" outlineLevel="1">
      <c r="B31" s="373"/>
      <c r="C31" s="475" t="s">
        <v>74</v>
      </c>
      <c r="D31" s="446" t="s">
        <v>75</v>
      </c>
      <c r="E31" s="445" t="s">
        <v>17</v>
      </c>
      <c r="F31" s="446" t="s">
        <v>19</v>
      </c>
      <c r="G31" s="475" t="s">
        <v>1861</v>
      </c>
      <c r="H31" s="476">
        <f>SUM(H32:H39)</f>
        <v>3.3658999999999999</v>
      </c>
      <c r="I31" s="476">
        <f>SUM(I32:I39)</f>
        <v>8</v>
      </c>
    </row>
    <row r="32" spans="2:9" outlineLevel="2">
      <c r="B32" s="373">
        <v>1</v>
      </c>
      <c r="C32" s="477" t="s">
        <v>74</v>
      </c>
      <c r="D32" s="447" t="s">
        <v>75</v>
      </c>
      <c r="E32" s="443" t="s">
        <v>17</v>
      </c>
      <c r="F32" s="447" t="s">
        <v>19</v>
      </c>
      <c r="G32" s="477" t="s">
        <v>78</v>
      </c>
      <c r="H32" s="478">
        <v>0.17</v>
      </c>
      <c r="I32" s="478">
        <v>1</v>
      </c>
    </row>
    <row r="33" spans="2:9" outlineLevel="2">
      <c r="B33" s="373">
        <v>1</v>
      </c>
      <c r="C33" s="477" t="s">
        <v>74</v>
      </c>
      <c r="D33" s="447" t="s">
        <v>75</v>
      </c>
      <c r="E33" s="443" t="s">
        <v>17</v>
      </c>
      <c r="F33" s="447" t="s">
        <v>19</v>
      </c>
      <c r="G33" s="477" t="s">
        <v>79</v>
      </c>
      <c r="H33" s="478">
        <v>0.17</v>
      </c>
      <c r="I33" s="478">
        <v>1</v>
      </c>
    </row>
    <row r="34" spans="2:9" outlineLevel="2">
      <c r="B34" s="373">
        <v>1</v>
      </c>
      <c r="C34" s="477" t="s">
        <v>74</v>
      </c>
      <c r="D34" s="447" t="s">
        <v>75</v>
      </c>
      <c r="E34" s="443" t="s">
        <v>17</v>
      </c>
      <c r="F34" s="447" t="s">
        <v>19</v>
      </c>
      <c r="G34" s="477" t="s">
        <v>80</v>
      </c>
      <c r="H34" s="478">
        <v>1.18</v>
      </c>
      <c r="I34" s="478">
        <v>1</v>
      </c>
    </row>
    <row r="35" spans="2:9" outlineLevel="2">
      <c r="B35" s="373">
        <v>1</v>
      </c>
      <c r="C35" s="477" t="s">
        <v>74</v>
      </c>
      <c r="D35" s="447" t="s">
        <v>75</v>
      </c>
      <c r="E35" s="443" t="s">
        <v>17</v>
      </c>
      <c r="F35" s="447" t="s">
        <v>19</v>
      </c>
      <c r="G35" s="477" t="s">
        <v>81</v>
      </c>
      <c r="H35" s="478">
        <v>1.0659000000000001</v>
      </c>
      <c r="I35" s="478">
        <v>1</v>
      </c>
    </row>
    <row r="36" spans="2:9" outlineLevel="2">
      <c r="B36" s="373">
        <v>1</v>
      </c>
      <c r="C36" s="477" t="s">
        <v>74</v>
      </c>
      <c r="D36" s="447" t="s">
        <v>75</v>
      </c>
      <c r="E36" s="443" t="s">
        <v>17</v>
      </c>
      <c r="F36" s="447" t="s">
        <v>19</v>
      </c>
      <c r="G36" s="477" t="s">
        <v>82</v>
      </c>
      <c r="H36" s="478">
        <v>0.45</v>
      </c>
      <c r="I36" s="478">
        <v>1</v>
      </c>
    </row>
    <row r="37" spans="2:9" outlineLevel="2">
      <c r="B37" s="373">
        <v>1</v>
      </c>
      <c r="C37" s="477" t="s">
        <v>74</v>
      </c>
      <c r="D37" s="447" t="s">
        <v>75</v>
      </c>
      <c r="E37" s="443" t="s">
        <v>17</v>
      </c>
      <c r="F37" s="447" t="s">
        <v>19</v>
      </c>
      <c r="G37" s="477" t="s">
        <v>83</v>
      </c>
      <c r="H37" s="478">
        <v>0.15</v>
      </c>
      <c r="I37" s="478">
        <v>1</v>
      </c>
    </row>
    <row r="38" spans="2:9" outlineLevel="2">
      <c r="B38" s="373">
        <v>1</v>
      </c>
      <c r="C38" s="477" t="s">
        <v>74</v>
      </c>
      <c r="D38" s="447" t="s">
        <v>75</v>
      </c>
      <c r="E38" s="443" t="s">
        <v>17</v>
      </c>
      <c r="F38" s="447" t="s">
        <v>19</v>
      </c>
      <c r="G38" s="477" t="s">
        <v>84</v>
      </c>
      <c r="H38" s="478">
        <v>0.15</v>
      </c>
      <c r="I38" s="478">
        <v>1</v>
      </c>
    </row>
    <row r="39" spans="2:9" outlineLevel="2">
      <c r="B39" s="373">
        <v>1</v>
      </c>
      <c r="C39" s="477" t="s">
        <v>74</v>
      </c>
      <c r="D39" s="447" t="s">
        <v>75</v>
      </c>
      <c r="E39" s="443" t="s">
        <v>17</v>
      </c>
      <c r="F39" s="447" t="s">
        <v>19</v>
      </c>
      <c r="G39" s="477" t="s">
        <v>85</v>
      </c>
      <c r="H39" s="478">
        <v>0.03</v>
      </c>
      <c r="I39" s="478">
        <v>1</v>
      </c>
    </row>
    <row r="40" spans="2:9" outlineLevel="1">
      <c r="B40" s="373"/>
      <c r="C40" s="475" t="s">
        <v>91</v>
      </c>
      <c r="D40" s="446" t="s">
        <v>92</v>
      </c>
      <c r="E40" s="445" t="s">
        <v>17</v>
      </c>
      <c r="F40" s="446" t="s">
        <v>19</v>
      </c>
      <c r="G40" s="475" t="s">
        <v>1862</v>
      </c>
      <c r="H40" s="476">
        <f>SUM(H41:H58)</f>
        <v>7.0838499999999991</v>
      </c>
      <c r="I40" s="476">
        <f>SUM(I41:I58)</f>
        <v>18</v>
      </c>
    </row>
    <row r="41" spans="2:9" outlineLevel="2">
      <c r="B41" s="373">
        <v>1</v>
      </c>
      <c r="C41" s="477" t="s">
        <v>91</v>
      </c>
      <c r="D41" s="447" t="s">
        <v>92</v>
      </c>
      <c r="E41" s="443" t="s">
        <v>17</v>
      </c>
      <c r="F41" s="447" t="s">
        <v>19</v>
      </c>
      <c r="G41" s="477" t="s">
        <v>94</v>
      </c>
      <c r="H41" s="478">
        <v>0.2</v>
      </c>
      <c r="I41" s="478">
        <v>1</v>
      </c>
    </row>
    <row r="42" spans="2:9" outlineLevel="2">
      <c r="B42" s="373">
        <v>1</v>
      </c>
      <c r="C42" s="477" t="s">
        <v>91</v>
      </c>
      <c r="D42" s="447" t="s">
        <v>92</v>
      </c>
      <c r="E42" s="443" t="s">
        <v>17</v>
      </c>
      <c r="F42" s="447" t="s">
        <v>19</v>
      </c>
      <c r="G42" s="477" t="s">
        <v>95</v>
      </c>
      <c r="H42" s="478">
        <v>0.41</v>
      </c>
      <c r="I42" s="478">
        <v>1</v>
      </c>
    </row>
    <row r="43" spans="2:9" outlineLevel="2">
      <c r="B43" s="373">
        <v>1</v>
      </c>
      <c r="C43" s="477" t="s">
        <v>91</v>
      </c>
      <c r="D43" s="447" t="s">
        <v>92</v>
      </c>
      <c r="E43" s="443" t="s">
        <v>17</v>
      </c>
      <c r="F43" s="447" t="s">
        <v>19</v>
      </c>
      <c r="G43" s="477" t="s">
        <v>96</v>
      </c>
      <c r="H43" s="478">
        <v>0.61</v>
      </c>
      <c r="I43" s="478">
        <v>1</v>
      </c>
    </row>
    <row r="44" spans="2:9" outlineLevel="2">
      <c r="B44" s="373">
        <v>1</v>
      </c>
      <c r="C44" s="477" t="s">
        <v>91</v>
      </c>
      <c r="D44" s="447" t="s">
        <v>92</v>
      </c>
      <c r="E44" s="443" t="s">
        <v>17</v>
      </c>
      <c r="F44" s="447" t="s">
        <v>19</v>
      </c>
      <c r="G44" s="477" t="s">
        <v>97</v>
      </c>
      <c r="H44" s="478">
        <v>0.82</v>
      </c>
      <c r="I44" s="478">
        <v>1</v>
      </c>
    </row>
    <row r="45" spans="2:9" outlineLevel="2">
      <c r="B45" s="373">
        <v>1</v>
      </c>
      <c r="C45" s="477" t="s">
        <v>91</v>
      </c>
      <c r="D45" s="447" t="s">
        <v>92</v>
      </c>
      <c r="E45" s="443" t="s">
        <v>17</v>
      </c>
      <c r="F45" s="447" t="s">
        <v>19</v>
      </c>
      <c r="G45" s="477" t="s">
        <v>98</v>
      </c>
      <c r="H45" s="478">
        <v>0.48</v>
      </c>
      <c r="I45" s="478">
        <v>1</v>
      </c>
    </row>
    <row r="46" spans="2:9" outlineLevel="2">
      <c r="B46" s="373">
        <v>1</v>
      </c>
      <c r="C46" s="477" t="s">
        <v>91</v>
      </c>
      <c r="D46" s="447" t="s">
        <v>92</v>
      </c>
      <c r="E46" s="443" t="s">
        <v>17</v>
      </c>
      <c r="F46" s="447" t="s">
        <v>19</v>
      </c>
      <c r="G46" s="477" t="s">
        <v>99</v>
      </c>
      <c r="H46" s="478">
        <v>0.9638500000000001</v>
      </c>
      <c r="I46" s="478">
        <v>1</v>
      </c>
    </row>
    <row r="47" spans="2:9" outlineLevel="2">
      <c r="B47" s="373">
        <v>1</v>
      </c>
      <c r="C47" s="477" t="s">
        <v>91</v>
      </c>
      <c r="D47" s="447" t="s">
        <v>92</v>
      </c>
      <c r="E47" s="443" t="s">
        <v>17</v>
      </c>
      <c r="F47" s="447" t="s">
        <v>19</v>
      </c>
      <c r="G47" s="477" t="s">
        <v>101</v>
      </c>
      <c r="H47" s="478">
        <v>0.52</v>
      </c>
      <c r="I47" s="478">
        <v>1</v>
      </c>
    </row>
    <row r="48" spans="2:9" outlineLevel="2">
      <c r="B48" s="373">
        <v>1</v>
      </c>
      <c r="C48" s="477" t="s">
        <v>91</v>
      </c>
      <c r="D48" s="447" t="s">
        <v>92</v>
      </c>
      <c r="E48" s="443" t="s">
        <v>17</v>
      </c>
      <c r="F48" s="447" t="s">
        <v>19</v>
      </c>
      <c r="G48" s="477" t="s">
        <v>102</v>
      </c>
      <c r="H48" s="478">
        <v>0.52</v>
      </c>
      <c r="I48" s="478">
        <v>1</v>
      </c>
    </row>
    <row r="49" spans="2:9" outlineLevel="2">
      <c r="B49" s="373">
        <v>1</v>
      </c>
      <c r="C49" s="477" t="s">
        <v>91</v>
      </c>
      <c r="D49" s="447" t="s">
        <v>92</v>
      </c>
      <c r="E49" s="443" t="s">
        <v>17</v>
      </c>
      <c r="F49" s="447" t="s">
        <v>19</v>
      </c>
      <c r="G49" s="477" t="s">
        <v>61</v>
      </c>
      <c r="H49" s="478">
        <v>0.17</v>
      </c>
      <c r="I49" s="478">
        <v>1</v>
      </c>
    </row>
    <row r="50" spans="2:9" outlineLevel="2">
      <c r="B50" s="373">
        <v>1</v>
      </c>
      <c r="C50" s="477" t="s">
        <v>91</v>
      </c>
      <c r="D50" s="447" t="s">
        <v>92</v>
      </c>
      <c r="E50" s="443" t="s">
        <v>17</v>
      </c>
      <c r="F50" s="447" t="s">
        <v>19</v>
      </c>
      <c r="G50" s="477" t="s">
        <v>58</v>
      </c>
      <c r="H50" s="478">
        <v>0.03</v>
      </c>
      <c r="I50" s="478">
        <v>1</v>
      </c>
    </row>
    <row r="51" spans="2:9" outlineLevel="2">
      <c r="B51" s="373">
        <v>1</v>
      </c>
      <c r="C51" s="477" t="s">
        <v>91</v>
      </c>
      <c r="D51" s="447" t="s">
        <v>92</v>
      </c>
      <c r="E51" s="443" t="s">
        <v>17</v>
      </c>
      <c r="F51" s="447" t="s">
        <v>19</v>
      </c>
      <c r="G51" s="477" t="s">
        <v>87</v>
      </c>
      <c r="H51" s="478">
        <v>0.03</v>
      </c>
      <c r="I51" s="478">
        <v>1</v>
      </c>
    </row>
    <row r="52" spans="2:9" outlineLevel="2">
      <c r="B52" s="373">
        <v>1</v>
      </c>
      <c r="C52" s="477" t="s">
        <v>91</v>
      </c>
      <c r="D52" s="447" t="s">
        <v>92</v>
      </c>
      <c r="E52" s="443" t="s">
        <v>17</v>
      </c>
      <c r="F52" s="447" t="s">
        <v>19</v>
      </c>
      <c r="G52" s="477" t="s">
        <v>107</v>
      </c>
      <c r="H52" s="478">
        <v>1.4999999999999999E-2</v>
      </c>
      <c r="I52" s="478">
        <v>1</v>
      </c>
    </row>
    <row r="53" spans="2:9" outlineLevel="2">
      <c r="B53" s="373">
        <v>1</v>
      </c>
      <c r="C53" s="477" t="s">
        <v>91</v>
      </c>
      <c r="D53" s="447" t="s">
        <v>92</v>
      </c>
      <c r="E53" s="443" t="s">
        <v>17</v>
      </c>
      <c r="F53" s="447" t="s">
        <v>19</v>
      </c>
      <c r="G53" s="477" t="s">
        <v>108</v>
      </c>
      <c r="H53" s="478">
        <v>1.4999999999999999E-2</v>
      </c>
      <c r="I53" s="478">
        <v>1</v>
      </c>
    </row>
    <row r="54" spans="2:9" outlineLevel="2">
      <c r="B54" s="373">
        <v>1</v>
      </c>
      <c r="C54" s="477" t="s">
        <v>91</v>
      </c>
      <c r="D54" s="447" t="s">
        <v>92</v>
      </c>
      <c r="E54" s="443" t="s">
        <v>17</v>
      </c>
      <c r="F54" s="447" t="s">
        <v>19</v>
      </c>
      <c r="G54" s="477" t="s">
        <v>86</v>
      </c>
      <c r="H54" s="478">
        <v>0.1</v>
      </c>
      <c r="I54" s="478">
        <v>1</v>
      </c>
    </row>
    <row r="55" spans="2:9" outlineLevel="2">
      <c r="B55" s="373">
        <v>2</v>
      </c>
      <c r="C55" s="477" t="s">
        <v>91</v>
      </c>
      <c r="D55" s="447" t="s">
        <v>92</v>
      </c>
      <c r="E55" s="443" t="s">
        <v>17</v>
      </c>
      <c r="F55" s="447" t="s">
        <v>19</v>
      </c>
      <c r="G55" s="477" t="s">
        <v>100</v>
      </c>
      <c r="H55" s="478">
        <v>0.52</v>
      </c>
      <c r="I55" s="478">
        <v>1</v>
      </c>
    </row>
    <row r="56" spans="2:9" outlineLevel="2">
      <c r="B56" s="373">
        <v>2</v>
      </c>
      <c r="C56" s="477" t="s">
        <v>91</v>
      </c>
      <c r="D56" s="447" t="s">
        <v>92</v>
      </c>
      <c r="E56" s="443" t="s">
        <v>17</v>
      </c>
      <c r="F56" s="447" t="s">
        <v>19</v>
      </c>
      <c r="G56" s="477" t="s">
        <v>103</v>
      </c>
      <c r="H56" s="478">
        <v>0.48</v>
      </c>
      <c r="I56" s="478">
        <v>1</v>
      </c>
    </row>
    <row r="57" spans="2:9" outlineLevel="2">
      <c r="B57" s="373">
        <v>2</v>
      </c>
      <c r="C57" s="477" t="s">
        <v>91</v>
      </c>
      <c r="D57" s="447" t="s">
        <v>92</v>
      </c>
      <c r="E57" s="443" t="s">
        <v>17</v>
      </c>
      <c r="F57" s="447" t="s">
        <v>19</v>
      </c>
      <c r="G57" s="477" t="s">
        <v>104</v>
      </c>
      <c r="H57" s="478">
        <v>0.24</v>
      </c>
      <c r="I57" s="478">
        <v>1</v>
      </c>
    </row>
    <row r="58" spans="2:9" outlineLevel="2">
      <c r="B58" s="373">
        <v>2</v>
      </c>
      <c r="C58" s="477" t="s">
        <v>91</v>
      </c>
      <c r="D58" s="447" t="s">
        <v>92</v>
      </c>
      <c r="E58" s="443" t="s">
        <v>17</v>
      </c>
      <c r="F58" s="447" t="s">
        <v>19</v>
      </c>
      <c r="G58" s="477" t="s">
        <v>105</v>
      </c>
      <c r="H58" s="478">
        <v>0.96</v>
      </c>
      <c r="I58" s="478">
        <v>1</v>
      </c>
    </row>
    <row r="59" spans="2:9" outlineLevel="1">
      <c r="B59" s="373"/>
      <c r="C59" s="475" t="s">
        <v>350</v>
      </c>
      <c r="D59" s="446" t="s">
        <v>350</v>
      </c>
      <c r="E59" s="445" t="s">
        <v>17</v>
      </c>
      <c r="F59" s="446" t="s">
        <v>19</v>
      </c>
      <c r="G59" s="475" t="s">
        <v>1863</v>
      </c>
      <c r="H59" s="476">
        <v>0</v>
      </c>
      <c r="I59" s="476">
        <v>0</v>
      </c>
    </row>
    <row r="60" spans="2:9">
      <c r="B60" s="373"/>
      <c r="C60" s="373"/>
      <c r="D60" s="373"/>
      <c r="E60" s="373"/>
      <c r="F60" s="373"/>
      <c r="G60" s="491"/>
      <c r="H60" s="373"/>
      <c r="I60" s="37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6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7"/>
  <sheetViews>
    <sheetView zoomScaleNormal="100" workbookViewId="0">
      <selection activeCell="N20" sqref="N20"/>
    </sheetView>
  </sheetViews>
  <sheetFormatPr defaultColWidth="9.44140625" defaultRowHeight="13.2" outlineLevelRow="2"/>
  <cols>
    <col min="1" max="1" width="0.5546875" style="373" customWidth="1"/>
    <col min="2" max="2" width="19.44140625" style="373" customWidth="1"/>
    <col min="3" max="3" width="16.33203125" style="373" bestFit="1" customWidth="1"/>
    <col min="4" max="4" width="12.5546875" style="373" customWidth="1"/>
    <col min="5" max="5" width="13.6640625" style="373" bestFit="1" customWidth="1"/>
    <col min="6" max="6" width="66.33203125" style="491" bestFit="1" customWidth="1"/>
    <col min="7" max="8" width="11" style="373" customWidth="1"/>
    <col min="9" max="9" width="0.5546875" style="373" customWidth="1"/>
    <col min="10" max="11" width="9.44140625" style="373"/>
    <col min="12" max="13" width="9.5546875" style="373" bestFit="1" customWidth="1"/>
    <col min="14" max="14" width="7" style="373" bestFit="1" customWidth="1"/>
    <col min="15" max="15" width="8.5546875" style="373" bestFit="1" customWidth="1"/>
    <col min="16" max="16" width="12.5546875" style="373" customWidth="1"/>
    <col min="17" max="17" width="7.5546875" style="373" bestFit="1" customWidth="1"/>
    <col min="18" max="18" width="5.5546875" style="373" bestFit="1" customWidth="1"/>
    <col min="19" max="19" width="9.44140625" style="373" bestFit="1" customWidth="1"/>
    <col min="20" max="23" width="9.44140625" style="373"/>
    <col min="24" max="24" width="9.44140625" style="373" bestFit="1" customWidth="1"/>
    <col min="25" max="16384" width="9.44140625" style="373"/>
  </cols>
  <sheetData>
    <row r="1" spans="1:23" s="416" customFormat="1" ht="17.399999999999999">
      <c r="A1" s="376"/>
      <c r="B1" s="418" t="s">
        <v>1847</v>
      </c>
      <c r="C1" s="418"/>
      <c r="D1" s="418"/>
      <c r="E1" s="418"/>
      <c r="F1" s="469"/>
      <c r="G1" s="419" t="s">
        <v>1</v>
      </c>
      <c r="H1" s="419" t="s">
        <v>6</v>
      </c>
      <c r="I1" s="376"/>
      <c r="L1" s="440"/>
    </row>
    <row r="2" spans="1:23" ht="3" customHeight="1">
      <c r="A2" s="372"/>
      <c r="B2" s="372"/>
      <c r="C2" s="372"/>
      <c r="D2" s="372"/>
      <c r="E2" s="372"/>
      <c r="F2" s="468"/>
      <c r="G2" s="372"/>
      <c r="H2" s="372"/>
      <c r="I2" s="372"/>
    </row>
    <row r="3" spans="1:23" s="375" customFormat="1" ht="15">
      <c r="A3" s="374"/>
      <c r="B3" s="417" t="s">
        <v>7</v>
      </c>
      <c r="C3" s="417" t="s">
        <v>8</v>
      </c>
      <c r="D3" s="417" t="s">
        <v>9</v>
      </c>
      <c r="E3" s="417" t="s">
        <v>10</v>
      </c>
      <c r="F3" s="433" t="s">
        <v>11</v>
      </c>
      <c r="G3" s="434">
        <f>SUM(G5)</f>
        <v>23.432420772299601</v>
      </c>
      <c r="H3" s="434">
        <f>SUM(H5)</f>
        <v>24</v>
      </c>
      <c r="I3" s="374"/>
      <c r="O3" s="449"/>
      <c r="U3" s="373"/>
      <c r="V3" s="373"/>
      <c r="W3" s="373"/>
    </row>
    <row r="4" spans="1:23" ht="3" customHeight="1">
      <c r="A4" s="372"/>
      <c r="B4" s="372"/>
      <c r="C4" s="372"/>
      <c r="D4" s="372"/>
      <c r="E4" s="372"/>
      <c r="F4" s="468"/>
      <c r="G4" s="372"/>
      <c r="H4" s="372"/>
      <c r="I4" s="372"/>
    </row>
    <row r="5" spans="1:23" s="416" customFormat="1" ht="15.6">
      <c r="A5" s="376"/>
      <c r="B5" s="470" t="s">
        <v>64</v>
      </c>
      <c r="C5" s="471"/>
      <c r="D5" s="471"/>
      <c r="E5" s="471"/>
      <c r="F5" s="472"/>
      <c r="G5" s="473">
        <f>SUM(G7,G11,G15,G19,G23,G30,G34)</f>
        <v>23.432420772299601</v>
      </c>
      <c r="H5" s="473">
        <f>SUM(H7,H11,H15,H19,H23,H30,H34)</f>
        <v>24</v>
      </c>
      <c r="I5" s="376"/>
      <c r="L5" s="440"/>
    </row>
    <row r="6" spans="1:23" ht="3" customHeight="1" outlineLevel="1">
      <c r="A6" s="372"/>
      <c r="B6" s="372"/>
      <c r="C6" s="372"/>
      <c r="D6" s="372"/>
      <c r="E6" s="372"/>
      <c r="F6" s="468"/>
      <c r="G6" s="474"/>
      <c r="H6" s="474"/>
      <c r="I6" s="372"/>
    </row>
    <row r="7" spans="1:23" outlineLevel="1">
      <c r="B7" s="475" t="s">
        <v>62</v>
      </c>
      <c r="C7" s="446" t="s">
        <v>63</v>
      </c>
      <c r="D7" s="445" t="s">
        <v>17</v>
      </c>
      <c r="E7" s="446" t="s">
        <v>64</v>
      </c>
      <c r="F7" s="475" t="s">
        <v>1864</v>
      </c>
      <c r="G7" s="476">
        <v>0.3642147722995997</v>
      </c>
      <c r="H7" s="476">
        <v>3</v>
      </c>
    </row>
    <row r="8" spans="1:23" outlineLevel="2">
      <c r="B8" s="477" t="s">
        <v>62</v>
      </c>
      <c r="C8" s="447" t="s">
        <v>63</v>
      </c>
      <c r="D8" s="443" t="s">
        <v>17</v>
      </c>
      <c r="E8" s="447" t="s">
        <v>64</v>
      </c>
      <c r="F8" s="477" t="s">
        <v>65</v>
      </c>
      <c r="G8" s="480">
        <v>0.13658053961234987</v>
      </c>
      <c r="H8" s="478">
        <v>1</v>
      </c>
    </row>
    <row r="9" spans="1:23" outlineLevel="2">
      <c r="B9" s="477" t="s">
        <v>62</v>
      </c>
      <c r="C9" s="447" t="s">
        <v>63</v>
      </c>
      <c r="D9" s="443" t="s">
        <v>17</v>
      </c>
      <c r="E9" s="447" t="s">
        <v>64</v>
      </c>
      <c r="F9" s="477" t="s">
        <v>23</v>
      </c>
      <c r="G9" s="480">
        <v>0.18210738614979985</v>
      </c>
      <c r="H9" s="478">
        <v>1</v>
      </c>
    </row>
    <row r="10" spans="1:23" outlineLevel="2">
      <c r="B10" s="477" t="s">
        <v>62</v>
      </c>
      <c r="C10" s="447" t="s">
        <v>63</v>
      </c>
      <c r="D10" s="443" t="s">
        <v>17</v>
      </c>
      <c r="E10" s="447" t="s">
        <v>64</v>
      </c>
      <c r="F10" s="477" t="s">
        <v>66</v>
      </c>
      <c r="G10" s="480">
        <v>4.5526846537449962E-2</v>
      </c>
      <c r="H10" s="478">
        <v>1</v>
      </c>
    </row>
    <row r="11" spans="1:23" outlineLevel="1">
      <c r="B11" s="475" t="s">
        <v>353</v>
      </c>
      <c r="C11" s="446" t="s">
        <v>354</v>
      </c>
      <c r="D11" s="445" t="s">
        <v>17</v>
      </c>
      <c r="E11" s="446" t="s">
        <v>64</v>
      </c>
      <c r="F11" s="475" t="s">
        <v>1865</v>
      </c>
      <c r="G11" s="476">
        <v>1.6099999999999999</v>
      </c>
      <c r="H11" s="476">
        <v>3</v>
      </c>
    </row>
    <row r="12" spans="1:23" outlineLevel="2">
      <c r="B12" s="477" t="s">
        <v>353</v>
      </c>
      <c r="C12" s="447" t="s">
        <v>354</v>
      </c>
      <c r="D12" s="443" t="s">
        <v>17</v>
      </c>
      <c r="E12" s="447" t="s">
        <v>64</v>
      </c>
      <c r="F12" s="477" t="s">
        <v>235</v>
      </c>
      <c r="G12" s="480">
        <v>0.46</v>
      </c>
      <c r="H12" s="478">
        <v>1</v>
      </c>
    </row>
    <row r="13" spans="1:23" outlineLevel="2">
      <c r="B13" s="477" t="s">
        <v>353</v>
      </c>
      <c r="C13" s="447" t="s">
        <v>354</v>
      </c>
      <c r="D13" s="443" t="s">
        <v>17</v>
      </c>
      <c r="E13" s="447" t="s">
        <v>64</v>
      </c>
      <c r="F13" s="477" t="s">
        <v>236</v>
      </c>
      <c r="G13" s="480">
        <v>0.69</v>
      </c>
      <c r="H13" s="478">
        <v>1</v>
      </c>
    </row>
    <row r="14" spans="1:23" outlineLevel="2">
      <c r="B14" s="477" t="s">
        <v>353</v>
      </c>
      <c r="C14" s="447" t="s">
        <v>354</v>
      </c>
      <c r="D14" s="443" t="s">
        <v>17</v>
      </c>
      <c r="E14" s="447" t="s">
        <v>64</v>
      </c>
      <c r="F14" s="477" t="s">
        <v>32</v>
      </c>
      <c r="G14" s="480">
        <v>0.46</v>
      </c>
      <c r="H14" s="478">
        <v>1</v>
      </c>
    </row>
    <row r="15" spans="1:23" outlineLevel="1">
      <c r="B15" s="475" t="s">
        <v>289</v>
      </c>
      <c r="C15" s="446" t="s">
        <v>29</v>
      </c>
      <c r="D15" s="445" t="s">
        <v>17</v>
      </c>
      <c r="E15" s="446" t="s">
        <v>64</v>
      </c>
      <c r="F15" s="475" t="s">
        <v>1866</v>
      </c>
      <c r="G15" s="476">
        <v>0.61820000000000008</v>
      </c>
      <c r="H15" s="476">
        <v>3</v>
      </c>
    </row>
    <row r="16" spans="1:23" outlineLevel="2">
      <c r="B16" s="477" t="s">
        <v>289</v>
      </c>
      <c r="C16" s="447" t="s">
        <v>29</v>
      </c>
      <c r="D16" s="443" t="s">
        <v>17</v>
      </c>
      <c r="E16" s="447" t="s">
        <v>64</v>
      </c>
      <c r="F16" s="477" t="s">
        <v>284</v>
      </c>
      <c r="G16" s="480">
        <v>0.24728000000000006</v>
      </c>
      <c r="H16" s="478">
        <v>1</v>
      </c>
    </row>
    <row r="17" spans="2:8" outlineLevel="2">
      <c r="B17" s="477" t="s">
        <v>289</v>
      </c>
      <c r="C17" s="447" t="s">
        <v>29</v>
      </c>
      <c r="D17" s="443" t="s">
        <v>17</v>
      </c>
      <c r="E17" s="447" t="s">
        <v>64</v>
      </c>
      <c r="F17" s="477" t="s">
        <v>31</v>
      </c>
      <c r="G17" s="480">
        <v>0.24728000000000006</v>
      </c>
      <c r="H17" s="478">
        <v>1</v>
      </c>
    </row>
    <row r="18" spans="2:8" outlineLevel="2">
      <c r="B18" s="477" t="s">
        <v>289</v>
      </c>
      <c r="C18" s="447" t="s">
        <v>29</v>
      </c>
      <c r="D18" s="443" t="s">
        <v>17</v>
      </c>
      <c r="E18" s="447" t="s">
        <v>64</v>
      </c>
      <c r="F18" s="477" t="s">
        <v>32</v>
      </c>
      <c r="G18" s="480">
        <v>0.12364000000000003</v>
      </c>
      <c r="H18" s="478">
        <v>1</v>
      </c>
    </row>
    <row r="19" spans="2:8" outlineLevel="1">
      <c r="B19" s="475" t="s">
        <v>312</v>
      </c>
      <c r="C19" s="446" t="s">
        <v>312</v>
      </c>
      <c r="D19" s="445" t="s">
        <v>17</v>
      </c>
      <c r="E19" s="446" t="s">
        <v>64</v>
      </c>
      <c r="F19" s="475" t="s">
        <v>1867</v>
      </c>
      <c r="G19" s="476">
        <v>3.6843765000000004</v>
      </c>
      <c r="H19" s="476">
        <v>3</v>
      </c>
    </row>
    <row r="20" spans="2:8" outlineLevel="2">
      <c r="B20" s="477" t="s">
        <v>312</v>
      </c>
      <c r="C20" s="447" t="s">
        <v>312</v>
      </c>
      <c r="D20" s="443" t="s">
        <v>17</v>
      </c>
      <c r="E20" s="447" t="s">
        <v>64</v>
      </c>
      <c r="F20" s="477" t="s">
        <v>284</v>
      </c>
      <c r="G20" s="483">
        <v>1.2281255000000002</v>
      </c>
      <c r="H20" s="478">
        <v>1</v>
      </c>
    </row>
    <row r="21" spans="2:8" outlineLevel="2">
      <c r="B21" s="477" t="s">
        <v>312</v>
      </c>
      <c r="C21" s="447" t="s">
        <v>312</v>
      </c>
      <c r="D21" s="443" t="s">
        <v>17</v>
      </c>
      <c r="E21" s="447" t="s">
        <v>64</v>
      </c>
      <c r="F21" s="477" t="s">
        <v>31</v>
      </c>
      <c r="G21" s="483">
        <v>1.2281255000000002</v>
      </c>
      <c r="H21" s="478">
        <v>1</v>
      </c>
    </row>
    <row r="22" spans="2:8" outlineLevel="2">
      <c r="B22" s="477" t="s">
        <v>312</v>
      </c>
      <c r="C22" s="447" t="s">
        <v>312</v>
      </c>
      <c r="D22" s="443" t="s">
        <v>17</v>
      </c>
      <c r="E22" s="447" t="s">
        <v>64</v>
      </c>
      <c r="F22" s="477" t="s">
        <v>32</v>
      </c>
      <c r="G22" s="483">
        <v>1.2281255</v>
      </c>
      <c r="H22" s="478">
        <v>1</v>
      </c>
    </row>
    <row r="23" spans="2:8" outlineLevel="1">
      <c r="B23" s="475" t="s">
        <v>271</v>
      </c>
      <c r="C23" s="446" t="s">
        <v>271</v>
      </c>
      <c r="D23" s="445" t="s">
        <v>17</v>
      </c>
      <c r="E23" s="446" t="s">
        <v>64</v>
      </c>
      <c r="F23" s="475" t="s">
        <v>1868</v>
      </c>
      <c r="G23" s="476">
        <v>2.7524999999999999</v>
      </c>
      <c r="H23" s="476">
        <v>6</v>
      </c>
    </row>
    <row r="24" spans="2:8" outlineLevel="2">
      <c r="B24" s="477" t="s">
        <v>271</v>
      </c>
      <c r="C24" s="447" t="s">
        <v>271</v>
      </c>
      <c r="D24" s="443" t="s">
        <v>175</v>
      </c>
      <c r="E24" s="447" t="s">
        <v>64</v>
      </c>
      <c r="F24" s="477" t="s">
        <v>316</v>
      </c>
      <c r="G24" s="480">
        <v>0.33750000000000002</v>
      </c>
      <c r="H24" s="478">
        <v>1</v>
      </c>
    </row>
    <row r="25" spans="2:8" outlineLevel="2">
      <c r="B25" s="477" t="s">
        <v>271</v>
      </c>
      <c r="C25" s="447" t="s">
        <v>271</v>
      </c>
      <c r="D25" s="443" t="s">
        <v>175</v>
      </c>
      <c r="E25" s="447" t="s">
        <v>64</v>
      </c>
      <c r="F25" s="477" t="s">
        <v>31</v>
      </c>
      <c r="G25" s="480">
        <v>0.58000000000000007</v>
      </c>
      <c r="H25" s="478">
        <v>1</v>
      </c>
    </row>
    <row r="26" spans="2:8" outlineLevel="2">
      <c r="B26" s="477" t="s">
        <v>271</v>
      </c>
      <c r="C26" s="447" t="s">
        <v>271</v>
      </c>
      <c r="D26" s="443" t="s">
        <v>175</v>
      </c>
      <c r="E26" s="447" t="s">
        <v>64</v>
      </c>
      <c r="F26" s="477" t="s">
        <v>317</v>
      </c>
      <c r="G26" s="480">
        <v>0.58000000000000007</v>
      </c>
      <c r="H26" s="478">
        <v>1</v>
      </c>
    </row>
    <row r="27" spans="2:8" outlineLevel="2">
      <c r="B27" s="477" t="s">
        <v>271</v>
      </c>
      <c r="C27" s="447" t="s">
        <v>271</v>
      </c>
      <c r="D27" s="443" t="s">
        <v>175</v>
      </c>
      <c r="E27" s="447" t="s">
        <v>64</v>
      </c>
      <c r="F27" s="477" t="s">
        <v>318</v>
      </c>
      <c r="G27" s="480">
        <v>0.58000000000000007</v>
      </c>
      <c r="H27" s="478">
        <v>1</v>
      </c>
    </row>
    <row r="28" spans="2:8" outlineLevel="2">
      <c r="B28" s="477" t="s">
        <v>271</v>
      </c>
      <c r="C28" s="447" t="s">
        <v>271</v>
      </c>
      <c r="D28" s="443" t="s">
        <v>175</v>
      </c>
      <c r="E28" s="447" t="s">
        <v>64</v>
      </c>
      <c r="F28" s="477" t="s">
        <v>285</v>
      </c>
      <c r="G28" s="480">
        <v>0.33750000000000002</v>
      </c>
      <c r="H28" s="478">
        <v>1</v>
      </c>
    </row>
    <row r="29" spans="2:8" outlineLevel="2">
      <c r="B29" s="477" t="s">
        <v>271</v>
      </c>
      <c r="C29" s="447" t="s">
        <v>271</v>
      </c>
      <c r="D29" s="443" t="s">
        <v>175</v>
      </c>
      <c r="E29" s="447" t="s">
        <v>64</v>
      </c>
      <c r="F29" s="477" t="s">
        <v>319</v>
      </c>
      <c r="G29" s="480">
        <v>0.33750000000000002</v>
      </c>
      <c r="H29" s="478">
        <v>1</v>
      </c>
    </row>
    <row r="30" spans="2:8" outlineLevel="1">
      <c r="B30" s="475" t="s">
        <v>308</v>
      </c>
      <c r="C30" s="446" t="s">
        <v>308</v>
      </c>
      <c r="D30" s="445" t="s">
        <v>17</v>
      </c>
      <c r="E30" s="446" t="s">
        <v>64</v>
      </c>
      <c r="F30" s="475" t="s">
        <v>1869</v>
      </c>
      <c r="G30" s="476">
        <v>11.053129500000001</v>
      </c>
      <c r="H30" s="476">
        <v>3</v>
      </c>
    </row>
    <row r="31" spans="2:8" outlineLevel="2">
      <c r="B31" s="477" t="s">
        <v>308</v>
      </c>
      <c r="C31" s="447" t="s">
        <v>308</v>
      </c>
      <c r="D31" s="443" t="s">
        <v>17</v>
      </c>
      <c r="E31" s="447" t="s">
        <v>64</v>
      </c>
      <c r="F31" s="477" t="s">
        <v>284</v>
      </c>
      <c r="G31" s="483">
        <v>3.6843765000000008</v>
      </c>
      <c r="H31" s="478">
        <v>1</v>
      </c>
    </row>
    <row r="32" spans="2:8" outlineLevel="2">
      <c r="B32" s="477" t="s">
        <v>308</v>
      </c>
      <c r="C32" s="447" t="s">
        <v>308</v>
      </c>
      <c r="D32" s="443" t="s">
        <v>17</v>
      </c>
      <c r="E32" s="447" t="s">
        <v>64</v>
      </c>
      <c r="F32" s="477" t="s">
        <v>31</v>
      </c>
      <c r="G32" s="483">
        <v>3.6843765000000008</v>
      </c>
      <c r="H32" s="478">
        <v>1</v>
      </c>
    </row>
    <row r="33" spans="2:8" outlineLevel="2">
      <c r="B33" s="477" t="s">
        <v>308</v>
      </c>
      <c r="C33" s="447" t="s">
        <v>308</v>
      </c>
      <c r="D33" s="443" t="s">
        <v>17</v>
      </c>
      <c r="E33" s="447" t="s">
        <v>64</v>
      </c>
      <c r="F33" s="477" t="s">
        <v>32</v>
      </c>
      <c r="G33" s="483">
        <v>3.6843764999999999</v>
      </c>
      <c r="H33" s="478">
        <v>1</v>
      </c>
    </row>
    <row r="34" spans="2:8" outlineLevel="1">
      <c r="B34" s="475" t="s">
        <v>364</v>
      </c>
      <c r="C34" s="446" t="s">
        <v>365</v>
      </c>
      <c r="D34" s="445" t="s">
        <v>17</v>
      </c>
      <c r="E34" s="446" t="s">
        <v>64</v>
      </c>
      <c r="F34" s="475" t="s">
        <v>1870</v>
      </c>
      <c r="G34" s="476">
        <v>3.35</v>
      </c>
      <c r="H34" s="476">
        <v>3</v>
      </c>
    </row>
    <row r="35" spans="2:8" outlineLevel="2">
      <c r="B35" s="477" t="s">
        <v>364</v>
      </c>
      <c r="C35" s="447" t="s">
        <v>365</v>
      </c>
      <c r="D35" s="443" t="s">
        <v>17</v>
      </c>
      <c r="E35" s="447" t="s">
        <v>64</v>
      </c>
      <c r="F35" s="477" t="s">
        <v>368</v>
      </c>
      <c r="G35" s="480">
        <v>1.34</v>
      </c>
      <c r="H35" s="478">
        <v>1</v>
      </c>
    </row>
    <row r="36" spans="2:8" outlineLevel="2">
      <c r="B36" s="477" t="s">
        <v>364</v>
      </c>
      <c r="C36" s="447" t="s">
        <v>365</v>
      </c>
      <c r="D36" s="443" t="s">
        <v>17</v>
      </c>
      <c r="E36" s="447" t="s">
        <v>64</v>
      </c>
      <c r="F36" s="477" t="s">
        <v>292</v>
      </c>
      <c r="G36" s="480">
        <v>1.34</v>
      </c>
      <c r="H36" s="478">
        <v>1</v>
      </c>
    </row>
    <row r="37" spans="2:8" outlineLevel="2">
      <c r="B37" s="477" t="s">
        <v>364</v>
      </c>
      <c r="C37" s="447" t="s">
        <v>365</v>
      </c>
      <c r="D37" s="443" t="s">
        <v>17</v>
      </c>
      <c r="E37" s="447" t="s">
        <v>64</v>
      </c>
      <c r="F37" s="477" t="s">
        <v>32</v>
      </c>
      <c r="G37" s="480">
        <v>0.67</v>
      </c>
      <c r="H37" s="478">
        <v>1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2:W55"/>
  <sheetViews>
    <sheetView zoomScaleNormal="100" workbookViewId="0">
      <pane xSplit="2" ySplit="4" topLeftCell="G5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4140625" defaultRowHeight="13.2" outlineLevelRow="2"/>
  <cols>
    <col min="1" max="1" width="0.5546875" style="373" customWidth="1"/>
    <col min="2" max="2" width="19.44140625" style="373" customWidth="1"/>
    <col min="3" max="3" width="16.33203125" style="373" bestFit="1" customWidth="1"/>
    <col min="4" max="4" width="12.5546875" style="373" customWidth="1"/>
    <col min="5" max="5" width="13.6640625" style="373" bestFit="1" customWidth="1"/>
    <col min="6" max="6" width="47.33203125" style="491" bestFit="1" customWidth="1"/>
    <col min="7" max="8" width="11" style="373" customWidth="1"/>
    <col min="9" max="9" width="0.5546875" style="373" customWidth="1"/>
    <col min="10" max="11" width="9.44140625" style="373"/>
    <col min="12" max="13" width="9.5546875" style="373" bestFit="1" customWidth="1"/>
    <col min="14" max="14" width="7" style="373" bestFit="1" customWidth="1"/>
    <col min="15" max="15" width="8.5546875" style="373" bestFit="1" customWidth="1"/>
    <col min="16" max="16" width="12.5546875" style="373" customWidth="1"/>
    <col min="17" max="17" width="7.5546875" style="373" bestFit="1" customWidth="1"/>
    <col min="18" max="18" width="5.5546875" style="373" bestFit="1" customWidth="1"/>
    <col min="19" max="19" width="9.44140625" style="373" bestFit="1" customWidth="1"/>
    <col min="20" max="23" width="9.44140625" style="373"/>
    <col min="24" max="24" width="9.44140625" style="373" bestFit="1" customWidth="1"/>
    <col min="25" max="16384" width="9.44140625" style="373"/>
  </cols>
  <sheetData>
    <row r="2" spans="1:23" s="416" customFormat="1" ht="17.399999999999999">
      <c r="A2" s="376"/>
      <c r="B2" s="418" t="s">
        <v>1847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3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3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SUM(G6)</f>
        <v>10.209466636198616</v>
      </c>
      <c r="H4" s="434">
        <f>SUM(H6)</f>
        <v>35</v>
      </c>
      <c r="I4" s="374"/>
      <c r="O4" s="449"/>
      <c r="U4" s="373"/>
      <c r="V4" s="373"/>
      <c r="W4" s="373"/>
    </row>
    <row r="5" spans="1:23" ht="3" customHeight="1">
      <c r="A5" s="372"/>
      <c r="B5" s="372"/>
      <c r="C5" s="372"/>
      <c r="D5" s="372"/>
      <c r="E5" s="372"/>
      <c r="F5" s="468"/>
      <c r="G5" s="372"/>
      <c r="H5" s="372"/>
      <c r="I5" s="372"/>
    </row>
    <row r="6" spans="1:23" s="416" customFormat="1" ht="15.6">
      <c r="A6" s="376"/>
      <c r="B6" s="470" t="s">
        <v>177</v>
      </c>
      <c r="C6" s="471"/>
      <c r="D6" s="471"/>
      <c r="E6" s="471"/>
      <c r="F6" s="472"/>
      <c r="G6" s="473">
        <f>SUM(G8,G11,G22,G32,G35,G38,G42,G43,G45,G47,G48,G50,G53)</f>
        <v>10.209466636198616</v>
      </c>
      <c r="H6" s="473">
        <f>SUM(H8,H11,H22,H32,H35,H38,H42,H43,H45,H47,H48,H50,H53)</f>
        <v>35</v>
      </c>
      <c r="I6" s="376"/>
      <c r="L6" s="440"/>
    </row>
    <row r="7" spans="1:23" ht="3" customHeight="1" outlineLevel="1">
      <c r="A7" s="372"/>
      <c r="B7" s="372"/>
      <c r="C7" s="372"/>
      <c r="D7" s="372"/>
      <c r="E7" s="372"/>
      <c r="F7" s="468"/>
      <c r="G7" s="474"/>
      <c r="H7" s="474"/>
      <c r="I7" s="372"/>
    </row>
    <row r="8" spans="1:23" outlineLevel="1">
      <c r="B8" s="390" t="s">
        <v>173</v>
      </c>
      <c r="C8" s="446" t="s">
        <v>173</v>
      </c>
      <c r="D8" s="445" t="s">
        <v>17</v>
      </c>
      <c r="E8" s="446" t="s">
        <v>177</v>
      </c>
      <c r="F8" s="475" t="s">
        <v>1871</v>
      </c>
      <c r="G8" s="476">
        <f>SUM(G9:G10)</f>
        <v>0.309550952606017</v>
      </c>
      <c r="H8" s="476">
        <f>SUM(H9:H10)</f>
        <v>2</v>
      </c>
    </row>
    <row r="9" spans="1:23" outlineLevel="2">
      <c r="B9" s="373" t="s">
        <v>173</v>
      </c>
      <c r="C9" s="447" t="s">
        <v>173</v>
      </c>
      <c r="D9" s="443" t="s">
        <v>17</v>
      </c>
      <c r="E9" s="447" t="s">
        <v>177</v>
      </c>
      <c r="F9" s="477" t="s">
        <v>107</v>
      </c>
      <c r="G9" s="478">
        <v>0.1547754763030085</v>
      </c>
      <c r="H9" s="478">
        <v>1</v>
      </c>
    </row>
    <row r="10" spans="1:23" outlineLevel="2">
      <c r="B10" s="373" t="s">
        <v>173</v>
      </c>
      <c r="C10" s="447" t="s">
        <v>173</v>
      </c>
      <c r="D10" s="443" t="s">
        <v>17</v>
      </c>
      <c r="E10" s="447" t="s">
        <v>177</v>
      </c>
      <c r="F10" s="477" t="s">
        <v>108</v>
      </c>
      <c r="G10" s="478">
        <v>0.1547754763030085</v>
      </c>
      <c r="H10" s="478">
        <v>1</v>
      </c>
    </row>
    <row r="11" spans="1:23" outlineLevel="1">
      <c r="B11" s="390" t="s">
        <v>182</v>
      </c>
      <c r="C11" s="446" t="s">
        <v>182</v>
      </c>
      <c r="D11" s="445" t="s">
        <v>17</v>
      </c>
      <c r="E11" s="446" t="s">
        <v>177</v>
      </c>
      <c r="F11" s="475" t="s">
        <v>1872</v>
      </c>
      <c r="G11" s="476">
        <f>SUM(G12:G21)</f>
        <v>5.8780133279200006</v>
      </c>
      <c r="H11" s="476">
        <f>SUM(H12:H21)</f>
        <v>10</v>
      </c>
    </row>
    <row r="12" spans="1:23" outlineLevel="2">
      <c r="B12" s="373" t="s">
        <v>182</v>
      </c>
      <c r="C12" s="447" t="s">
        <v>182</v>
      </c>
      <c r="D12" s="443" t="s">
        <v>17</v>
      </c>
      <c r="E12" s="447" t="s">
        <v>177</v>
      </c>
      <c r="F12" s="468" t="s">
        <v>184</v>
      </c>
      <c r="G12" s="480">
        <v>0.22115071539599998</v>
      </c>
      <c r="H12" s="478">
        <v>1</v>
      </c>
    </row>
    <row r="13" spans="1:23" outlineLevel="2">
      <c r="B13" s="373" t="s">
        <v>182</v>
      </c>
      <c r="C13" s="447" t="s">
        <v>182</v>
      </c>
      <c r="D13" s="443" t="s">
        <v>17</v>
      </c>
      <c r="E13" s="447" t="s">
        <v>177</v>
      </c>
      <c r="F13" s="468" t="s">
        <v>186</v>
      </c>
      <c r="G13" s="480">
        <v>7.3716905132000007E-2</v>
      </c>
      <c r="H13" s="478">
        <v>1</v>
      </c>
    </row>
    <row r="14" spans="1:23" outlineLevel="2">
      <c r="B14" s="373" t="s">
        <v>182</v>
      </c>
      <c r="C14" s="447" t="s">
        <v>182</v>
      </c>
      <c r="D14" s="443" t="s">
        <v>17</v>
      </c>
      <c r="E14" s="447" t="s">
        <v>177</v>
      </c>
      <c r="F14" s="468" t="s">
        <v>187</v>
      </c>
      <c r="G14" s="480">
        <v>7.3716905132000007E-2</v>
      </c>
      <c r="H14" s="478">
        <v>1</v>
      </c>
    </row>
    <row r="15" spans="1:23" outlineLevel="2">
      <c r="B15" s="373" t="s">
        <v>182</v>
      </c>
      <c r="C15" s="447" t="s">
        <v>182</v>
      </c>
      <c r="D15" s="443" t="s">
        <v>17</v>
      </c>
      <c r="E15" s="447" t="s">
        <v>177</v>
      </c>
      <c r="F15" s="468" t="s">
        <v>190</v>
      </c>
      <c r="G15" s="480">
        <v>6.4031962499999998E-2</v>
      </c>
      <c r="H15" s="478">
        <v>1</v>
      </c>
    </row>
    <row r="16" spans="1:23" outlineLevel="2">
      <c r="B16" s="373" t="s">
        <v>182</v>
      </c>
      <c r="C16" s="447" t="s">
        <v>182</v>
      </c>
      <c r="D16" s="443" t="s">
        <v>17</v>
      </c>
      <c r="E16" s="447" t="s">
        <v>177</v>
      </c>
      <c r="F16" s="468" t="s">
        <v>191</v>
      </c>
      <c r="G16" s="480">
        <v>0.54994955184000005</v>
      </c>
      <c r="H16" s="478">
        <v>1</v>
      </c>
    </row>
    <row r="17" spans="2:8" outlineLevel="2">
      <c r="B17" s="373" t="s">
        <v>182</v>
      </c>
      <c r="C17" s="447" t="s">
        <v>182</v>
      </c>
      <c r="D17" s="443" t="s">
        <v>17</v>
      </c>
      <c r="E17" s="447" t="s">
        <v>177</v>
      </c>
      <c r="F17" s="468" t="s">
        <v>192</v>
      </c>
      <c r="G17" s="480">
        <v>0.27497477592000003</v>
      </c>
      <c r="H17" s="478">
        <v>1</v>
      </c>
    </row>
    <row r="18" spans="2:8" outlineLevel="2">
      <c r="B18" s="373" t="s">
        <v>182</v>
      </c>
      <c r="C18" s="447" t="s">
        <v>182</v>
      </c>
      <c r="D18" s="443" t="s">
        <v>17</v>
      </c>
      <c r="E18" s="447" t="s">
        <v>177</v>
      </c>
      <c r="F18" s="468" t="s">
        <v>193</v>
      </c>
      <c r="G18" s="480">
        <v>2.2352362560000003</v>
      </c>
      <c r="H18" s="478">
        <v>1</v>
      </c>
    </row>
    <row r="19" spans="2:8" outlineLevel="2">
      <c r="B19" s="373" t="s">
        <v>182</v>
      </c>
      <c r="C19" s="447" t="s">
        <v>182</v>
      </c>
      <c r="D19" s="443" t="s">
        <v>17</v>
      </c>
      <c r="E19" s="447" t="s">
        <v>177</v>
      </c>
      <c r="F19" s="468" t="s">
        <v>194</v>
      </c>
      <c r="G19" s="480">
        <v>2.2352362560000003</v>
      </c>
      <c r="H19" s="478">
        <v>1</v>
      </c>
    </row>
    <row r="20" spans="2:8" outlineLevel="2">
      <c r="B20" s="373" t="s">
        <v>182</v>
      </c>
      <c r="C20" s="447" t="s">
        <v>182</v>
      </c>
      <c r="D20" s="443" t="s">
        <v>17</v>
      </c>
      <c r="E20" s="447" t="s">
        <v>177</v>
      </c>
      <c r="F20" s="468" t="s">
        <v>195</v>
      </c>
      <c r="G20" s="480">
        <v>0.1125</v>
      </c>
      <c r="H20" s="478">
        <v>1</v>
      </c>
    </row>
    <row r="21" spans="2:8" outlineLevel="2">
      <c r="B21" s="373" t="s">
        <v>182</v>
      </c>
      <c r="C21" s="447" t="s">
        <v>182</v>
      </c>
      <c r="D21" s="443" t="s">
        <v>17</v>
      </c>
      <c r="E21" s="447" t="s">
        <v>177</v>
      </c>
      <c r="F21" s="468" t="s">
        <v>196</v>
      </c>
      <c r="G21" s="480">
        <v>3.7499999999999999E-2</v>
      </c>
      <c r="H21" s="478">
        <v>1</v>
      </c>
    </row>
    <row r="22" spans="2:8" outlineLevel="1">
      <c r="B22" s="390" t="s">
        <v>222</v>
      </c>
      <c r="C22" s="446" t="s">
        <v>222</v>
      </c>
      <c r="D22" s="445" t="s">
        <v>17</v>
      </c>
      <c r="E22" s="446" t="s">
        <v>177</v>
      </c>
      <c r="F22" s="475" t="s">
        <v>1873</v>
      </c>
      <c r="G22" s="476">
        <f>SUM(G23:G31)</f>
        <v>0.85178143075061052</v>
      </c>
      <c r="H22" s="476">
        <f>SUM(H23:H31)</f>
        <v>9</v>
      </c>
    </row>
    <row r="23" spans="2:8" outlineLevel="2">
      <c r="B23" s="373" t="s">
        <v>222</v>
      </c>
      <c r="C23" s="447" t="s">
        <v>222</v>
      </c>
      <c r="D23" s="443" t="s">
        <v>17</v>
      </c>
      <c r="E23" s="447" t="s">
        <v>177</v>
      </c>
      <c r="F23" s="468" t="s">
        <v>224</v>
      </c>
      <c r="G23" s="480">
        <v>0.25575333042562204</v>
      </c>
      <c r="H23" s="478">
        <v>1</v>
      </c>
    </row>
    <row r="24" spans="2:8" outlineLevel="2">
      <c r="B24" s="373" t="s">
        <v>222</v>
      </c>
      <c r="C24" s="447" t="s">
        <v>222</v>
      </c>
      <c r="D24" s="443" t="s">
        <v>17</v>
      </c>
      <c r="E24" s="447" t="s">
        <v>177</v>
      </c>
      <c r="F24" s="468" t="s">
        <v>178</v>
      </c>
      <c r="G24" s="480">
        <v>8.1564148364617506E-2</v>
      </c>
      <c r="H24" s="478">
        <v>1</v>
      </c>
    </row>
    <row r="25" spans="2:8" outlineLevel="2">
      <c r="B25" s="373" t="s">
        <v>222</v>
      </c>
      <c r="C25" s="447" t="s">
        <v>222</v>
      </c>
      <c r="D25" s="443" t="s">
        <v>17</v>
      </c>
      <c r="E25" s="447" t="s">
        <v>177</v>
      </c>
      <c r="F25" s="468" t="s">
        <v>44</v>
      </c>
      <c r="G25" s="480">
        <v>0.18696938245168926</v>
      </c>
      <c r="H25" s="478">
        <v>1</v>
      </c>
    </row>
    <row r="26" spans="2:8" outlineLevel="2">
      <c r="B26" s="373" t="s">
        <v>222</v>
      </c>
      <c r="C26" s="447" t="s">
        <v>222</v>
      </c>
      <c r="D26" s="443" t="s">
        <v>17</v>
      </c>
      <c r="E26" s="447" t="s">
        <v>177</v>
      </c>
      <c r="F26" s="468" t="s">
        <v>107</v>
      </c>
      <c r="G26" s="480">
        <v>2.7188049454872507E-2</v>
      </c>
      <c r="H26" s="478">
        <v>1</v>
      </c>
    </row>
    <row r="27" spans="2:8" outlineLevel="2">
      <c r="B27" s="373" t="s">
        <v>222</v>
      </c>
      <c r="C27" s="447" t="s">
        <v>222</v>
      </c>
      <c r="D27" s="443" t="s">
        <v>17</v>
      </c>
      <c r="E27" s="447" t="s">
        <v>177</v>
      </c>
      <c r="F27" s="468" t="s">
        <v>65</v>
      </c>
      <c r="G27" s="480">
        <v>0.11218162947101355</v>
      </c>
      <c r="H27" s="478">
        <v>1</v>
      </c>
    </row>
    <row r="28" spans="2:8" outlineLevel="2">
      <c r="B28" s="373" t="s">
        <v>222</v>
      </c>
      <c r="C28" s="447" t="s">
        <v>222</v>
      </c>
      <c r="D28" s="443" t="s">
        <v>17</v>
      </c>
      <c r="E28" s="447" t="s">
        <v>177</v>
      </c>
      <c r="F28" s="468" t="s">
        <v>23</v>
      </c>
      <c r="G28" s="480">
        <v>3.7393876490337853E-2</v>
      </c>
      <c r="H28" s="478">
        <v>1</v>
      </c>
    </row>
    <row r="29" spans="2:8" outlineLevel="2">
      <c r="B29" s="373" t="s">
        <v>222</v>
      </c>
      <c r="C29" s="447" t="s">
        <v>222</v>
      </c>
      <c r="D29" s="443" t="s">
        <v>17</v>
      </c>
      <c r="E29" s="447" t="s">
        <v>177</v>
      </c>
      <c r="F29" s="468" t="s">
        <v>66</v>
      </c>
      <c r="G29" s="480">
        <v>3.7393876490337853E-2</v>
      </c>
      <c r="H29" s="478">
        <v>1</v>
      </c>
    </row>
    <row r="30" spans="2:8" outlineLevel="2">
      <c r="B30" s="373" t="s">
        <v>222</v>
      </c>
      <c r="C30" s="447" t="s">
        <v>222</v>
      </c>
      <c r="D30" s="443" t="s">
        <v>17</v>
      </c>
      <c r="E30" s="447" t="s">
        <v>177</v>
      </c>
      <c r="F30" s="468" t="s">
        <v>24</v>
      </c>
      <c r="G30" s="480">
        <v>2.7188049454872507E-2</v>
      </c>
      <c r="H30" s="478">
        <v>1</v>
      </c>
    </row>
    <row r="31" spans="2:8" outlineLevel="2">
      <c r="B31" s="373" t="s">
        <v>222</v>
      </c>
      <c r="C31" s="447" t="s">
        <v>222</v>
      </c>
      <c r="D31" s="443" t="s">
        <v>17</v>
      </c>
      <c r="E31" s="447" t="s">
        <v>177</v>
      </c>
      <c r="F31" s="468" t="s">
        <v>226</v>
      </c>
      <c r="G31" s="480">
        <v>8.6149088147247421E-2</v>
      </c>
      <c r="H31" s="478">
        <v>1</v>
      </c>
    </row>
    <row r="32" spans="2:8" outlineLevel="1">
      <c r="B32" s="390" t="s">
        <v>233</v>
      </c>
      <c r="C32" s="446" t="s">
        <v>233</v>
      </c>
      <c r="D32" s="445" t="s">
        <v>17</v>
      </c>
      <c r="E32" s="446" t="s">
        <v>177</v>
      </c>
      <c r="F32" s="475" t="s">
        <v>1874</v>
      </c>
      <c r="G32" s="476">
        <f>SUM(G33:G34)</f>
        <v>0.38041780000000003</v>
      </c>
      <c r="H32" s="476">
        <f>SUM(H33:H34)</f>
        <v>2</v>
      </c>
    </row>
    <row r="33" spans="2:8" outlineLevel="2">
      <c r="B33" s="373" t="s">
        <v>233</v>
      </c>
      <c r="C33" s="447" t="s">
        <v>233</v>
      </c>
      <c r="D33" s="443" t="s">
        <v>17</v>
      </c>
      <c r="E33" s="447" t="s">
        <v>177</v>
      </c>
      <c r="F33" s="468" t="s">
        <v>235</v>
      </c>
      <c r="G33" s="480">
        <v>0.15216712000000002</v>
      </c>
      <c r="H33" s="478">
        <v>1</v>
      </c>
    </row>
    <row r="34" spans="2:8" outlineLevel="2">
      <c r="B34" s="373" t="s">
        <v>233</v>
      </c>
      <c r="C34" s="447" t="s">
        <v>233</v>
      </c>
      <c r="D34" s="443" t="s">
        <v>17</v>
      </c>
      <c r="E34" s="447" t="s">
        <v>177</v>
      </c>
      <c r="F34" s="468" t="s">
        <v>236</v>
      </c>
      <c r="G34" s="480">
        <v>0.22825067999999998</v>
      </c>
      <c r="H34" s="478">
        <v>1</v>
      </c>
    </row>
    <row r="35" spans="2:8" outlineLevel="1">
      <c r="B35" s="390" t="s">
        <v>301</v>
      </c>
      <c r="C35" s="446" t="s">
        <v>301</v>
      </c>
      <c r="D35" s="445" t="s">
        <v>17</v>
      </c>
      <c r="E35" s="446" t="s">
        <v>177</v>
      </c>
      <c r="F35" s="475" t="s">
        <v>1858</v>
      </c>
      <c r="G35" s="476">
        <f>SUM(G36:G37)</f>
        <v>0.5132500000000001</v>
      </c>
      <c r="H35" s="476">
        <f>SUM(H36:H37)</f>
        <v>2</v>
      </c>
    </row>
    <row r="36" spans="2:8" outlineLevel="2">
      <c r="B36" s="373" t="s">
        <v>301</v>
      </c>
      <c r="C36" s="447" t="s">
        <v>301</v>
      </c>
      <c r="D36" s="443" t="s">
        <v>17</v>
      </c>
      <c r="E36" s="447" t="s">
        <v>177</v>
      </c>
      <c r="F36" s="482" t="s">
        <v>304</v>
      </c>
      <c r="G36" s="483">
        <v>0.41060000000000008</v>
      </c>
      <c r="H36" s="478">
        <v>1</v>
      </c>
    </row>
    <row r="37" spans="2:8" outlineLevel="2">
      <c r="B37" s="373" t="s">
        <v>301</v>
      </c>
      <c r="C37" s="447" t="s">
        <v>301</v>
      </c>
      <c r="D37" s="443" t="s">
        <v>17</v>
      </c>
      <c r="E37" s="447" t="s">
        <v>177</v>
      </c>
      <c r="F37" s="482" t="s">
        <v>305</v>
      </c>
      <c r="G37" s="483">
        <v>0.10265000000000002</v>
      </c>
      <c r="H37" s="478">
        <v>1</v>
      </c>
    </row>
    <row r="38" spans="2:8" outlineLevel="1">
      <c r="B38" s="390" t="s">
        <v>271</v>
      </c>
      <c r="C38" s="446" t="s">
        <v>271</v>
      </c>
      <c r="D38" s="445" t="s">
        <v>17</v>
      </c>
      <c r="E38" s="446" t="s">
        <v>177</v>
      </c>
      <c r="F38" s="475" t="s">
        <v>1868</v>
      </c>
      <c r="G38" s="476">
        <f>SUM(G39:G41)</f>
        <v>0.28500000000000003</v>
      </c>
      <c r="H38" s="476">
        <f>SUM(H39:H41)</f>
        <v>3</v>
      </c>
    </row>
    <row r="39" spans="2:8" outlineLevel="2">
      <c r="B39" s="373" t="s">
        <v>271</v>
      </c>
      <c r="C39" s="447" t="s">
        <v>271</v>
      </c>
      <c r="D39" s="443" t="s">
        <v>17</v>
      </c>
      <c r="E39" s="447" t="s">
        <v>177</v>
      </c>
      <c r="F39" s="406" t="s">
        <v>286</v>
      </c>
      <c r="G39" s="480">
        <v>9.5000000000000015E-2</v>
      </c>
      <c r="H39" s="478">
        <v>1</v>
      </c>
    </row>
    <row r="40" spans="2:8" outlineLevel="2">
      <c r="B40" s="373" t="s">
        <v>271</v>
      </c>
      <c r="C40" s="447" t="s">
        <v>271</v>
      </c>
      <c r="D40" s="443" t="s">
        <v>17</v>
      </c>
      <c r="E40" s="447" t="s">
        <v>177</v>
      </c>
      <c r="F40" s="406" t="s">
        <v>287</v>
      </c>
      <c r="G40" s="480">
        <v>9.5000000000000015E-2</v>
      </c>
      <c r="H40" s="478">
        <v>1</v>
      </c>
    </row>
    <row r="41" spans="2:8" outlineLevel="2">
      <c r="B41" s="373" t="s">
        <v>271</v>
      </c>
      <c r="C41" s="447" t="s">
        <v>271</v>
      </c>
      <c r="D41" s="443" t="s">
        <v>17</v>
      </c>
      <c r="E41" s="447" t="s">
        <v>177</v>
      </c>
      <c r="F41" s="406" t="s">
        <v>324</v>
      </c>
      <c r="G41" s="480">
        <v>9.5000000000000015E-2</v>
      </c>
      <c r="H41" s="478">
        <v>1</v>
      </c>
    </row>
    <row r="42" spans="2:8" outlineLevel="1">
      <c r="B42" s="390" t="s">
        <v>328</v>
      </c>
      <c r="C42" s="446" t="s">
        <v>121</v>
      </c>
      <c r="D42" s="445" t="s">
        <v>17</v>
      </c>
      <c r="E42" s="446" t="s">
        <v>177</v>
      </c>
      <c r="F42" s="475" t="s">
        <v>1875</v>
      </c>
      <c r="G42" s="476">
        <v>0</v>
      </c>
      <c r="H42" s="476">
        <v>0</v>
      </c>
    </row>
    <row r="43" spans="2:8" outlineLevel="1">
      <c r="B43" s="390" t="s">
        <v>332</v>
      </c>
      <c r="C43" s="446" t="s">
        <v>121</v>
      </c>
      <c r="D43" s="445" t="s">
        <v>17</v>
      </c>
      <c r="E43" s="446" t="s">
        <v>177</v>
      </c>
      <c r="F43" s="475" t="s">
        <v>1876</v>
      </c>
      <c r="G43" s="476">
        <f>SUM(G44)</f>
        <v>8.9136273921988848E-2</v>
      </c>
      <c r="H43" s="476">
        <f>SUM(H44)</f>
        <v>1</v>
      </c>
    </row>
    <row r="44" spans="2:8" outlineLevel="2">
      <c r="B44" s="373" t="s">
        <v>332</v>
      </c>
      <c r="C44" s="447" t="s">
        <v>121</v>
      </c>
      <c r="D44" s="443" t="s">
        <v>17</v>
      </c>
      <c r="E44" s="447" t="s">
        <v>177</v>
      </c>
      <c r="F44" s="468" t="s">
        <v>31</v>
      </c>
      <c r="G44" s="480">
        <v>8.9136273921988848E-2</v>
      </c>
      <c r="H44" s="478">
        <v>1</v>
      </c>
    </row>
    <row r="45" spans="2:8" outlineLevel="1">
      <c r="B45" s="390" t="s">
        <v>335</v>
      </c>
      <c r="C45" s="446" t="s">
        <v>121</v>
      </c>
      <c r="D45" s="445" t="s">
        <v>17</v>
      </c>
      <c r="E45" s="446" t="s">
        <v>177</v>
      </c>
      <c r="F45" s="475" t="s">
        <v>1877</v>
      </c>
      <c r="G45" s="476">
        <f>SUM(G46)</f>
        <v>5.8216850999999993E-2</v>
      </c>
      <c r="H45" s="476">
        <f>SUM(H46)</f>
        <v>1</v>
      </c>
    </row>
    <row r="46" spans="2:8" outlineLevel="2">
      <c r="B46" s="373" t="s">
        <v>335</v>
      </c>
      <c r="C46" s="447" t="s">
        <v>121</v>
      </c>
      <c r="D46" s="443" t="s">
        <v>17</v>
      </c>
      <c r="E46" s="447" t="s">
        <v>177</v>
      </c>
      <c r="F46" s="468" t="s">
        <v>31</v>
      </c>
      <c r="G46" s="480">
        <v>5.8216850999999993E-2</v>
      </c>
      <c r="H46" s="478">
        <v>1</v>
      </c>
    </row>
    <row r="47" spans="2:8" outlineLevel="1">
      <c r="B47" s="390" t="s">
        <v>340</v>
      </c>
      <c r="C47" s="446" t="s">
        <v>121</v>
      </c>
      <c r="D47" s="445" t="s">
        <v>17</v>
      </c>
      <c r="E47" s="446" t="s">
        <v>177</v>
      </c>
      <c r="F47" s="475" t="s">
        <v>1878</v>
      </c>
      <c r="G47" s="476">
        <v>0</v>
      </c>
      <c r="H47" s="476">
        <v>0</v>
      </c>
    </row>
    <row r="48" spans="2:8" outlineLevel="1">
      <c r="B48" s="390" t="s">
        <v>344</v>
      </c>
      <c r="C48" s="446" t="s">
        <v>344</v>
      </c>
      <c r="D48" s="445" t="s">
        <v>17</v>
      </c>
      <c r="E48" s="446" t="s">
        <v>177</v>
      </c>
      <c r="F48" s="475" t="s">
        <v>1879</v>
      </c>
      <c r="G48" s="476">
        <f>SUM(G49)</f>
        <v>1.6141000000000003</v>
      </c>
      <c r="H48" s="476">
        <f>SUM(H49)</f>
        <v>1</v>
      </c>
    </row>
    <row r="49" spans="2:8" outlineLevel="2">
      <c r="B49" s="373" t="s">
        <v>344</v>
      </c>
      <c r="C49" s="447" t="s">
        <v>344</v>
      </c>
      <c r="D49" s="443" t="s">
        <v>17</v>
      </c>
      <c r="E49" s="447" t="s">
        <v>177</v>
      </c>
      <c r="F49" s="468" t="s">
        <v>284</v>
      </c>
      <c r="G49" s="480">
        <v>1.6141000000000003</v>
      </c>
      <c r="H49" s="478">
        <v>1</v>
      </c>
    </row>
    <row r="50" spans="2:8" outlineLevel="1">
      <c r="B50" s="390" t="s">
        <v>281</v>
      </c>
      <c r="C50" s="446" t="s">
        <v>70</v>
      </c>
      <c r="D50" s="445" t="s">
        <v>17</v>
      </c>
      <c r="E50" s="446" t="s">
        <v>177</v>
      </c>
      <c r="F50" s="475" t="s">
        <v>1857</v>
      </c>
      <c r="G50" s="476">
        <f>SUM(G51:G52)</f>
        <v>0.16999999999999998</v>
      </c>
      <c r="H50" s="476">
        <f>SUM(H51:H52)</f>
        <v>2</v>
      </c>
    </row>
    <row r="51" spans="2:8" outlineLevel="2">
      <c r="B51" s="373" t="s">
        <v>281</v>
      </c>
      <c r="C51" s="447" t="s">
        <v>70</v>
      </c>
      <c r="D51" s="443" t="s">
        <v>17</v>
      </c>
      <c r="E51" s="447" t="s">
        <v>177</v>
      </c>
      <c r="F51" s="468" t="s">
        <v>286</v>
      </c>
      <c r="G51" s="480">
        <v>0.11</v>
      </c>
      <c r="H51" s="478">
        <v>1</v>
      </c>
    </row>
    <row r="52" spans="2:8" outlineLevel="2">
      <c r="B52" s="373" t="s">
        <v>281</v>
      </c>
      <c r="C52" s="447" t="s">
        <v>70</v>
      </c>
      <c r="D52" s="443" t="s">
        <v>17</v>
      </c>
      <c r="E52" s="447" t="s">
        <v>177</v>
      </c>
      <c r="F52" s="468" t="s">
        <v>287</v>
      </c>
      <c r="G52" s="480">
        <v>0.06</v>
      </c>
      <c r="H52" s="478">
        <v>1</v>
      </c>
    </row>
    <row r="53" spans="2:8" outlineLevel="1">
      <c r="B53" s="390" t="s">
        <v>364</v>
      </c>
      <c r="C53" s="446" t="s">
        <v>365</v>
      </c>
      <c r="D53" s="445" t="s">
        <v>17</v>
      </c>
      <c r="E53" s="446" t="s">
        <v>177</v>
      </c>
      <c r="F53" s="475" t="s">
        <v>1870</v>
      </c>
      <c r="G53" s="476">
        <f>SUM(G54:G55)</f>
        <v>0.06</v>
      </c>
      <c r="H53" s="476">
        <f>SUM(H54:H55)</f>
        <v>2</v>
      </c>
    </row>
    <row r="54" spans="2:8" outlineLevel="2">
      <c r="B54" s="373" t="s">
        <v>364</v>
      </c>
      <c r="C54" s="447" t="s">
        <v>365</v>
      </c>
      <c r="D54" s="443" t="s">
        <v>17</v>
      </c>
      <c r="E54" s="447" t="s">
        <v>177</v>
      </c>
      <c r="F54" s="406" t="s">
        <v>370</v>
      </c>
      <c r="G54" s="480">
        <v>0.03</v>
      </c>
      <c r="H54" s="478">
        <v>1</v>
      </c>
    </row>
    <row r="55" spans="2:8" outlineLevel="2">
      <c r="B55" s="373" t="s">
        <v>364</v>
      </c>
      <c r="C55" s="447" t="s">
        <v>365</v>
      </c>
      <c r="D55" s="443" t="s">
        <v>17</v>
      </c>
      <c r="E55" s="447" t="s">
        <v>177</v>
      </c>
      <c r="F55" s="406" t="s">
        <v>371</v>
      </c>
      <c r="G55" s="480">
        <v>0.03</v>
      </c>
      <c r="H55" s="478">
        <v>1</v>
      </c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4140625" defaultRowHeight="13.2" outlineLevelRow="2"/>
  <cols>
    <col min="1" max="1" width="0.5546875" style="373" customWidth="1"/>
    <col min="2" max="2" width="25.6640625" style="373" customWidth="1"/>
    <col min="3" max="3" width="18.33203125" style="373" customWidth="1"/>
    <col min="4" max="4" width="12.5546875" style="373" customWidth="1"/>
    <col min="5" max="5" width="13.6640625" style="373" bestFit="1" customWidth="1"/>
    <col min="6" max="6" width="49.33203125" style="491" bestFit="1" customWidth="1"/>
    <col min="7" max="7" width="12.6640625" style="373" bestFit="1" customWidth="1"/>
    <col min="8" max="8" width="11" style="373" customWidth="1"/>
    <col min="9" max="9" width="0.5546875" style="373" customWidth="1"/>
    <col min="10" max="11" width="9.44140625" style="373"/>
    <col min="12" max="13" width="9.5546875" style="373" bestFit="1" customWidth="1"/>
    <col min="14" max="14" width="7" style="373" bestFit="1" customWidth="1"/>
    <col min="15" max="15" width="8.5546875" style="373" bestFit="1" customWidth="1"/>
    <col min="16" max="16" width="12.5546875" style="373" customWidth="1"/>
    <col min="17" max="17" width="7.5546875" style="373" bestFit="1" customWidth="1"/>
    <col min="18" max="18" width="5.5546875" style="373" bestFit="1" customWidth="1"/>
    <col min="19" max="19" width="9.44140625" style="373" bestFit="1" customWidth="1"/>
    <col min="20" max="23" width="9.44140625" style="373"/>
    <col min="24" max="24" width="9.44140625" style="373" bestFit="1" customWidth="1"/>
    <col min="25" max="16384" width="9.44140625" style="373"/>
  </cols>
  <sheetData>
    <row r="1" spans="1:24" ht="17.100000000000001" customHeight="1">
      <c r="A1" s="372"/>
      <c r="B1" s="372"/>
      <c r="C1" s="372"/>
      <c r="D1" s="372"/>
      <c r="E1" s="372"/>
      <c r="F1" s="468"/>
      <c r="G1" s="372"/>
      <c r="H1" s="372"/>
      <c r="I1" s="372"/>
    </row>
    <row r="2" spans="1:24" s="416" customFormat="1" ht="17.399999999999999">
      <c r="A2" s="376"/>
      <c r="B2" s="418" t="s">
        <v>1847</v>
      </c>
      <c r="C2" s="418"/>
      <c r="D2" s="418"/>
      <c r="E2" s="418"/>
      <c r="F2" s="469"/>
      <c r="G2" s="421" t="s">
        <v>1</v>
      </c>
      <c r="H2" s="421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SUM(G7)</f>
        <v>0.85280446699999979</v>
      </c>
      <c r="H4" s="434">
        <f>SUM(H7)</f>
        <v>42</v>
      </c>
      <c r="I4" s="374"/>
      <c r="O4" s="449"/>
      <c r="U4" s="373"/>
      <c r="V4" s="373"/>
      <c r="W4" s="373"/>
    </row>
    <row r="5" spans="1:24" ht="10.35" hidden="1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241</v>
      </c>
      <c r="C7" s="471"/>
      <c r="D7" s="471"/>
      <c r="E7" s="471"/>
      <c r="F7" s="472"/>
      <c r="G7" s="473">
        <f>SUM(G9,G10,G20,G25,G29,G40,G46,G49,G53,G55,G59)</f>
        <v>0.85280446699999979</v>
      </c>
      <c r="H7" s="473">
        <f>SUM(H9,H10,H20,H25,H29,H40,H46,H49,H53,H55,H59)</f>
        <v>42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A9" s="372"/>
      <c r="B9" s="385" t="s">
        <v>240</v>
      </c>
      <c r="C9" s="380" t="s">
        <v>240</v>
      </c>
      <c r="D9" s="525" t="s">
        <v>17</v>
      </c>
      <c r="E9" s="380" t="s">
        <v>241</v>
      </c>
      <c r="F9" s="526" t="s">
        <v>1880</v>
      </c>
      <c r="G9" s="527">
        <v>0</v>
      </c>
      <c r="H9" s="527">
        <v>0</v>
      </c>
      <c r="I9" s="372"/>
    </row>
    <row r="10" spans="1:24" outlineLevel="1">
      <c r="A10" s="372"/>
      <c r="B10" s="385" t="s">
        <v>1881</v>
      </c>
      <c r="C10" s="380" t="s">
        <v>1882</v>
      </c>
      <c r="D10" s="525" t="s">
        <v>17</v>
      </c>
      <c r="E10" s="380" t="s">
        <v>241</v>
      </c>
      <c r="F10" s="526" t="s">
        <v>1883</v>
      </c>
      <c r="G10" s="527">
        <f>SUM(G11:G19)</f>
        <v>0.69534587499999978</v>
      </c>
      <c r="H10" s="527">
        <f>SUM(H11:H19)</f>
        <v>9</v>
      </c>
      <c r="I10" s="372"/>
    </row>
    <row r="11" spans="1:24" outlineLevel="2">
      <c r="A11" s="372"/>
      <c r="B11" s="372" t="s">
        <v>1881</v>
      </c>
      <c r="C11" s="376" t="s">
        <v>1882</v>
      </c>
      <c r="D11" s="528" t="s">
        <v>17</v>
      </c>
      <c r="E11" s="376" t="s">
        <v>241</v>
      </c>
      <c r="F11" s="529" t="s">
        <v>235</v>
      </c>
      <c r="G11" s="530">
        <v>0.15625749999999999</v>
      </c>
      <c r="H11" s="530">
        <v>1</v>
      </c>
      <c r="I11" s="372"/>
    </row>
    <row r="12" spans="1:24" outlineLevel="2">
      <c r="A12" s="372"/>
      <c r="B12" s="372" t="s">
        <v>1881</v>
      </c>
      <c r="C12" s="376" t="s">
        <v>1882</v>
      </c>
      <c r="D12" s="528" t="s">
        <v>17</v>
      </c>
      <c r="E12" s="376" t="s">
        <v>241</v>
      </c>
      <c r="F12" s="529" t="s">
        <v>236</v>
      </c>
      <c r="G12" s="530">
        <v>0.23438624999999996</v>
      </c>
      <c r="H12" s="530">
        <v>1</v>
      </c>
      <c r="I12" s="372"/>
    </row>
    <row r="13" spans="1:24" outlineLevel="2">
      <c r="A13" s="372"/>
      <c r="B13" s="372" t="s">
        <v>1881</v>
      </c>
      <c r="C13" s="376" t="s">
        <v>1882</v>
      </c>
      <c r="D13" s="528" t="s">
        <v>17</v>
      </c>
      <c r="E13" s="376" t="s">
        <v>241</v>
      </c>
      <c r="F13" s="529" t="s">
        <v>32</v>
      </c>
      <c r="G13" s="530">
        <v>0.15625749999999999</v>
      </c>
      <c r="H13" s="530">
        <v>1</v>
      </c>
      <c r="I13" s="372"/>
    </row>
    <row r="14" spans="1:24" outlineLevel="2">
      <c r="A14" s="372"/>
      <c r="B14" s="441" t="s">
        <v>1881</v>
      </c>
      <c r="C14" s="387" t="s">
        <v>1882</v>
      </c>
      <c r="D14" s="531" t="s">
        <v>17</v>
      </c>
      <c r="E14" s="387" t="s">
        <v>241</v>
      </c>
      <c r="F14" s="532" t="s">
        <v>1884</v>
      </c>
      <c r="G14" s="533">
        <v>7.1431999999999995E-2</v>
      </c>
      <c r="H14" s="533">
        <v>1</v>
      </c>
      <c r="I14" s="372"/>
    </row>
    <row r="15" spans="1:24" outlineLevel="2">
      <c r="A15" s="372"/>
      <c r="B15" s="441" t="s">
        <v>1881</v>
      </c>
      <c r="C15" s="387" t="s">
        <v>1882</v>
      </c>
      <c r="D15" s="531" t="s">
        <v>17</v>
      </c>
      <c r="E15" s="387" t="s">
        <v>241</v>
      </c>
      <c r="F15" s="532" t="s">
        <v>1885</v>
      </c>
      <c r="G15" s="533">
        <v>2.009025E-2</v>
      </c>
      <c r="H15" s="533">
        <v>1</v>
      </c>
      <c r="I15" s="372"/>
    </row>
    <row r="16" spans="1:24" outlineLevel="2">
      <c r="A16" s="372"/>
      <c r="B16" s="441" t="s">
        <v>1881</v>
      </c>
      <c r="C16" s="387" t="s">
        <v>1882</v>
      </c>
      <c r="D16" s="531" t="s">
        <v>17</v>
      </c>
      <c r="E16" s="387" t="s">
        <v>241</v>
      </c>
      <c r="F16" s="532" t="s">
        <v>1886</v>
      </c>
      <c r="G16" s="533">
        <v>2.009025E-2</v>
      </c>
      <c r="H16" s="533">
        <v>1</v>
      </c>
      <c r="I16" s="372"/>
    </row>
    <row r="17" spans="1:11" outlineLevel="2">
      <c r="A17" s="372"/>
      <c r="B17" s="441" t="s">
        <v>1881</v>
      </c>
      <c r="C17" s="387" t="s">
        <v>1882</v>
      </c>
      <c r="D17" s="531" t="s">
        <v>17</v>
      </c>
      <c r="E17" s="387" t="s">
        <v>241</v>
      </c>
      <c r="F17" s="532" t="s">
        <v>1887</v>
      </c>
      <c r="G17" s="533">
        <v>1.6741875E-2</v>
      </c>
      <c r="H17" s="533">
        <v>1</v>
      </c>
      <c r="I17" s="372"/>
    </row>
    <row r="18" spans="1:11" outlineLevel="2">
      <c r="A18" s="372"/>
      <c r="B18" s="441" t="s">
        <v>1881</v>
      </c>
      <c r="C18" s="387" t="s">
        <v>1882</v>
      </c>
      <c r="D18" s="531" t="s">
        <v>17</v>
      </c>
      <c r="E18" s="387" t="s">
        <v>241</v>
      </c>
      <c r="F18" s="532" t="s">
        <v>1888</v>
      </c>
      <c r="G18" s="533">
        <v>2.009025E-2</v>
      </c>
      <c r="H18" s="533">
        <v>1</v>
      </c>
      <c r="I18" s="372"/>
    </row>
    <row r="19" spans="1:11" outlineLevel="2">
      <c r="A19" s="372"/>
      <c r="B19" s="372" t="s">
        <v>243</v>
      </c>
      <c r="C19" s="376" t="s">
        <v>243</v>
      </c>
      <c r="D19" s="528" t="s">
        <v>17</v>
      </c>
      <c r="E19" s="376" t="s">
        <v>241</v>
      </c>
      <c r="F19" s="529" t="s">
        <v>1889</v>
      </c>
      <c r="G19" s="530"/>
      <c r="H19" s="530">
        <v>1</v>
      </c>
      <c r="I19" s="372"/>
    </row>
    <row r="20" spans="1:11" outlineLevel="1">
      <c r="A20" s="372"/>
      <c r="B20" s="385" t="s">
        <v>251</v>
      </c>
      <c r="C20" s="380" t="s">
        <v>251</v>
      </c>
      <c r="D20" s="525" t="s">
        <v>17</v>
      </c>
      <c r="E20" s="380" t="s">
        <v>241</v>
      </c>
      <c r="F20" s="526" t="s">
        <v>1890</v>
      </c>
      <c r="G20" s="527">
        <f>SUM(G21:G24)</f>
        <v>4.0000000000000001E-3</v>
      </c>
      <c r="H20" s="527">
        <f>SUM(H21:H24)</f>
        <v>4</v>
      </c>
      <c r="I20" s="372"/>
    </row>
    <row r="21" spans="1:11" outlineLevel="2">
      <c r="A21" s="372"/>
      <c r="B21" s="372" t="s">
        <v>251</v>
      </c>
      <c r="C21" s="376" t="s">
        <v>251</v>
      </c>
      <c r="D21" s="528" t="s">
        <v>17</v>
      </c>
      <c r="E21" s="376" t="s">
        <v>241</v>
      </c>
      <c r="F21" s="529" t="s">
        <v>253</v>
      </c>
      <c r="G21" s="530">
        <v>2.0999999999999999E-3</v>
      </c>
      <c r="H21" s="530">
        <v>1</v>
      </c>
      <c r="I21" s="372"/>
    </row>
    <row r="22" spans="1:11" outlineLevel="2">
      <c r="A22" s="372"/>
      <c r="B22" s="372" t="s">
        <v>251</v>
      </c>
      <c r="C22" s="376" t="s">
        <v>251</v>
      </c>
      <c r="D22" s="528" t="s">
        <v>17</v>
      </c>
      <c r="E22" s="376" t="s">
        <v>241</v>
      </c>
      <c r="F22" s="529" t="s">
        <v>254</v>
      </c>
      <c r="G22" s="530">
        <v>8.7500000000000002E-4</v>
      </c>
      <c r="H22" s="530">
        <v>1</v>
      </c>
      <c r="I22" s="372"/>
    </row>
    <row r="23" spans="1:11" outlineLevel="2">
      <c r="A23" s="372"/>
      <c r="B23" s="372" t="s">
        <v>251</v>
      </c>
      <c r="C23" s="376" t="s">
        <v>251</v>
      </c>
      <c r="D23" s="528" t="s">
        <v>17</v>
      </c>
      <c r="E23" s="376" t="s">
        <v>241</v>
      </c>
      <c r="F23" s="529" t="s">
        <v>255</v>
      </c>
      <c r="G23" s="530">
        <v>5.2499999999999997E-4</v>
      </c>
      <c r="H23" s="530">
        <v>1</v>
      </c>
      <c r="I23" s="372"/>
    </row>
    <row r="24" spans="1:11" outlineLevel="2">
      <c r="A24" s="372"/>
      <c r="B24" s="372" t="s">
        <v>251</v>
      </c>
      <c r="C24" s="376" t="s">
        <v>251</v>
      </c>
      <c r="D24" s="528" t="s">
        <v>17</v>
      </c>
      <c r="E24" s="376" t="s">
        <v>241</v>
      </c>
      <c r="F24" s="529" t="s">
        <v>256</v>
      </c>
      <c r="G24" s="530">
        <v>5.0000000000000001E-4</v>
      </c>
      <c r="H24" s="530">
        <v>1</v>
      </c>
      <c r="I24" s="372"/>
      <c r="K24" s="373" t="s">
        <v>1891</v>
      </c>
    </row>
    <row r="25" spans="1:11" outlineLevel="1">
      <c r="A25" s="372"/>
      <c r="B25" s="385" t="s">
        <v>356</v>
      </c>
      <c r="C25" s="380" t="s">
        <v>356</v>
      </c>
      <c r="D25" s="525" t="s">
        <v>17</v>
      </c>
      <c r="E25" s="380" t="s">
        <v>241</v>
      </c>
      <c r="F25" s="526" t="s">
        <v>1892</v>
      </c>
      <c r="G25" s="527">
        <f>SUM(G26:G28)</f>
        <v>0.153458592</v>
      </c>
      <c r="H25" s="527">
        <f>SUM(H26:H28)</f>
        <v>3</v>
      </c>
      <c r="I25" s="372"/>
    </row>
    <row r="26" spans="1:11" outlineLevel="2">
      <c r="A26" s="372"/>
      <c r="B26" s="372" t="s">
        <v>356</v>
      </c>
      <c r="C26" s="376" t="s">
        <v>356</v>
      </c>
      <c r="D26" s="528" t="s">
        <v>17</v>
      </c>
      <c r="E26" s="376" t="s">
        <v>241</v>
      </c>
      <c r="F26" s="529" t="s">
        <v>235</v>
      </c>
      <c r="G26" s="530">
        <v>4.3845312000000004E-2</v>
      </c>
      <c r="H26" s="530">
        <v>1</v>
      </c>
      <c r="I26" s="372"/>
    </row>
    <row r="27" spans="1:11" outlineLevel="2">
      <c r="A27" s="372"/>
      <c r="B27" s="372" t="s">
        <v>356</v>
      </c>
      <c r="C27" s="376" t="s">
        <v>356</v>
      </c>
      <c r="D27" s="528" t="s">
        <v>17</v>
      </c>
      <c r="E27" s="376" t="s">
        <v>241</v>
      </c>
      <c r="F27" s="529" t="s">
        <v>236</v>
      </c>
      <c r="G27" s="530">
        <v>6.576796800000001E-2</v>
      </c>
      <c r="H27" s="530">
        <v>1</v>
      </c>
      <c r="I27" s="372"/>
    </row>
    <row r="28" spans="1:11" outlineLevel="2">
      <c r="A28" s="372"/>
      <c r="B28" s="372" t="s">
        <v>356</v>
      </c>
      <c r="C28" s="376" t="s">
        <v>356</v>
      </c>
      <c r="D28" s="528" t="s">
        <v>17</v>
      </c>
      <c r="E28" s="376" t="s">
        <v>241</v>
      </c>
      <c r="F28" s="529" t="s">
        <v>32</v>
      </c>
      <c r="G28" s="530">
        <v>4.3845312000000004E-2</v>
      </c>
      <c r="H28" s="530">
        <v>1</v>
      </c>
      <c r="I28" s="372"/>
    </row>
    <row r="29" spans="1:11" outlineLevel="1">
      <c r="A29" s="372"/>
      <c r="B29" s="385" t="s">
        <v>739</v>
      </c>
      <c r="C29" s="385" t="s">
        <v>739</v>
      </c>
      <c r="D29" s="525" t="s">
        <v>17</v>
      </c>
      <c r="E29" s="380" t="s">
        <v>241</v>
      </c>
      <c r="F29" s="526" t="s">
        <v>1893</v>
      </c>
      <c r="G29" s="527">
        <f>SUM(G30:G39)</f>
        <v>0</v>
      </c>
      <c r="H29" s="527">
        <f>SUM(H30:H39)</f>
        <v>10</v>
      </c>
      <c r="I29" s="372"/>
    </row>
    <row r="30" spans="1:11" outlineLevel="2">
      <c r="A30" s="372"/>
      <c r="B30" s="372" t="s">
        <v>739</v>
      </c>
      <c r="C30" s="376" t="s">
        <v>739</v>
      </c>
      <c r="D30" s="528" t="s">
        <v>17</v>
      </c>
      <c r="E30" s="376" t="s">
        <v>241</v>
      </c>
      <c r="F30" s="529" t="s">
        <v>1894</v>
      </c>
      <c r="G30" s="530"/>
      <c r="H30" s="530">
        <v>1</v>
      </c>
      <c r="I30" s="372"/>
    </row>
    <row r="31" spans="1:11" outlineLevel="2">
      <c r="A31" s="372"/>
      <c r="B31" s="372" t="s">
        <v>739</v>
      </c>
      <c r="C31" s="376" t="s">
        <v>739</v>
      </c>
      <c r="D31" s="528" t="s">
        <v>17</v>
      </c>
      <c r="E31" s="376" t="s">
        <v>241</v>
      </c>
      <c r="F31" s="529" t="s">
        <v>1895</v>
      </c>
      <c r="G31" s="530"/>
      <c r="H31" s="530">
        <v>1</v>
      </c>
      <c r="I31" s="372"/>
    </row>
    <row r="32" spans="1:11" outlineLevel="2">
      <c r="A32" s="372"/>
      <c r="B32" s="372" t="s">
        <v>739</v>
      </c>
      <c r="C32" s="376" t="s">
        <v>739</v>
      </c>
      <c r="D32" s="528" t="s">
        <v>17</v>
      </c>
      <c r="E32" s="376" t="s">
        <v>241</v>
      </c>
      <c r="F32" s="529" t="s">
        <v>1896</v>
      </c>
      <c r="G32" s="530"/>
      <c r="H32" s="530">
        <v>1</v>
      </c>
      <c r="I32" s="372"/>
    </row>
    <row r="33" spans="1:9" outlineLevel="2">
      <c r="A33" s="372"/>
      <c r="B33" s="372" t="s">
        <v>739</v>
      </c>
      <c r="C33" s="376" t="s">
        <v>739</v>
      </c>
      <c r="D33" s="528" t="s">
        <v>17</v>
      </c>
      <c r="E33" s="376" t="s">
        <v>241</v>
      </c>
      <c r="F33" s="529" t="s">
        <v>1897</v>
      </c>
      <c r="G33" s="530"/>
      <c r="H33" s="530">
        <v>1</v>
      </c>
      <c r="I33" s="372"/>
    </row>
    <row r="34" spans="1:9" outlineLevel="2">
      <c r="A34" s="372"/>
      <c r="B34" s="372" t="s">
        <v>739</v>
      </c>
      <c r="C34" s="376" t="s">
        <v>739</v>
      </c>
      <c r="D34" s="528" t="s">
        <v>17</v>
      </c>
      <c r="E34" s="376" t="s">
        <v>241</v>
      </c>
      <c r="F34" s="529" t="s">
        <v>1898</v>
      </c>
      <c r="G34" s="530"/>
      <c r="H34" s="530">
        <v>1</v>
      </c>
      <c r="I34" s="372"/>
    </row>
    <row r="35" spans="1:9" outlineLevel="2">
      <c r="A35" s="372"/>
      <c r="B35" s="372" t="s">
        <v>739</v>
      </c>
      <c r="C35" s="376" t="s">
        <v>739</v>
      </c>
      <c r="D35" s="528" t="s">
        <v>17</v>
      </c>
      <c r="E35" s="376" t="s">
        <v>241</v>
      </c>
      <c r="F35" s="529" t="s">
        <v>1899</v>
      </c>
      <c r="G35" s="530"/>
      <c r="H35" s="530">
        <v>1</v>
      </c>
      <c r="I35" s="372"/>
    </row>
    <row r="36" spans="1:9" outlineLevel="2">
      <c r="A36" s="372"/>
      <c r="B36" s="372" t="s">
        <v>739</v>
      </c>
      <c r="C36" s="376" t="s">
        <v>739</v>
      </c>
      <c r="D36" s="528" t="s">
        <v>17</v>
      </c>
      <c r="E36" s="376" t="s">
        <v>241</v>
      </c>
      <c r="F36" s="529" t="s">
        <v>1900</v>
      </c>
      <c r="G36" s="530"/>
      <c r="H36" s="530">
        <v>1</v>
      </c>
      <c r="I36" s="372"/>
    </row>
    <row r="37" spans="1:9" outlineLevel="2">
      <c r="A37" s="372"/>
      <c r="B37" s="372" t="s">
        <v>739</v>
      </c>
      <c r="C37" s="376" t="s">
        <v>739</v>
      </c>
      <c r="D37" s="528" t="s">
        <v>17</v>
      </c>
      <c r="E37" s="376" t="s">
        <v>241</v>
      </c>
      <c r="F37" s="529" t="s">
        <v>1901</v>
      </c>
      <c r="G37" s="530"/>
      <c r="H37" s="530">
        <v>1</v>
      </c>
      <c r="I37" s="372"/>
    </row>
    <row r="38" spans="1:9" outlineLevel="2">
      <c r="A38" s="372"/>
      <c r="B38" s="372" t="s">
        <v>739</v>
      </c>
      <c r="C38" s="376" t="s">
        <v>739</v>
      </c>
      <c r="D38" s="528" t="s">
        <v>17</v>
      </c>
      <c r="E38" s="376" t="s">
        <v>241</v>
      </c>
      <c r="F38" s="529" t="s">
        <v>1902</v>
      </c>
      <c r="G38" s="530"/>
      <c r="H38" s="530">
        <v>1</v>
      </c>
      <c r="I38" s="372"/>
    </row>
    <row r="39" spans="1:9" outlineLevel="2">
      <c r="A39" s="372"/>
      <c r="B39" s="372" t="s">
        <v>739</v>
      </c>
      <c r="C39" s="376" t="s">
        <v>739</v>
      </c>
      <c r="D39" s="528" t="s">
        <v>17</v>
      </c>
      <c r="E39" s="376" t="s">
        <v>241</v>
      </c>
      <c r="F39" s="529" t="s">
        <v>1903</v>
      </c>
      <c r="G39" s="530"/>
      <c r="H39" s="530">
        <v>1</v>
      </c>
      <c r="I39" s="372"/>
    </row>
    <row r="40" spans="1:9" outlineLevel="1">
      <c r="A40" s="372"/>
      <c r="B40" s="534" t="s">
        <v>1904</v>
      </c>
      <c r="C40" s="385" t="s">
        <v>1905</v>
      </c>
      <c r="D40" s="525" t="s">
        <v>17</v>
      </c>
      <c r="E40" s="380" t="s">
        <v>241</v>
      </c>
      <c r="F40" s="526" t="s">
        <v>1906</v>
      </c>
      <c r="G40" s="527">
        <f>SUM(G41:G45)</f>
        <v>0</v>
      </c>
      <c r="H40" s="527">
        <f>SUM(H41:H45)</f>
        <v>5</v>
      </c>
      <c r="I40" s="372"/>
    </row>
    <row r="41" spans="1:9" outlineLevel="2">
      <c r="A41" s="372"/>
      <c r="B41" s="372" t="s">
        <v>1904</v>
      </c>
      <c r="C41" s="376" t="s">
        <v>1905</v>
      </c>
      <c r="D41" s="528" t="s">
        <v>17</v>
      </c>
      <c r="E41" s="376" t="s">
        <v>241</v>
      </c>
      <c r="F41" s="529" t="s">
        <v>1907</v>
      </c>
      <c r="G41" s="530"/>
      <c r="H41" s="530">
        <v>1</v>
      </c>
      <c r="I41" s="372"/>
    </row>
    <row r="42" spans="1:9" outlineLevel="2">
      <c r="A42" s="372"/>
      <c r="B42" s="372" t="s">
        <v>1904</v>
      </c>
      <c r="C42" s="376" t="s">
        <v>1905</v>
      </c>
      <c r="D42" s="528" t="s">
        <v>17</v>
      </c>
      <c r="E42" s="376" t="s">
        <v>241</v>
      </c>
      <c r="F42" s="529" t="s">
        <v>1908</v>
      </c>
      <c r="G42" s="530"/>
      <c r="H42" s="530">
        <v>1</v>
      </c>
      <c r="I42" s="372"/>
    </row>
    <row r="43" spans="1:9" outlineLevel="2">
      <c r="A43" s="372"/>
      <c r="B43" s="372" t="s">
        <v>1904</v>
      </c>
      <c r="C43" s="376" t="s">
        <v>1905</v>
      </c>
      <c r="D43" s="528" t="s">
        <v>17</v>
      </c>
      <c r="E43" s="376" t="s">
        <v>241</v>
      </c>
      <c r="F43" s="529" t="s">
        <v>1909</v>
      </c>
      <c r="G43" s="530"/>
      <c r="H43" s="530">
        <v>1</v>
      </c>
      <c r="I43" s="372"/>
    </row>
    <row r="44" spans="1:9" outlineLevel="2">
      <c r="A44" s="372"/>
      <c r="B44" s="372" t="s">
        <v>1904</v>
      </c>
      <c r="C44" s="376" t="s">
        <v>1905</v>
      </c>
      <c r="D44" s="528" t="s">
        <v>17</v>
      </c>
      <c r="E44" s="376" t="s">
        <v>241</v>
      </c>
      <c r="F44" s="529" t="s">
        <v>1910</v>
      </c>
      <c r="G44" s="530"/>
      <c r="H44" s="530">
        <v>1</v>
      </c>
      <c r="I44" s="372"/>
    </row>
    <row r="45" spans="1:9" outlineLevel="2">
      <c r="A45" s="372"/>
      <c r="B45" s="372" t="s">
        <v>1904</v>
      </c>
      <c r="C45" s="376" t="s">
        <v>1905</v>
      </c>
      <c r="D45" s="528" t="s">
        <v>17</v>
      </c>
      <c r="E45" s="376" t="s">
        <v>241</v>
      </c>
      <c r="F45" s="529" t="s">
        <v>1911</v>
      </c>
      <c r="G45" s="530"/>
      <c r="H45" s="530">
        <v>1</v>
      </c>
      <c r="I45" s="372"/>
    </row>
    <row r="46" spans="1:9" outlineLevel="1">
      <c r="A46" s="372"/>
      <c r="B46" s="385" t="s">
        <v>1912</v>
      </c>
      <c r="C46" s="385" t="s">
        <v>1913</v>
      </c>
      <c r="D46" s="525" t="s">
        <v>17</v>
      </c>
      <c r="E46" s="380" t="s">
        <v>241</v>
      </c>
      <c r="F46" s="526" t="s">
        <v>1912</v>
      </c>
      <c r="G46" s="527">
        <f>SUM(G47:G48)</f>
        <v>0</v>
      </c>
      <c r="H46" s="527">
        <f>SUM(H47:H48)</f>
        <v>2</v>
      </c>
      <c r="I46" s="372"/>
    </row>
    <row r="47" spans="1:9" outlineLevel="2">
      <c r="A47" s="372"/>
      <c r="B47" s="372" t="s">
        <v>1912</v>
      </c>
      <c r="C47" s="372" t="s">
        <v>1913</v>
      </c>
      <c r="D47" s="528" t="s">
        <v>17</v>
      </c>
      <c r="E47" s="376" t="s">
        <v>241</v>
      </c>
      <c r="F47" s="529" t="s">
        <v>284</v>
      </c>
      <c r="G47" s="530"/>
      <c r="H47" s="530">
        <v>1</v>
      </c>
      <c r="I47" s="372"/>
    </row>
    <row r="48" spans="1:9" outlineLevel="2">
      <c r="A48" s="372"/>
      <c r="B48" s="372" t="s">
        <v>1912</v>
      </c>
      <c r="C48" s="372" t="s">
        <v>1913</v>
      </c>
      <c r="D48" s="528" t="s">
        <v>17</v>
      </c>
      <c r="E48" s="376" t="s">
        <v>241</v>
      </c>
      <c r="F48" s="529" t="s">
        <v>31</v>
      </c>
      <c r="G48" s="530"/>
      <c r="H48" s="530">
        <v>1</v>
      </c>
      <c r="I48" s="372"/>
    </row>
    <row r="49" spans="1:9" outlineLevel="1">
      <c r="A49" s="372"/>
      <c r="B49" s="385" t="s">
        <v>1914</v>
      </c>
      <c r="C49" s="534" t="s">
        <v>1179</v>
      </c>
      <c r="D49" s="525" t="s">
        <v>17</v>
      </c>
      <c r="E49" s="380" t="s">
        <v>241</v>
      </c>
      <c r="F49" s="526" t="s">
        <v>1914</v>
      </c>
      <c r="G49" s="527">
        <f>SUM(G50:G52)</f>
        <v>0</v>
      </c>
      <c r="H49" s="527">
        <f>SUM(H50:H52)</f>
        <v>3</v>
      </c>
      <c r="I49" s="372"/>
    </row>
    <row r="50" spans="1:9" outlineLevel="2">
      <c r="A50" s="372"/>
      <c r="B50" s="372" t="s">
        <v>1914</v>
      </c>
      <c r="C50" s="376" t="s">
        <v>1179</v>
      </c>
      <c r="D50" s="528" t="s">
        <v>17</v>
      </c>
      <c r="E50" s="376" t="s">
        <v>241</v>
      </c>
      <c r="F50" s="529" t="s">
        <v>1915</v>
      </c>
      <c r="G50" s="530"/>
      <c r="H50" s="530">
        <v>1</v>
      </c>
      <c r="I50" s="372"/>
    </row>
    <row r="51" spans="1:9" outlineLevel="2">
      <c r="A51" s="372"/>
      <c r="B51" s="372" t="s">
        <v>1914</v>
      </c>
      <c r="C51" s="376" t="s">
        <v>1179</v>
      </c>
      <c r="D51" s="528" t="s">
        <v>17</v>
      </c>
      <c r="E51" s="376" t="s">
        <v>241</v>
      </c>
      <c r="F51" s="529" t="s">
        <v>1916</v>
      </c>
      <c r="G51" s="530"/>
      <c r="H51" s="530">
        <v>1</v>
      </c>
      <c r="I51" s="372"/>
    </row>
    <row r="52" spans="1:9" outlineLevel="2">
      <c r="A52" s="372"/>
      <c r="B52" s="372" t="s">
        <v>1914</v>
      </c>
      <c r="C52" s="376" t="s">
        <v>1179</v>
      </c>
      <c r="D52" s="528" t="s">
        <v>17</v>
      </c>
      <c r="E52" s="376" t="s">
        <v>241</v>
      </c>
      <c r="F52" s="529" t="s">
        <v>1917</v>
      </c>
      <c r="G52" s="530"/>
      <c r="H52" s="530">
        <v>1</v>
      </c>
      <c r="I52" s="372"/>
    </row>
    <row r="53" spans="1:9" outlineLevel="1">
      <c r="A53" s="372"/>
      <c r="B53" s="385" t="s">
        <v>1918</v>
      </c>
      <c r="C53" s="380" t="s">
        <v>1919</v>
      </c>
      <c r="D53" s="525" t="s">
        <v>17</v>
      </c>
      <c r="E53" s="380" t="s">
        <v>241</v>
      </c>
      <c r="F53" s="526" t="s">
        <v>725</v>
      </c>
      <c r="G53" s="527">
        <f>SUM(G54)</f>
        <v>0</v>
      </c>
      <c r="H53" s="527">
        <f>SUM(H54)</f>
        <v>1</v>
      </c>
      <c r="I53" s="372"/>
    </row>
    <row r="54" spans="1:9" outlineLevel="2">
      <c r="A54" s="372"/>
      <c r="B54" s="372" t="s">
        <v>1918</v>
      </c>
      <c r="C54" s="376" t="s">
        <v>1919</v>
      </c>
      <c r="D54" s="528" t="s">
        <v>17</v>
      </c>
      <c r="E54" s="376" t="s">
        <v>241</v>
      </c>
      <c r="F54" s="529" t="s">
        <v>284</v>
      </c>
      <c r="G54" s="530"/>
      <c r="H54" s="530">
        <v>1</v>
      </c>
      <c r="I54" s="372"/>
    </row>
    <row r="55" spans="1:9" outlineLevel="1">
      <c r="A55" s="372"/>
      <c r="B55" s="385" t="s">
        <v>1920</v>
      </c>
      <c r="C55" s="385" t="s">
        <v>1920</v>
      </c>
      <c r="D55" s="525" t="s">
        <v>17</v>
      </c>
      <c r="E55" s="380" t="s">
        <v>241</v>
      </c>
      <c r="F55" s="526" t="s">
        <v>1921</v>
      </c>
      <c r="G55" s="527">
        <f>SUM(G56:G58)</f>
        <v>0</v>
      </c>
      <c r="H55" s="527">
        <f>SUM(H56:H58)</f>
        <v>3</v>
      </c>
      <c r="I55" s="372"/>
    </row>
    <row r="56" spans="1:9" outlineLevel="2">
      <c r="A56" s="372"/>
      <c r="B56" s="372" t="s">
        <v>1920</v>
      </c>
      <c r="C56" s="372" t="s">
        <v>1920</v>
      </c>
      <c r="D56" s="528" t="s">
        <v>17</v>
      </c>
      <c r="E56" s="376" t="s">
        <v>241</v>
      </c>
      <c r="F56" s="529" t="s">
        <v>1922</v>
      </c>
      <c r="G56" s="530"/>
      <c r="H56" s="530">
        <v>1</v>
      </c>
      <c r="I56" s="372"/>
    </row>
    <row r="57" spans="1:9" outlineLevel="2">
      <c r="A57" s="372"/>
      <c r="B57" s="372" t="s">
        <v>1920</v>
      </c>
      <c r="C57" s="372" t="s">
        <v>1920</v>
      </c>
      <c r="D57" s="528" t="s">
        <v>17</v>
      </c>
      <c r="E57" s="376" t="s">
        <v>241</v>
      </c>
      <c r="F57" s="529" t="s">
        <v>1923</v>
      </c>
      <c r="G57" s="530"/>
      <c r="H57" s="530">
        <v>1</v>
      </c>
      <c r="I57" s="372"/>
    </row>
    <row r="58" spans="1:9" outlineLevel="2">
      <c r="A58" s="372"/>
      <c r="B58" s="372" t="s">
        <v>1920</v>
      </c>
      <c r="C58" s="372" t="s">
        <v>1920</v>
      </c>
      <c r="D58" s="528" t="s">
        <v>17</v>
      </c>
      <c r="E58" s="376" t="s">
        <v>241</v>
      </c>
      <c r="F58" s="529" t="s">
        <v>1924</v>
      </c>
      <c r="G58" s="530"/>
      <c r="H58" s="530">
        <v>1</v>
      </c>
      <c r="I58" s="372"/>
    </row>
    <row r="59" spans="1:9" outlineLevel="1">
      <c r="A59" s="372"/>
      <c r="B59" s="385" t="s">
        <v>1925</v>
      </c>
      <c r="C59" s="385" t="s">
        <v>1925</v>
      </c>
      <c r="D59" s="525" t="s">
        <v>17</v>
      </c>
      <c r="E59" s="380" t="s">
        <v>241</v>
      </c>
      <c r="F59" s="526" t="s">
        <v>1926</v>
      </c>
      <c r="G59" s="527">
        <f>SUM(G60:G61)</f>
        <v>0</v>
      </c>
      <c r="H59" s="527">
        <f>SUM(H60:H61)</f>
        <v>2</v>
      </c>
      <c r="I59" s="372"/>
    </row>
    <row r="60" spans="1:9" outlineLevel="2">
      <c r="A60" s="372"/>
      <c r="B60" s="372" t="s">
        <v>1925</v>
      </c>
      <c r="C60" s="372" t="s">
        <v>1925</v>
      </c>
      <c r="D60" s="528" t="s">
        <v>17</v>
      </c>
      <c r="E60" s="376" t="s">
        <v>241</v>
      </c>
      <c r="F60" s="529" t="s">
        <v>284</v>
      </c>
      <c r="G60" s="530"/>
      <c r="H60" s="530">
        <v>1</v>
      </c>
      <c r="I60" s="372"/>
    </row>
    <row r="61" spans="1:9" outlineLevel="2">
      <c r="A61" s="372"/>
      <c r="B61" s="372" t="s">
        <v>1925</v>
      </c>
      <c r="C61" s="372" t="s">
        <v>1925</v>
      </c>
      <c r="D61" s="528" t="s">
        <v>17</v>
      </c>
      <c r="E61" s="376" t="s">
        <v>241</v>
      </c>
      <c r="F61" s="529" t="s">
        <v>31</v>
      </c>
      <c r="G61" s="530"/>
      <c r="H61" s="530">
        <v>1</v>
      </c>
      <c r="I61" s="372"/>
    </row>
    <row r="62" spans="1:9" ht="3" customHeight="1">
      <c r="A62" s="372"/>
      <c r="B62" s="372"/>
      <c r="C62" s="372"/>
      <c r="D62" s="372"/>
      <c r="E62" s="372"/>
      <c r="F62" s="468"/>
      <c r="G62" s="474"/>
      <c r="H62" s="474"/>
      <c r="I62" s="37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2:X15"/>
  <sheetViews>
    <sheetView zoomScaleNormal="100" workbookViewId="0">
      <pane xSplit="2" ySplit="4" topLeftCell="F20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4140625" defaultRowHeight="13.2" outlineLevelRow="1"/>
  <cols>
    <col min="1" max="1" width="0.5546875" style="373" customWidth="1"/>
    <col min="2" max="2" width="19.44140625" style="373" customWidth="1"/>
    <col min="3" max="3" width="16.33203125" style="373" bestFit="1" customWidth="1"/>
    <col min="4" max="4" width="12.5546875" style="373" customWidth="1"/>
    <col min="5" max="5" width="13.6640625" style="373" bestFit="1" customWidth="1"/>
    <col min="6" max="6" width="66.33203125" style="491" bestFit="1" customWidth="1"/>
    <col min="7" max="7" width="12.6640625" style="373" bestFit="1" customWidth="1"/>
    <col min="8" max="8" width="11" style="373" customWidth="1"/>
    <col min="9" max="9" width="0.5546875" style="373" customWidth="1"/>
    <col min="10" max="11" width="9.44140625" style="373"/>
    <col min="12" max="13" width="9.5546875" style="373" bestFit="1" customWidth="1"/>
    <col min="14" max="14" width="7" style="373" bestFit="1" customWidth="1"/>
    <col min="15" max="15" width="8.5546875" style="373" bestFit="1" customWidth="1"/>
    <col min="16" max="16" width="12.5546875" style="373" customWidth="1"/>
    <col min="17" max="17" width="7.5546875" style="373" bestFit="1" customWidth="1"/>
    <col min="18" max="18" width="5.5546875" style="373" bestFit="1" customWidth="1"/>
    <col min="19" max="19" width="9.44140625" style="373" bestFit="1" customWidth="1"/>
    <col min="20" max="23" width="9.44140625" style="373"/>
    <col min="24" max="24" width="9.44140625" style="373" bestFit="1" customWidth="1"/>
    <col min="25" max="16384" width="9.44140625" style="373"/>
  </cols>
  <sheetData>
    <row r="2" spans="1:24" s="416" customFormat="1" ht="17.399999999999999">
      <c r="A2" s="447"/>
      <c r="B2" s="542" t="s">
        <v>1847</v>
      </c>
      <c r="C2" s="542"/>
      <c r="D2" s="542"/>
      <c r="E2" s="542"/>
      <c r="F2" s="543"/>
      <c r="G2" s="544" t="s">
        <v>1</v>
      </c>
      <c r="H2" s="544" t="s">
        <v>6</v>
      </c>
      <c r="I2" s="447"/>
      <c r="L2" s="440"/>
    </row>
    <row r="3" spans="1:24" ht="3" customHeight="1">
      <c r="A3" s="382"/>
      <c r="B3" s="382"/>
      <c r="C3" s="382"/>
      <c r="D3" s="382"/>
      <c r="E3" s="382"/>
      <c r="F3" s="541"/>
      <c r="G3" s="382"/>
      <c r="H3" s="382"/>
      <c r="I3" s="382"/>
    </row>
    <row r="4" spans="1:24" s="375" customFormat="1" ht="15">
      <c r="A4" s="545"/>
      <c r="B4" s="444" t="s">
        <v>7</v>
      </c>
      <c r="C4" s="444" t="s">
        <v>8</v>
      </c>
      <c r="D4" s="444" t="s">
        <v>9</v>
      </c>
      <c r="E4" s="444" t="s">
        <v>10</v>
      </c>
      <c r="F4" s="546" t="s">
        <v>11</v>
      </c>
      <c r="G4" s="547">
        <f>SUM(G7)</f>
        <v>0</v>
      </c>
      <c r="H4" s="547">
        <f>SUM(H7)</f>
        <v>13</v>
      </c>
      <c r="I4" s="545"/>
      <c r="O4" s="449"/>
      <c r="U4" s="373"/>
      <c r="V4" s="373"/>
      <c r="W4" s="373"/>
    </row>
    <row r="5" spans="1:24" ht="10.35" hidden="1" customHeight="1">
      <c r="A5" s="382"/>
      <c r="B5" s="447"/>
      <c r="C5" s="382"/>
      <c r="D5" s="447"/>
      <c r="E5" s="447" t="s">
        <v>12</v>
      </c>
      <c r="F5" s="541"/>
      <c r="G5" s="548"/>
      <c r="H5" s="548"/>
      <c r="I5" s="38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82"/>
      <c r="B6" s="382"/>
      <c r="C6" s="382"/>
      <c r="D6" s="382"/>
      <c r="E6" s="382"/>
      <c r="F6" s="541"/>
      <c r="G6" s="549"/>
      <c r="H6" s="549"/>
      <c r="I6" s="382"/>
    </row>
    <row r="7" spans="1:24" s="416" customFormat="1" ht="15.6">
      <c r="A7" s="447"/>
      <c r="B7" s="550" t="s">
        <v>444</v>
      </c>
      <c r="C7" s="551"/>
      <c r="D7" s="551"/>
      <c r="E7" s="551"/>
      <c r="F7" s="552"/>
      <c r="G7" s="553">
        <f>SUM(G9:G10)</f>
        <v>0</v>
      </c>
      <c r="H7" s="553">
        <f>SUM(H9:H15)</f>
        <v>13</v>
      </c>
      <c r="I7" s="447"/>
      <c r="L7" s="440"/>
    </row>
    <row r="8" spans="1:24" ht="3" customHeight="1" outlineLevel="1">
      <c r="A8" s="382"/>
      <c r="B8" s="382"/>
      <c r="C8" s="382"/>
      <c r="D8" s="382"/>
      <c r="E8" s="382"/>
      <c r="F8" s="541"/>
      <c r="G8" s="549"/>
      <c r="H8" s="549"/>
      <c r="I8" s="382"/>
    </row>
    <row r="9" spans="1:24" outlineLevel="1">
      <c r="A9" s="382"/>
      <c r="B9" s="382" t="s">
        <v>173</v>
      </c>
      <c r="C9" s="447" t="s">
        <v>261</v>
      </c>
      <c r="D9" s="443" t="s">
        <v>17</v>
      </c>
      <c r="E9" s="447" t="s">
        <v>444</v>
      </c>
      <c r="F9" s="477" t="s">
        <v>1839</v>
      </c>
      <c r="G9" s="478"/>
      <c r="H9" s="478">
        <v>6</v>
      </c>
      <c r="I9" s="382"/>
    </row>
    <row r="10" spans="1:24" outlineLevel="1">
      <c r="A10" s="382"/>
      <c r="B10" s="382" t="s">
        <v>265</v>
      </c>
      <c r="C10" s="447" t="s">
        <v>261</v>
      </c>
      <c r="D10" s="443" t="s">
        <v>17</v>
      </c>
      <c r="E10" s="447" t="s">
        <v>444</v>
      </c>
      <c r="F10" s="477" t="s">
        <v>1840</v>
      </c>
      <c r="G10" s="478"/>
      <c r="H10" s="478">
        <v>2</v>
      </c>
      <c r="I10" s="382"/>
    </row>
    <row r="11" spans="1:24" outlineLevel="1">
      <c r="A11" s="382"/>
      <c r="B11" s="382" t="s">
        <v>1927</v>
      </c>
      <c r="C11" s="447" t="s">
        <v>261</v>
      </c>
      <c r="D11" s="443" t="s">
        <v>17</v>
      </c>
      <c r="E11" s="447" t="s">
        <v>444</v>
      </c>
      <c r="F11" s="477" t="s">
        <v>1928</v>
      </c>
      <c r="G11" s="478"/>
      <c r="H11" s="478">
        <v>1</v>
      </c>
      <c r="I11" s="382"/>
    </row>
    <row r="12" spans="1:24" outlineLevel="1">
      <c r="A12" s="382"/>
      <c r="B12" s="382" t="s">
        <v>1927</v>
      </c>
      <c r="C12" s="447" t="s">
        <v>261</v>
      </c>
      <c r="D12" s="443" t="s">
        <v>17</v>
      </c>
      <c r="E12" s="447" t="s">
        <v>444</v>
      </c>
      <c r="F12" s="477" t="s">
        <v>1929</v>
      </c>
      <c r="G12" s="478"/>
      <c r="H12" s="478">
        <v>1</v>
      </c>
      <c r="I12" s="382"/>
    </row>
    <row r="13" spans="1:24" outlineLevel="1">
      <c r="A13" s="382"/>
      <c r="B13" s="382" t="s">
        <v>663</v>
      </c>
      <c r="C13" s="447" t="s">
        <v>261</v>
      </c>
      <c r="D13" s="443" t="s">
        <v>17</v>
      </c>
      <c r="E13" s="447" t="s">
        <v>444</v>
      </c>
      <c r="F13" s="477" t="s">
        <v>1930</v>
      </c>
      <c r="G13" s="478"/>
      <c r="H13" s="478">
        <v>1</v>
      </c>
      <c r="I13" s="382"/>
    </row>
    <row r="14" spans="1:24" outlineLevel="1">
      <c r="A14" s="382"/>
      <c r="B14" s="382" t="s">
        <v>663</v>
      </c>
      <c r="C14" s="447" t="s">
        <v>261</v>
      </c>
      <c r="D14" s="443" t="s">
        <v>17</v>
      </c>
      <c r="E14" s="447" t="s">
        <v>444</v>
      </c>
      <c r="F14" s="477" t="s">
        <v>1931</v>
      </c>
      <c r="G14" s="478"/>
      <c r="H14" s="478">
        <v>1</v>
      </c>
      <c r="I14" s="382"/>
    </row>
    <row r="15" spans="1:24" outlineLevel="1">
      <c r="A15" s="382"/>
      <c r="B15" s="382" t="s">
        <v>1932</v>
      </c>
      <c r="C15" s="447" t="s">
        <v>261</v>
      </c>
      <c r="D15" s="443" t="s">
        <v>17</v>
      </c>
      <c r="E15" s="447" t="s">
        <v>444</v>
      </c>
      <c r="F15" s="477" t="s">
        <v>1933</v>
      </c>
      <c r="G15" s="478"/>
      <c r="H15" s="478">
        <v>1</v>
      </c>
      <c r="I15" s="38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scale="99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2:Y162"/>
  <sheetViews>
    <sheetView zoomScaleNormal="100" workbookViewId="0">
      <pane xSplit="3" ySplit="4" topLeftCell="D144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4140625" defaultRowHeight="13.2" outlineLevelRow="2"/>
  <cols>
    <col min="1" max="1" width="0.5546875" style="373" customWidth="1"/>
    <col min="2" max="2" width="6.44140625" style="373" bestFit="1" customWidth="1"/>
    <col min="3" max="3" width="19.44140625" style="373" customWidth="1"/>
    <col min="4" max="4" width="16.33203125" style="373" bestFit="1" customWidth="1"/>
    <col min="5" max="5" width="12.5546875" style="373" customWidth="1"/>
    <col min="6" max="6" width="13.6640625" style="373" bestFit="1" customWidth="1"/>
    <col min="7" max="7" width="66.33203125" style="491" bestFit="1" customWidth="1"/>
    <col min="8" max="9" width="11" style="373" customWidth="1"/>
    <col min="10" max="10" width="0.5546875" style="373" customWidth="1"/>
    <col min="11" max="12" width="9.44140625" style="373"/>
    <col min="13" max="14" width="9.5546875" style="373" bestFit="1" customWidth="1"/>
    <col min="15" max="15" width="7" style="373" bestFit="1" customWidth="1"/>
    <col min="16" max="16" width="8.5546875" style="373" bestFit="1" customWidth="1"/>
    <col min="17" max="17" width="12.5546875" style="373" customWidth="1"/>
    <col min="18" max="18" width="7.5546875" style="373" bestFit="1" customWidth="1"/>
    <col min="19" max="19" width="5.5546875" style="373" bestFit="1" customWidth="1"/>
    <col min="20" max="20" width="9.44140625" style="373" bestFit="1" customWidth="1"/>
    <col min="21" max="24" width="9.44140625" style="373"/>
    <col min="25" max="25" width="9.44140625" style="373" bestFit="1" customWidth="1"/>
    <col min="26" max="16384" width="9.44140625" style="373"/>
  </cols>
  <sheetData>
    <row r="2" spans="1:25" s="416" customFormat="1" ht="17.399999999999999">
      <c r="A2" s="376"/>
      <c r="B2" s="376"/>
      <c r="C2" s="418" t="s">
        <v>1847</v>
      </c>
      <c r="D2" s="418"/>
      <c r="E2" s="418"/>
      <c r="F2" s="418"/>
      <c r="G2" s="469"/>
      <c r="H2" s="421" t="s">
        <v>1</v>
      </c>
      <c r="I2" s="421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20.955198684521026</v>
      </c>
      <c r="I4" s="434">
        <f>SUM(I7)</f>
        <v>114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1859</v>
      </c>
      <c r="C7" s="470" t="s">
        <v>26</v>
      </c>
      <c r="D7" s="471"/>
      <c r="E7" s="471"/>
      <c r="F7" s="471"/>
      <c r="G7" s="472"/>
      <c r="H7" s="473">
        <f>SUM(H9,H11,H14,H30,H35,H39,H48,H52,H56,H68,H73,H76,H77,H83,H88,H90,H107,H114,H115,H116,H117,H119,H123,H124,H126,H128,H130,H132,H135,H137,H139,H143,H146,H148,H153,H154,H155,H156,H158,H160)</f>
        <v>20.955198684521026</v>
      </c>
      <c r="I7" s="473">
        <f>SUM(I9,I11,I14,I30,I35,I39,I48,I52,I56,I68,I73,I76,I77,I83,I88,I90,I107,I114,I115,I116,I117,I119,I123,I124,I126,I128,I130,I132,I135,I137,I139,I143,I146,I148,I153,I154,I155,I156,I158,I160)</f>
        <v>114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</row>
    <row r="9" spans="1:25" outlineLevel="1">
      <c r="A9" s="372"/>
      <c r="B9" s="372"/>
      <c r="C9" s="385" t="s">
        <v>14</v>
      </c>
      <c r="D9" s="385" t="s">
        <v>18</v>
      </c>
      <c r="E9" s="385" t="s">
        <v>25</v>
      </c>
      <c r="F9" s="385" t="s">
        <v>26</v>
      </c>
      <c r="G9" s="526" t="s">
        <v>1860</v>
      </c>
      <c r="H9" s="535">
        <f>SUM(H10)</f>
        <v>5.2867302539999998E-3</v>
      </c>
      <c r="I9" s="535">
        <f>SUM(I10)</f>
        <v>1</v>
      </c>
      <c r="J9" s="372"/>
    </row>
    <row r="10" spans="1:25" outlineLevel="2">
      <c r="A10" s="372"/>
      <c r="B10" s="372">
        <v>1</v>
      </c>
      <c r="C10" s="372" t="s">
        <v>14</v>
      </c>
      <c r="D10" s="372" t="s">
        <v>18</v>
      </c>
      <c r="E10" s="372" t="s">
        <v>25</v>
      </c>
      <c r="F10" s="372" t="s">
        <v>26</v>
      </c>
      <c r="G10" s="468" t="s">
        <v>21</v>
      </c>
      <c r="H10" s="474">
        <v>5.2867302539999998E-3</v>
      </c>
      <c r="I10" s="474">
        <v>1</v>
      </c>
      <c r="J10" s="372"/>
    </row>
    <row r="11" spans="1:25" outlineLevel="1">
      <c r="A11" s="372"/>
      <c r="B11" s="372"/>
      <c r="C11" s="385" t="s">
        <v>14</v>
      </c>
      <c r="D11" s="385" t="s">
        <v>22</v>
      </c>
      <c r="E11" s="385" t="s">
        <v>25</v>
      </c>
      <c r="F11" s="385" t="s">
        <v>26</v>
      </c>
      <c r="G11" s="526" t="s">
        <v>1860</v>
      </c>
      <c r="H11" s="535">
        <f>SUM(H12:H13)</f>
        <v>1.6064216963956598E-2</v>
      </c>
      <c r="I11" s="535">
        <f>SUM(I12:I13)</f>
        <v>2</v>
      </c>
      <c r="J11" s="372"/>
    </row>
    <row r="12" spans="1:25" outlineLevel="2">
      <c r="A12" s="372"/>
      <c r="B12" s="372">
        <v>1</v>
      </c>
      <c r="C12" s="372" t="s">
        <v>14</v>
      </c>
      <c r="D12" s="372" t="s">
        <v>22</v>
      </c>
      <c r="E12" s="372" t="s">
        <v>25</v>
      </c>
      <c r="F12" s="372" t="s">
        <v>26</v>
      </c>
      <c r="G12" s="468" t="s">
        <v>23</v>
      </c>
      <c r="H12" s="474">
        <v>1.0861267500000001E-2</v>
      </c>
      <c r="I12" s="474">
        <v>1</v>
      </c>
      <c r="J12" s="372"/>
    </row>
    <row r="13" spans="1:25" outlineLevel="2">
      <c r="A13" s="372"/>
      <c r="B13" s="372">
        <v>1</v>
      </c>
      <c r="C13" s="372" t="s">
        <v>14</v>
      </c>
      <c r="D13" s="372" t="s">
        <v>22</v>
      </c>
      <c r="E13" s="372" t="s">
        <v>25</v>
      </c>
      <c r="F13" s="372" t="s">
        <v>26</v>
      </c>
      <c r="G13" s="468" t="s">
        <v>24</v>
      </c>
      <c r="H13" s="474">
        <v>5.2029494639565963E-3</v>
      </c>
      <c r="I13" s="474">
        <v>1</v>
      </c>
      <c r="J13" s="372"/>
    </row>
    <row r="14" spans="1:25" outlineLevel="1">
      <c r="A14" s="372"/>
      <c r="B14" s="372"/>
      <c r="C14" s="385" t="s">
        <v>14</v>
      </c>
      <c r="D14" s="385" t="s">
        <v>29</v>
      </c>
      <c r="E14" s="385" t="s">
        <v>25</v>
      </c>
      <c r="F14" s="385" t="s">
        <v>26</v>
      </c>
      <c r="G14" s="526" t="s">
        <v>1860</v>
      </c>
      <c r="H14" s="535">
        <f>SUM(H15:H29)</f>
        <v>0.35597209492231208</v>
      </c>
      <c r="I14" s="535">
        <f>SUM(I15:I29)</f>
        <v>15</v>
      </c>
      <c r="J14" s="372"/>
    </row>
    <row r="15" spans="1:25" outlineLevel="2">
      <c r="A15" s="372"/>
      <c r="B15" s="372">
        <v>1</v>
      </c>
      <c r="C15" s="372" t="s">
        <v>14</v>
      </c>
      <c r="D15" s="372" t="s">
        <v>29</v>
      </c>
      <c r="E15" s="372" t="s">
        <v>25</v>
      </c>
      <c r="F15" s="372" t="s">
        <v>26</v>
      </c>
      <c r="G15" s="468" t="s">
        <v>31</v>
      </c>
      <c r="H15" s="474">
        <v>9.3421603890201377E-2</v>
      </c>
      <c r="I15" s="474">
        <v>1</v>
      </c>
      <c r="J15" s="372"/>
    </row>
    <row r="16" spans="1:25" outlineLevel="2">
      <c r="A16" s="372"/>
      <c r="B16" s="372">
        <v>1</v>
      </c>
      <c r="C16" s="372" t="s">
        <v>14</v>
      </c>
      <c r="D16" s="372" t="s">
        <v>29</v>
      </c>
      <c r="E16" s="372" t="s">
        <v>25</v>
      </c>
      <c r="F16" s="372" t="s">
        <v>26</v>
      </c>
      <c r="G16" s="468" t="s">
        <v>33</v>
      </c>
      <c r="H16" s="474">
        <v>9.3421603890201377E-2</v>
      </c>
      <c r="I16" s="474">
        <v>1</v>
      </c>
      <c r="J16" s="372"/>
    </row>
    <row r="17" spans="2:9" outlineLevel="2">
      <c r="B17" s="372">
        <v>1</v>
      </c>
      <c r="C17" s="372" t="s">
        <v>14</v>
      </c>
      <c r="D17" s="372" t="s">
        <v>29</v>
      </c>
      <c r="E17" s="372" t="s">
        <v>25</v>
      </c>
      <c r="F17" s="372" t="s">
        <v>26</v>
      </c>
      <c r="G17" s="468" t="s">
        <v>46</v>
      </c>
      <c r="H17" s="474">
        <v>2.1106865436972901E-2</v>
      </c>
      <c r="I17" s="474">
        <v>1</v>
      </c>
    </row>
    <row r="18" spans="2:9" outlineLevel="2">
      <c r="B18" s="372">
        <v>1</v>
      </c>
      <c r="C18" s="372" t="s">
        <v>14</v>
      </c>
      <c r="D18" s="372" t="s">
        <v>29</v>
      </c>
      <c r="E18" s="372" t="s">
        <v>25</v>
      </c>
      <c r="F18" s="372" t="s">
        <v>26</v>
      </c>
      <c r="G18" s="468" t="s">
        <v>47</v>
      </c>
      <c r="H18" s="474">
        <v>3.166029815545935E-2</v>
      </c>
      <c r="I18" s="474">
        <v>1</v>
      </c>
    </row>
    <row r="19" spans="2:9" outlineLevel="2">
      <c r="B19" s="372">
        <v>1</v>
      </c>
      <c r="C19" s="372" t="s">
        <v>14</v>
      </c>
      <c r="D19" s="372" t="s">
        <v>29</v>
      </c>
      <c r="E19" s="372" t="s">
        <v>25</v>
      </c>
      <c r="F19" s="372" t="s">
        <v>26</v>
      </c>
      <c r="G19" s="468" t="s">
        <v>38</v>
      </c>
      <c r="H19" s="474">
        <v>5.2767163592432253E-3</v>
      </c>
      <c r="I19" s="474">
        <v>1</v>
      </c>
    </row>
    <row r="20" spans="2:9" outlineLevel="2">
      <c r="B20" s="372">
        <v>1</v>
      </c>
      <c r="C20" s="372" t="s">
        <v>14</v>
      </c>
      <c r="D20" s="372" t="s">
        <v>29</v>
      </c>
      <c r="E20" s="372" t="s">
        <v>25</v>
      </c>
      <c r="F20" s="372" t="s">
        <v>26</v>
      </c>
      <c r="G20" s="468" t="s">
        <v>48</v>
      </c>
      <c r="H20" s="474">
        <v>2.1106865436972901E-2</v>
      </c>
      <c r="I20" s="474">
        <v>1</v>
      </c>
    </row>
    <row r="21" spans="2:9" outlineLevel="2">
      <c r="B21" s="372">
        <v>1</v>
      </c>
      <c r="C21" s="372" t="s">
        <v>14</v>
      </c>
      <c r="D21" s="372" t="s">
        <v>29</v>
      </c>
      <c r="E21" s="372" t="s">
        <v>25</v>
      </c>
      <c r="F21" s="372" t="s">
        <v>26</v>
      </c>
      <c r="G21" s="468" t="s">
        <v>49</v>
      </c>
      <c r="H21" s="474">
        <v>3.166029815545935E-2</v>
      </c>
      <c r="I21" s="474">
        <v>1</v>
      </c>
    </row>
    <row r="22" spans="2:9" outlineLevel="2">
      <c r="B22" s="372">
        <v>1</v>
      </c>
      <c r="C22" s="372" t="s">
        <v>14</v>
      </c>
      <c r="D22" s="372" t="s">
        <v>29</v>
      </c>
      <c r="E22" s="372" t="s">
        <v>25</v>
      </c>
      <c r="F22" s="372" t="s">
        <v>26</v>
      </c>
      <c r="G22" s="468" t="s">
        <v>40</v>
      </c>
      <c r="H22" s="474">
        <v>5.2767163592432253E-3</v>
      </c>
      <c r="I22" s="474">
        <v>1</v>
      </c>
    </row>
    <row r="23" spans="2:9" outlineLevel="2">
      <c r="B23" s="372">
        <v>1</v>
      </c>
      <c r="C23" s="372" t="s">
        <v>14</v>
      </c>
      <c r="D23" s="372" t="s">
        <v>29</v>
      </c>
      <c r="E23" s="372" t="s">
        <v>25</v>
      </c>
      <c r="F23" s="372" t="s">
        <v>26</v>
      </c>
      <c r="G23" s="468" t="s">
        <v>50</v>
      </c>
      <c r="H23" s="474">
        <v>4.0000000000000001E-3</v>
      </c>
      <c r="I23" s="474">
        <v>1</v>
      </c>
    </row>
    <row r="24" spans="2:9" outlineLevel="2">
      <c r="B24" s="372">
        <v>1</v>
      </c>
      <c r="C24" s="372" t="s">
        <v>14</v>
      </c>
      <c r="D24" s="372" t="s">
        <v>29</v>
      </c>
      <c r="E24" s="372" t="s">
        <v>25</v>
      </c>
      <c r="F24" s="372" t="s">
        <v>26</v>
      </c>
      <c r="G24" s="468" t="s">
        <v>51</v>
      </c>
      <c r="H24" s="474">
        <v>7.0000000000000001E-3</v>
      </c>
      <c r="I24" s="474">
        <v>1</v>
      </c>
    </row>
    <row r="25" spans="2:9" outlineLevel="2">
      <c r="B25" s="372">
        <v>1</v>
      </c>
      <c r="C25" s="372" t="s">
        <v>14</v>
      </c>
      <c r="D25" s="372" t="s">
        <v>29</v>
      </c>
      <c r="E25" s="372" t="s">
        <v>25</v>
      </c>
      <c r="F25" s="372" t="s">
        <v>26</v>
      </c>
      <c r="G25" s="468" t="s">
        <v>41</v>
      </c>
      <c r="H25" s="474">
        <v>1E-3</v>
      </c>
      <c r="I25" s="474">
        <v>1</v>
      </c>
    </row>
    <row r="26" spans="2:9" outlineLevel="2">
      <c r="B26" s="372">
        <v>1</v>
      </c>
      <c r="C26" s="372" t="s">
        <v>14</v>
      </c>
      <c r="D26" s="372" t="s">
        <v>29</v>
      </c>
      <c r="E26" s="372" t="s">
        <v>25</v>
      </c>
      <c r="F26" s="372" t="s">
        <v>26</v>
      </c>
      <c r="G26" s="468" t="s">
        <v>42</v>
      </c>
      <c r="H26" s="474">
        <v>2.3452072707747665E-3</v>
      </c>
      <c r="I26" s="474">
        <v>1</v>
      </c>
    </row>
    <row r="27" spans="2:9" outlineLevel="2">
      <c r="B27" s="372">
        <v>1</v>
      </c>
      <c r="C27" s="372" t="s">
        <v>14</v>
      </c>
      <c r="D27" s="372" t="s">
        <v>29</v>
      </c>
      <c r="E27" s="372" t="s">
        <v>25</v>
      </c>
      <c r="F27" s="372" t="s">
        <v>26</v>
      </c>
      <c r="G27" s="468" t="s">
        <v>52</v>
      </c>
      <c r="H27" s="474">
        <v>1.4071243624648597E-2</v>
      </c>
      <c r="I27" s="474">
        <v>1</v>
      </c>
    </row>
    <row r="28" spans="2:9" outlineLevel="2">
      <c r="B28" s="372">
        <v>1</v>
      </c>
      <c r="C28" s="372" t="s">
        <v>14</v>
      </c>
      <c r="D28" s="372" t="s">
        <v>29</v>
      </c>
      <c r="E28" s="372" t="s">
        <v>25</v>
      </c>
      <c r="F28" s="372" t="s">
        <v>26</v>
      </c>
      <c r="G28" s="468" t="s">
        <v>53</v>
      </c>
      <c r="H28" s="474">
        <v>2.1106865436972894E-2</v>
      </c>
      <c r="I28" s="474">
        <v>1</v>
      </c>
    </row>
    <row r="29" spans="2:9" outlineLevel="2">
      <c r="B29" s="372">
        <v>1</v>
      </c>
      <c r="C29" s="372" t="s">
        <v>14</v>
      </c>
      <c r="D29" s="372" t="s">
        <v>29</v>
      </c>
      <c r="E29" s="372" t="s">
        <v>25</v>
      </c>
      <c r="F29" s="372" t="s">
        <v>26</v>
      </c>
      <c r="G29" s="468" t="s">
        <v>43</v>
      </c>
      <c r="H29" s="474">
        <v>3.5178109061621493E-3</v>
      </c>
      <c r="I29" s="474">
        <v>1</v>
      </c>
    </row>
    <row r="30" spans="2:9" outlineLevel="1">
      <c r="B30" s="372"/>
      <c r="C30" s="385" t="s">
        <v>62</v>
      </c>
      <c r="D30" s="385" t="s">
        <v>63</v>
      </c>
      <c r="E30" s="385" t="s">
        <v>25</v>
      </c>
      <c r="F30" s="385" t="s">
        <v>26</v>
      </c>
      <c r="G30" s="526" t="s">
        <v>1864</v>
      </c>
      <c r="H30" s="535">
        <f>SUM(H31:H34)</f>
        <v>0.41389850293631264</v>
      </c>
      <c r="I30" s="535">
        <f>SUM(I31:I34)</f>
        <v>4</v>
      </c>
    </row>
    <row r="31" spans="2:9" outlineLevel="2">
      <c r="B31" s="372">
        <v>1</v>
      </c>
      <c r="C31" s="372" t="s">
        <v>62</v>
      </c>
      <c r="D31" s="372" t="s">
        <v>63</v>
      </c>
      <c r="E31" s="372" t="s">
        <v>25</v>
      </c>
      <c r="F31" s="372" t="s">
        <v>26</v>
      </c>
      <c r="G31" s="468" t="s">
        <v>67</v>
      </c>
      <c r="H31" s="474">
        <v>0.12911355532138755</v>
      </c>
      <c r="I31" s="474">
        <v>1</v>
      </c>
    </row>
    <row r="32" spans="2:9" outlineLevel="2">
      <c r="B32" s="372">
        <v>1</v>
      </c>
      <c r="C32" s="372" t="s">
        <v>62</v>
      </c>
      <c r="D32" s="372" t="s">
        <v>63</v>
      </c>
      <c r="E32" s="372" t="s">
        <v>25</v>
      </c>
      <c r="F32" s="372" t="s">
        <v>26</v>
      </c>
      <c r="G32" s="468" t="s">
        <v>68</v>
      </c>
      <c r="H32" s="474">
        <v>0.25822711064277509</v>
      </c>
      <c r="I32" s="474">
        <v>1</v>
      </c>
    </row>
    <row r="33" spans="2:9" outlineLevel="2">
      <c r="B33" s="372">
        <v>1</v>
      </c>
      <c r="C33" s="372" t="s">
        <v>62</v>
      </c>
      <c r="D33" s="372" t="s">
        <v>63</v>
      </c>
      <c r="E33" s="372" t="s">
        <v>25</v>
      </c>
      <c r="F33" s="372" t="s">
        <v>26</v>
      </c>
      <c r="G33" s="468" t="s">
        <v>65</v>
      </c>
      <c r="H33" s="474">
        <v>1.4486092893899998E-2</v>
      </c>
      <c r="I33" s="474">
        <v>1</v>
      </c>
    </row>
    <row r="34" spans="2:9" outlineLevel="2">
      <c r="B34" s="372">
        <v>1</v>
      </c>
      <c r="C34" s="372" t="s">
        <v>62</v>
      </c>
      <c r="D34" s="372" t="s">
        <v>63</v>
      </c>
      <c r="E34" s="372" t="s">
        <v>25</v>
      </c>
      <c r="F34" s="372" t="s">
        <v>26</v>
      </c>
      <c r="G34" s="468" t="s">
        <v>23</v>
      </c>
      <c r="H34" s="474">
        <v>1.2071744078249999E-2</v>
      </c>
      <c r="I34" s="474">
        <v>1</v>
      </c>
    </row>
    <row r="35" spans="2:9" outlineLevel="1">
      <c r="B35" s="372"/>
      <c r="C35" s="385" t="s">
        <v>74</v>
      </c>
      <c r="D35" s="385" t="s">
        <v>75</v>
      </c>
      <c r="E35" s="385" t="s">
        <v>25</v>
      </c>
      <c r="F35" s="385" t="s">
        <v>26</v>
      </c>
      <c r="G35" s="526" t="s">
        <v>1861</v>
      </c>
      <c r="H35" s="535">
        <f>SUM(H36:H38)</f>
        <v>0.36</v>
      </c>
      <c r="I35" s="535">
        <f>SUM(I36:I38)</f>
        <v>3</v>
      </c>
    </row>
    <row r="36" spans="2:9" outlineLevel="2">
      <c r="B36" s="372">
        <v>1</v>
      </c>
      <c r="C36" s="372" t="s">
        <v>74</v>
      </c>
      <c r="D36" s="372" t="s">
        <v>75</v>
      </c>
      <c r="E36" s="372" t="s">
        <v>25</v>
      </c>
      <c r="F36" s="372" t="s">
        <v>26</v>
      </c>
      <c r="G36" s="468" t="s">
        <v>86</v>
      </c>
      <c r="H36" s="474">
        <v>0.19</v>
      </c>
      <c r="I36" s="474">
        <v>1</v>
      </c>
    </row>
    <row r="37" spans="2:9" outlineLevel="2">
      <c r="B37" s="372">
        <v>1</v>
      </c>
      <c r="C37" s="372" t="s">
        <v>74</v>
      </c>
      <c r="D37" s="372" t="s">
        <v>75</v>
      </c>
      <c r="E37" s="372" t="s">
        <v>25</v>
      </c>
      <c r="F37" s="372" t="s">
        <v>26</v>
      </c>
      <c r="G37" s="468" t="s">
        <v>87</v>
      </c>
      <c r="H37" s="474">
        <v>0.16</v>
      </c>
      <c r="I37" s="474">
        <v>1</v>
      </c>
    </row>
    <row r="38" spans="2:9" outlineLevel="2">
      <c r="B38" s="372">
        <v>1</v>
      </c>
      <c r="C38" s="372" t="s">
        <v>74</v>
      </c>
      <c r="D38" s="372" t="s">
        <v>75</v>
      </c>
      <c r="E38" s="372" t="s">
        <v>25</v>
      </c>
      <c r="F38" s="372" t="s">
        <v>26</v>
      </c>
      <c r="G38" s="468" t="s">
        <v>88</v>
      </c>
      <c r="H38" s="474">
        <v>0.01</v>
      </c>
      <c r="I38" s="474">
        <v>1</v>
      </c>
    </row>
    <row r="39" spans="2:9" outlineLevel="1">
      <c r="B39" s="372"/>
      <c r="C39" s="385" t="s">
        <v>91</v>
      </c>
      <c r="D39" s="385" t="s">
        <v>92</v>
      </c>
      <c r="E39" s="385" t="s">
        <v>25</v>
      </c>
      <c r="F39" s="385" t="s">
        <v>26</v>
      </c>
      <c r="G39" s="526" t="s">
        <v>1862</v>
      </c>
      <c r="H39" s="535">
        <f>SUM(H40:H47)</f>
        <v>2.1</v>
      </c>
      <c r="I39" s="535">
        <f>SUM(I40:I47)</f>
        <v>8</v>
      </c>
    </row>
    <row r="40" spans="2:9" outlineLevel="2">
      <c r="B40" s="372">
        <v>2</v>
      </c>
      <c r="C40" s="372" t="s">
        <v>91</v>
      </c>
      <c r="D40" s="372" t="s">
        <v>92</v>
      </c>
      <c r="E40" s="372" t="s">
        <v>25</v>
      </c>
      <c r="F40" s="372" t="s">
        <v>26</v>
      </c>
      <c r="G40" s="468" t="s">
        <v>103</v>
      </c>
      <c r="H40" s="474">
        <v>0.2</v>
      </c>
      <c r="I40" s="474">
        <v>1</v>
      </c>
    </row>
    <row r="41" spans="2:9" outlineLevel="2">
      <c r="B41" s="372">
        <v>2</v>
      </c>
      <c r="C41" s="372" t="s">
        <v>91</v>
      </c>
      <c r="D41" s="372" t="s">
        <v>92</v>
      </c>
      <c r="E41" s="372" t="s">
        <v>25</v>
      </c>
      <c r="F41" s="372" t="s">
        <v>26</v>
      </c>
      <c r="G41" s="468" t="s">
        <v>104</v>
      </c>
      <c r="H41" s="474">
        <v>0.4</v>
      </c>
      <c r="I41" s="474">
        <v>1</v>
      </c>
    </row>
    <row r="42" spans="2:9" outlineLevel="2">
      <c r="B42" s="372">
        <v>1</v>
      </c>
      <c r="C42" s="372" t="s">
        <v>91</v>
      </c>
      <c r="D42" s="372" t="s">
        <v>92</v>
      </c>
      <c r="E42" s="372" t="s">
        <v>25</v>
      </c>
      <c r="F42" s="372" t="s">
        <v>26</v>
      </c>
      <c r="G42" s="468" t="s">
        <v>109</v>
      </c>
      <c r="H42" s="474">
        <v>0.32</v>
      </c>
      <c r="I42" s="474">
        <v>1</v>
      </c>
    </row>
    <row r="43" spans="2:9" outlineLevel="2">
      <c r="B43" s="372">
        <v>1</v>
      </c>
      <c r="C43" s="372" t="s">
        <v>91</v>
      </c>
      <c r="D43" s="372" t="s">
        <v>92</v>
      </c>
      <c r="E43" s="372" t="s">
        <v>25</v>
      </c>
      <c r="F43" s="372" t="s">
        <v>26</v>
      </c>
      <c r="G43" s="468" t="s">
        <v>110</v>
      </c>
      <c r="H43" s="474">
        <v>0.32</v>
      </c>
      <c r="I43" s="474">
        <v>1</v>
      </c>
    </row>
    <row r="44" spans="2:9" outlineLevel="2">
      <c r="B44" s="372">
        <v>1</v>
      </c>
      <c r="C44" s="372" t="s">
        <v>91</v>
      </c>
      <c r="D44" s="372" t="s">
        <v>92</v>
      </c>
      <c r="E44" s="372" t="s">
        <v>25</v>
      </c>
      <c r="F44" s="372" t="s">
        <v>26</v>
      </c>
      <c r="G44" s="468" t="s">
        <v>111</v>
      </c>
      <c r="H44" s="474">
        <v>0.43</v>
      </c>
      <c r="I44" s="474">
        <v>1</v>
      </c>
    </row>
    <row r="45" spans="2:9" outlineLevel="2">
      <c r="B45" s="372">
        <v>1</v>
      </c>
      <c r="C45" s="372" t="s">
        <v>91</v>
      </c>
      <c r="D45" s="372" t="s">
        <v>92</v>
      </c>
      <c r="E45" s="372" t="s">
        <v>25</v>
      </c>
      <c r="F45" s="372" t="s">
        <v>26</v>
      </c>
      <c r="G45" s="468" t="s">
        <v>86</v>
      </c>
      <c r="H45" s="474">
        <v>0.02</v>
      </c>
      <c r="I45" s="474">
        <v>1</v>
      </c>
    </row>
    <row r="46" spans="2:9" outlineLevel="2">
      <c r="B46" s="372">
        <v>1</v>
      </c>
      <c r="C46" s="372" t="s">
        <v>91</v>
      </c>
      <c r="D46" s="372" t="s">
        <v>92</v>
      </c>
      <c r="E46" s="372" t="s">
        <v>25</v>
      </c>
      <c r="F46" s="372" t="s">
        <v>26</v>
      </c>
      <c r="G46" s="468" t="s">
        <v>87</v>
      </c>
      <c r="H46" s="474">
        <v>0.01</v>
      </c>
      <c r="I46" s="474">
        <v>1</v>
      </c>
    </row>
    <row r="47" spans="2:9" outlineLevel="2">
      <c r="B47" s="372">
        <v>1</v>
      </c>
      <c r="C47" s="372" t="s">
        <v>91</v>
      </c>
      <c r="D47" s="372" t="s">
        <v>92</v>
      </c>
      <c r="E47" s="372" t="s">
        <v>25</v>
      </c>
      <c r="F47" s="372" t="s">
        <v>26</v>
      </c>
      <c r="G47" s="468" t="s">
        <v>276</v>
      </c>
      <c r="H47" s="474">
        <v>0.4</v>
      </c>
      <c r="I47" s="474">
        <v>1</v>
      </c>
    </row>
    <row r="48" spans="2:9" outlineLevel="1">
      <c r="B48" s="372"/>
      <c r="C48" s="385" t="s">
        <v>120</v>
      </c>
      <c r="D48" s="385" t="s">
        <v>121</v>
      </c>
      <c r="E48" s="385" t="s">
        <v>25</v>
      </c>
      <c r="F48" s="385" t="s">
        <v>26</v>
      </c>
      <c r="G48" s="526" t="s">
        <v>1848</v>
      </c>
      <c r="H48" s="535">
        <f>SUM(H49:H51)</f>
        <v>8.4072167695988034E-2</v>
      </c>
      <c r="I48" s="535">
        <f>SUM(I49:I51)</f>
        <v>3</v>
      </c>
    </row>
    <row r="49" spans="2:9" outlineLevel="2">
      <c r="B49" s="372">
        <v>1</v>
      </c>
      <c r="C49" s="372" t="s">
        <v>120</v>
      </c>
      <c r="D49" s="372" t="s">
        <v>121</v>
      </c>
      <c r="E49" s="372" t="s">
        <v>25</v>
      </c>
      <c r="F49" s="372" t="s">
        <v>26</v>
      </c>
      <c r="G49" s="468" t="s">
        <v>122</v>
      </c>
      <c r="H49" s="474">
        <v>6.0248605439999423E-2</v>
      </c>
      <c r="I49" s="474">
        <v>1</v>
      </c>
    </row>
    <row r="50" spans="2:9" outlineLevel="2">
      <c r="B50" s="372">
        <v>1</v>
      </c>
      <c r="C50" s="372" t="s">
        <v>120</v>
      </c>
      <c r="D50" s="372" t="s">
        <v>121</v>
      </c>
      <c r="E50" s="372" t="s">
        <v>25</v>
      </c>
      <c r="F50" s="372" t="s">
        <v>26</v>
      </c>
      <c r="G50" s="468" t="s">
        <v>123</v>
      </c>
      <c r="H50" s="474">
        <v>1.1911781127994301E-2</v>
      </c>
      <c r="I50" s="474">
        <v>1</v>
      </c>
    </row>
    <row r="51" spans="2:9" outlineLevel="2">
      <c r="B51" s="372">
        <v>1</v>
      </c>
      <c r="C51" s="372" t="s">
        <v>120</v>
      </c>
      <c r="D51" s="372" t="s">
        <v>121</v>
      </c>
      <c r="E51" s="372" t="s">
        <v>25</v>
      </c>
      <c r="F51" s="372" t="s">
        <v>26</v>
      </c>
      <c r="G51" s="468" t="s">
        <v>124</v>
      </c>
      <c r="H51" s="474">
        <v>1.1911781127994301E-2</v>
      </c>
      <c r="I51" s="474">
        <v>1</v>
      </c>
    </row>
    <row r="52" spans="2:9" outlineLevel="1">
      <c r="B52" s="372"/>
      <c r="C52" s="385" t="s">
        <v>125</v>
      </c>
      <c r="D52" s="385" t="s">
        <v>126</v>
      </c>
      <c r="E52" s="385" t="s">
        <v>25</v>
      </c>
      <c r="F52" s="385" t="s">
        <v>26</v>
      </c>
      <c r="G52" s="526" t="s">
        <v>1849</v>
      </c>
      <c r="H52" s="535">
        <f>SUM(H53:H55)</f>
        <v>0.16918995130000003</v>
      </c>
      <c r="I52" s="535">
        <f>SUM(I53:I55)</f>
        <v>3</v>
      </c>
    </row>
    <row r="53" spans="2:9" outlineLevel="2">
      <c r="B53" s="372">
        <v>1</v>
      </c>
      <c r="C53" s="372" t="s">
        <v>125</v>
      </c>
      <c r="D53" s="372" t="s">
        <v>126</v>
      </c>
      <c r="E53" s="372" t="s">
        <v>25</v>
      </c>
      <c r="F53" s="372" t="s">
        <v>26</v>
      </c>
      <c r="G53" s="468" t="s">
        <v>128</v>
      </c>
      <c r="H53" s="474">
        <v>7.0000000000000007E-2</v>
      </c>
      <c r="I53" s="474">
        <v>1</v>
      </c>
    </row>
    <row r="54" spans="2:9" outlineLevel="2">
      <c r="B54" s="372">
        <v>1</v>
      </c>
      <c r="C54" s="372" t="s">
        <v>125</v>
      </c>
      <c r="D54" s="372" t="s">
        <v>126</v>
      </c>
      <c r="E54" s="372" t="s">
        <v>25</v>
      </c>
      <c r="F54" s="372" t="s">
        <v>26</v>
      </c>
      <c r="G54" s="468" t="s">
        <v>122</v>
      </c>
      <c r="H54" s="474">
        <v>5.4103609800000001E-2</v>
      </c>
      <c r="I54" s="474">
        <v>1</v>
      </c>
    </row>
    <row r="55" spans="2:9" outlineLevel="2">
      <c r="B55" s="372">
        <v>1</v>
      </c>
      <c r="C55" s="372" t="s">
        <v>125</v>
      </c>
      <c r="D55" s="372" t="s">
        <v>126</v>
      </c>
      <c r="E55" s="372" t="s">
        <v>25</v>
      </c>
      <c r="F55" s="372" t="s">
        <v>26</v>
      </c>
      <c r="G55" s="468" t="s">
        <v>129</v>
      </c>
      <c r="H55" s="474">
        <v>4.5086341500000002E-2</v>
      </c>
      <c r="I55" s="474">
        <v>1</v>
      </c>
    </row>
    <row r="56" spans="2:9" outlineLevel="1">
      <c r="B56" s="372"/>
      <c r="C56" s="385" t="s">
        <v>130</v>
      </c>
      <c r="D56" s="385" t="s">
        <v>131</v>
      </c>
      <c r="E56" s="385" t="s">
        <v>25</v>
      </c>
      <c r="F56" s="385" t="s">
        <v>26</v>
      </c>
      <c r="G56" s="526" t="s">
        <v>1850</v>
      </c>
      <c r="H56" s="535">
        <f>SUM(H57:H67)</f>
        <v>1.1200000000000001</v>
      </c>
      <c r="I56" s="535">
        <f>SUM(I57:I67)</f>
        <v>11</v>
      </c>
    </row>
    <row r="57" spans="2:9" outlineLevel="2">
      <c r="B57" s="372">
        <v>1</v>
      </c>
      <c r="C57" s="372" t="s">
        <v>130</v>
      </c>
      <c r="D57" s="372" t="s">
        <v>131</v>
      </c>
      <c r="E57" s="372" t="s">
        <v>25</v>
      </c>
      <c r="F57" s="372" t="s">
        <v>26</v>
      </c>
      <c r="G57" s="468" t="s">
        <v>147</v>
      </c>
      <c r="H57" s="474">
        <v>7.0000000000000007E-2</v>
      </c>
      <c r="I57" s="474">
        <v>1</v>
      </c>
    </row>
    <row r="58" spans="2:9" outlineLevel="2">
      <c r="B58" s="372">
        <v>1</v>
      </c>
      <c r="C58" s="372" t="s">
        <v>130</v>
      </c>
      <c r="D58" s="372" t="s">
        <v>131</v>
      </c>
      <c r="E58" s="372" t="s">
        <v>25</v>
      </c>
      <c r="F58" s="372" t="s">
        <v>26</v>
      </c>
      <c r="G58" s="468" t="s">
        <v>148</v>
      </c>
      <c r="H58" s="474">
        <v>7.0000000000000007E-2</v>
      </c>
      <c r="I58" s="474">
        <v>1</v>
      </c>
    </row>
    <row r="59" spans="2:9" outlineLevel="2">
      <c r="B59" s="372">
        <v>1</v>
      </c>
      <c r="C59" s="372" t="s">
        <v>130</v>
      </c>
      <c r="D59" s="372" t="s">
        <v>131</v>
      </c>
      <c r="E59" s="372" t="s">
        <v>25</v>
      </c>
      <c r="F59" s="372" t="s">
        <v>26</v>
      </c>
      <c r="G59" s="468" t="s">
        <v>149</v>
      </c>
      <c r="H59" s="474">
        <v>7.0000000000000007E-2</v>
      </c>
      <c r="I59" s="474">
        <v>1</v>
      </c>
    </row>
    <row r="60" spans="2:9" outlineLevel="2">
      <c r="B60" s="372">
        <v>1</v>
      </c>
      <c r="C60" s="372" t="s">
        <v>130</v>
      </c>
      <c r="D60" s="372" t="s">
        <v>131</v>
      </c>
      <c r="E60" s="372" t="s">
        <v>25</v>
      </c>
      <c r="F60" s="372" t="s">
        <v>26</v>
      </c>
      <c r="G60" s="468" t="s">
        <v>150</v>
      </c>
      <c r="H60" s="474">
        <v>7.0000000000000007E-2</v>
      </c>
      <c r="I60" s="474">
        <v>1</v>
      </c>
    </row>
    <row r="61" spans="2:9" outlineLevel="2">
      <c r="B61" s="372">
        <v>1</v>
      </c>
      <c r="C61" s="372" t="s">
        <v>130</v>
      </c>
      <c r="D61" s="372" t="s">
        <v>131</v>
      </c>
      <c r="E61" s="372" t="s">
        <v>25</v>
      </c>
      <c r="F61" s="372" t="s">
        <v>26</v>
      </c>
      <c r="G61" s="468" t="s">
        <v>151</v>
      </c>
      <c r="H61" s="474">
        <v>7.0000000000000007E-2</v>
      </c>
      <c r="I61" s="474">
        <v>1</v>
      </c>
    </row>
    <row r="62" spans="2:9" outlineLevel="2">
      <c r="B62" s="372">
        <v>1</v>
      </c>
      <c r="C62" s="372" t="s">
        <v>130</v>
      </c>
      <c r="D62" s="372" t="s">
        <v>131</v>
      </c>
      <c r="E62" s="372" t="s">
        <v>25</v>
      </c>
      <c r="F62" s="372" t="s">
        <v>26</v>
      </c>
      <c r="G62" s="468" t="s">
        <v>152</v>
      </c>
      <c r="H62" s="474">
        <v>7.0000000000000007E-2</v>
      </c>
      <c r="I62" s="474">
        <v>1</v>
      </c>
    </row>
    <row r="63" spans="2:9" outlineLevel="2">
      <c r="B63" s="372">
        <v>1</v>
      </c>
      <c r="C63" s="372" t="s">
        <v>130</v>
      </c>
      <c r="D63" s="372" t="s">
        <v>131</v>
      </c>
      <c r="E63" s="372" t="s">
        <v>25</v>
      </c>
      <c r="F63" s="372" t="s">
        <v>26</v>
      </c>
      <c r="G63" s="468" t="s">
        <v>153</v>
      </c>
      <c r="H63" s="474">
        <v>0.13</v>
      </c>
      <c r="I63" s="474">
        <v>1</v>
      </c>
    </row>
    <row r="64" spans="2:9" outlineLevel="2">
      <c r="B64" s="372">
        <v>1</v>
      </c>
      <c r="C64" s="372" t="s">
        <v>130</v>
      </c>
      <c r="D64" s="372" t="s">
        <v>131</v>
      </c>
      <c r="E64" s="372" t="s">
        <v>25</v>
      </c>
      <c r="F64" s="372" t="s">
        <v>26</v>
      </c>
      <c r="G64" s="468" t="s">
        <v>154</v>
      </c>
      <c r="H64" s="474">
        <v>0.18</v>
      </c>
      <c r="I64" s="474">
        <v>1</v>
      </c>
    </row>
    <row r="65" spans="2:9" outlineLevel="2">
      <c r="B65" s="372">
        <v>1</v>
      </c>
      <c r="C65" s="372" t="s">
        <v>130</v>
      </c>
      <c r="D65" s="372" t="s">
        <v>131</v>
      </c>
      <c r="E65" s="372" t="s">
        <v>25</v>
      </c>
      <c r="F65" s="372" t="s">
        <v>26</v>
      </c>
      <c r="G65" s="468" t="s">
        <v>155</v>
      </c>
      <c r="H65" s="474">
        <v>0.13</v>
      </c>
      <c r="I65" s="474">
        <v>1</v>
      </c>
    </row>
    <row r="66" spans="2:9" outlineLevel="2">
      <c r="B66" s="372">
        <v>1</v>
      </c>
      <c r="C66" s="372" t="s">
        <v>130</v>
      </c>
      <c r="D66" s="372" t="s">
        <v>131</v>
      </c>
      <c r="E66" s="372" t="s">
        <v>25</v>
      </c>
      <c r="F66" s="372" t="s">
        <v>26</v>
      </c>
      <c r="G66" s="468" t="s">
        <v>156</v>
      </c>
      <c r="H66" s="474">
        <v>0.13</v>
      </c>
      <c r="I66" s="474">
        <v>1</v>
      </c>
    </row>
    <row r="67" spans="2:9" outlineLevel="2">
      <c r="B67" s="372">
        <v>1</v>
      </c>
      <c r="C67" s="372" t="s">
        <v>130</v>
      </c>
      <c r="D67" s="372" t="s">
        <v>131</v>
      </c>
      <c r="E67" s="372" t="s">
        <v>25</v>
      </c>
      <c r="F67" s="372" t="s">
        <v>26</v>
      </c>
      <c r="G67" s="468" t="s">
        <v>143</v>
      </c>
      <c r="H67" s="474">
        <v>0.13</v>
      </c>
      <c r="I67" s="474">
        <v>1</v>
      </c>
    </row>
    <row r="68" spans="2:9" outlineLevel="1">
      <c r="B68" s="372"/>
      <c r="C68" s="385" t="s">
        <v>160</v>
      </c>
      <c r="D68" s="385" t="s">
        <v>22</v>
      </c>
      <c r="E68" s="385" t="s">
        <v>25</v>
      </c>
      <c r="F68" s="385" t="s">
        <v>26</v>
      </c>
      <c r="G68" s="526" t="s">
        <v>1851</v>
      </c>
      <c r="H68" s="535">
        <f>SUM(H69:H72)</f>
        <v>0.28480034280014982</v>
      </c>
      <c r="I68" s="535">
        <f>SUM(I69:I72)</f>
        <v>4</v>
      </c>
    </row>
    <row r="69" spans="2:9" outlineLevel="2">
      <c r="B69" s="372">
        <v>2</v>
      </c>
      <c r="C69" s="372" t="s">
        <v>160</v>
      </c>
      <c r="D69" s="372" t="s">
        <v>22</v>
      </c>
      <c r="E69" s="372" t="s">
        <v>25</v>
      </c>
      <c r="F69" s="372" t="s">
        <v>26</v>
      </c>
      <c r="G69" s="468" t="s">
        <v>166</v>
      </c>
      <c r="H69" s="474">
        <v>9.7617811500000009E-3</v>
      </c>
      <c r="I69" s="474">
        <v>1</v>
      </c>
    </row>
    <row r="70" spans="2:9" outlineLevel="2">
      <c r="B70" s="372">
        <v>2</v>
      </c>
      <c r="C70" s="372" t="s">
        <v>160</v>
      </c>
      <c r="D70" s="372" t="s">
        <v>22</v>
      </c>
      <c r="E70" s="372" t="s">
        <v>25</v>
      </c>
      <c r="F70" s="372" t="s">
        <v>26</v>
      </c>
      <c r="G70" s="468" t="s">
        <v>163</v>
      </c>
      <c r="H70" s="474">
        <v>3.9047124600000004E-2</v>
      </c>
      <c r="I70" s="474">
        <v>1</v>
      </c>
    </row>
    <row r="71" spans="2:9" outlineLevel="2">
      <c r="B71" s="372">
        <v>2</v>
      </c>
      <c r="C71" s="372" t="s">
        <v>160</v>
      </c>
      <c r="D71" s="372" t="s">
        <v>22</v>
      </c>
      <c r="E71" s="372" t="s">
        <v>25</v>
      </c>
      <c r="F71" s="372" t="s">
        <v>26</v>
      </c>
      <c r="G71" s="468" t="s">
        <v>164</v>
      </c>
      <c r="H71" s="474">
        <v>0.11799571852507491</v>
      </c>
      <c r="I71" s="474">
        <v>1</v>
      </c>
    </row>
    <row r="72" spans="2:9" outlineLevel="2">
      <c r="B72" s="372">
        <v>2</v>
      </c>
      <c r="C72" s="372" t="s">
        <v>160</v>
      </c>
      <c r="D72" s="372" t="s">
        <v>22</v>
      </c>
      <c r="E72" s="372" t="s">
        <v>25</v>
      </c>
      <c r="F72" s="372" t="s">
        <v>26</v>
      </c>
      <c r="G72" s="468" t="s">
        <v>165</v>
      </c>
      <c r="H72" s="474">
        <v>0.11799571852507491</v>
      </c>
      <c r="I72" s="474">
        <v>1</v>
      </c>
    </row>
    <row r="73" spans="2:9" outlineLevel="1">
      <c r="B73" s="372"/>
      <c r="C73" s="385" t="s">
        <v>296</v>
      </c>
      <c r="D73" s="385" t="s">
        <v>297</v>
      </c>
      <c r="E73" s="385" t="s">
        <v>25</v>
      </c>
      <c r="F73" s="385" t="s">
        <v>26</v>
      </c>
      <c r="G73" s="526" t="s">
        <v>1852</v>
      </c>
      <c r="H73" s="535">
        <f>SUM(H74:H76)</f>
        <v>3.257897459827789</v>
      </c>
      <c r="I73" s="535">
        <f>SUM(I74:I76)</f>
        <v>2</v>
      </c>
    </row>
    <row r="74" spans="2:9" outlineLevel="2">
      <c r="B74" s="372">
        <v>2</v>
      </c>
      <c r="C74" s="372" t="s">
        <v>296</v>
      </c>
      <c r="D74" s="372" t="s">
        <v>297</v>
      </c>
      <c r="E74" s="372" t="s">
        <v>25</v>
      </c>
      <c r="F74" s="372" t="s">
        <v>26</v>
      </c>
      <c r="G74" s="468" t="s">
        <v>31</v>
      </c>
      <c r="H74" s="474">
        <v>1.3962417684976238</v>
      </c>
      <c r="I74" s="474">
        <v>1</v>
      </c>
    </row>
    <row r="75" spans="2:9" outlineLevel="2">
      <c r="B75" s="372">
        <v>2</v>
      </c>
      <c r="C75" s="372" t="s">
        <v>296</v>
      </c>
      <c r="D75" s="372" t="s">
        <v>297</v>
      </c>
      <c r="E75" s="372" t="s">
        <v>25</v>
      </c>
      <c r="F75" s="372" t="s">
        <v>26</v>
      </c>
      <c r="G75" s="468" t="s">
        <v>33</v>
      </c>
      <c r="H75" s="474">
        <v>1.8616556913301652</v>
      </c>
      <c r="I75" s="474">
        <v>1</v>
      </c>
    </row>
    <row r="76" spans="2:9" outlineLevel="1">
      <c r="B76" s="372"/>
      <c r="C76" s="372" t="s">
        <v>278</v>
      </c>
      <c r="D76" s="372" t="s">
        <v>279</v>
      </c>
      <c r="E76" s="372" t="s">
        <v>25</v>
      </c>
      <c r="F76" s="372" t="s">
        <v>26</v>
      </c>
      <c r="G76" s="526" t="s">
        <v>1934</v>
      </c>
      <c r="H76" s="474">
        <v>0</v>
      </c>
      <c r="I76" s="474">
        <v>0</v>
      </c>
    </row>
    <row r="77" spans="2:9" outlineLevel="1">
      <c r="B77" s="372"/>
      <c r="C77" s="385" t="s">
        <v>167</v>
      </c>
      <c r="D77" s="385" t="s">
        <v>121</v>
      </c>
      <c r="E77" s="385" t="s">
        <v>25</v>
      </c>
      <c r="F77" s="385" t="s">
        <v>26</v>
      </c>
      <c r="G77" s="526" t="s">
        <v>1853</v>
      </c>
      <c r="H77" s="535">
        <f>SUM(H78:H82)</f>
        <v>0.38000000000000006</v>
      </c>
      <c r="I77" s="535">
        <f>SUM(I78:I82)</f>
        <v>5</v>
      </c>
    </row>
    <row r="78" spans="2:9" outlineLevel="2">
      <c r="B78" s="372">
        <v>1</v>
      </c>
      <c r="C78" s="372" t="s">
        <v>167</v>
      </c>
      <c r="D78" s="372" t="s">
        <v>121</v>
      </c>
      <c r="E78" s="372" t="s">
        <v>25</v>
      </c>
      <c r="F78" s="372" t="s">
        <v>26</v>
      </c>
      <c r="G78" s="468" t="s">
        <v>170</v>
      </c>
      <c r="H78" s="474">
        <v>0.08</v>
      </c>
      <c r="I78" s="474">
        <v>1</v>
      </c>
    </row>
    <row r="79" spans="2:9" outlineLevel="2">
      <c r="B79" s="372">
        <v>1</v>
      </c>
      <c r="C79" s="372" t="s">
        <v>167</v>
      </c>
      <c r="D79" s="372" t="s">
        <v>121</v>
      </c>
      <c r="E79" s="372" t="s">
        <v>25</v>
      </c>
      <c r="F79" s="372" t="s">
        <v>26</v>
      </c>
      <c r="G79" s="468" t="s">
        <v>171</v>
      </c>
      <c r="H79" s="474">
        <v>0.17</v>
      </c>
      <c r="I79" s="474">
        <v>1</v>
      </c>
    </row>
    <row r="80" spans="2:9" outlineLevel="2">
      <c r="B80" s="372">
        <v>1</v>
      </c>
      <c r="C80" s="372" t="s">
        <v>167</v>
      </c>
      <c r="D80" s="372" t="s">
        <v>121</v>
      </c>
      <c r="E80" s="372" t="s">
        <v>25</v>
      </c>
      <c r="F80" s="372" t="s">
        <v>26</v>
      </c>
      <c r="G80" s="468" t="s">
        <v>122</v>
      </c>
      <c r="H80" s="474">
        <v>0.03</v>
      </c>
      <c r="I80" s="474">
        <v>1</v>
      </c>
    </row>
    <row r="81" spans="2:9" outlineLevel="2">
      <c r="B81" s="372">
        <v>2</v>
      </c>
      <c r="C81" s="372" t="s">
        <v>167</v>
      </c>
      <c r="D81" s="372" t="s">
        <v>121</v>
      </c>
      <c r="E81" s="372" t="s">
        <v>25</v>
      </c>
      <c r="F81" s="372" t="s">
        <v>26</v>
      </c>
      <c r="G81" s="468" t="s">
        <v>129</v>
      </c>
      <c r="H81" s="474">
        <v>0.03</v>
      </c>
      <c r="I81" s="474">
        <v>1</v>
      </c>
    </row>
    <row r="82" spans="2:9" outlineLevel="2">
      <c r="B82" s="372">
        <v>2</v>
      </c>
      <c r="C82" s="372" t="s">
        <v>167</v>
      </c>
      <c r="D82" s="372" t="s">
        <v>121</v>
      </c>
      <c r="E82" s="372" t="s">
        <v>25</v>
      </c>
      <c r="F82" s="372" t="s">
        <v>26</v>
      </c>
      <c r="G82" s="468" t="s">
        <v>172</v>
      </c>
      <c r="H82" s="474">
        <v>7.0000000000000007E-2</v>
      </c>
      <c r="I82" s="474">
        <v>1</v>
      </c>
    </row>
    <row r="83" spans="2:9" outlineLevel="1">
      <c r="B83" s="372"/>
      <c r="C83" s="385" t="s">
        <v>173</v>
      </c>
      <c r="D83" s="385" t="s">
        <v>173</v>
      </c>
      <c r="E83" s="385" t="s">
        <v>25</v>
      </c>
      <c r="F83" s="385" t="s">
        <v>26</v>
      </c>
      <c r="G83" s="526" t="s">
        <v>1871</v>
      </c>
      <c r="H83" s="535">
        <f>SUM(H84:H87)</f>
        <v>0.82973604596758466</v>
      </c>
      <c r="I83" s="535">
        <f>SUM(I84:I87)</f>
        <v>4</v>
      </c>
    </row>
    <row r="84" spans="2:9" outlineLevel="2">
      <c r="B84" s="372">
        <v>1</v>
      </c>
      <c r="C84" s="372" t="s">
        <v>173</v>
      </c>
      <c r="D84" s="372" t="s">
        <v>173</v>
      </c>
      <c r="E84" s="372" t="s">
        <v>25</v>
      </c>
      <c r="F84" s="372" t="s">
        <v>26</v>
      </c>
      <c r="G84" s="468" t="s">
        <v>86</v>
      </c>
      <c r="H84" s="474">
        <v>0.40295193575893268</v>
      </c>
      <c r="I84" s="474">
        <v>1</v>
      </c>
    </row>
    <row r="85" spans="2:9" outlineLevel="2">
      <c r="B85" s="372">
        <v>1</v>
      </c>
      <c r="C85" s="372" t="s">
        <v>173</v>
      </c>
      <c r="D85" s="372" t="s">
        <v>173</v>
      </c>
      <c r="E85" s="372" t="s">
        <v>25</v>
      </c>
      <c r="F85" s="372" t="s">
        <v>26</v>
      </c>
      <c r="G85" s="468" t="s">
        <v>87</v>
      </c>
      <c r="H85" s="474">
        <v>0.33579327979911056</v>
      </c>
      <c r="I85" s="474">
        <v>1</v>
      </c>
    </row>
    <row r="86" spans="2:9" outlineLevel="2">
      <c r="B86" s="372">
        <v>1</v>
      </c>
      <c r="C86" s="372" t="s">
        <v>173</v>
      </c>
      <c r="D86" s="372" t="s">
        <v>173</v>
      </c>
      <c r="E86" s="372" t="s">
        <v>25</v>
      </c>
      <c r="F86" s="372" t="s">
        <v>26</v>
      </c>
      <c r="G86" s="468" t="s">
        <v>107</v>
      </c>
      <c r="H86" s="474">
        <v>3.0990830409541533E-2</v>
      </c>
      <c r="I86" s="474">
        <v>1</v>
      </c>
    </row>
    <row r="87" spans="2:9" outlineLevel="2">
      <c r="B87" s="372">
        <v>1</v>
      </c>
      <c r="C87" s="372" t="s">
        <v>173</v>
      </c>
      <c r="D87" s="372" t="s">
        <v>173</v>
      </c>
      <c r="E87" s="372" t="s">
        <v>25</v>
      </c>
      <c r="F87" s="372" t="s">
        <v>26</v>
      </c>
      <c r="G87" s="468" t="s">
        <v>88</v>
      </c>
      <c r="H87" s="474">
        <v>0.06</v>
      </c>
      <c r="I87" s="474">
        <v>1</v>
      </c>
    </row>
    <row r="88" spans="2:9" outlineLevel="1">
      <c r="B88" s="372"/>
      <c r="C88" s="385" t="s">
        <v>179</v>
      </c>
      <c r="D88" s="385" t="s">
        <v>70</v>
      </c>
      <c r="E88" s="385" t="s">
        <v>25</v>
      </c>
      <c r="F88" s="385" t="s">
        <v>26</v>
      </c>
      <c r="G88" s="526" t="s">
        <v>1935</v>
      </c>
      <c r="H88" s="535">
        <f>SUM(H89)</f>
        <v>0.03</v>
      </c>
      <c r="I88" s="535">
        <f>SUM(I89)</f>
        <v>1</v>
      </c>
    </row>
    <row r="89" spans="2:9" outlineLevel="2">
      <c r="B89" s="372">
        <v>1</v>
      </c>
      <c r="C89" s="372" t="s">
        <v>179</v>
      </c>
      <c r="D89" s="372" t="s">
        <v>70</v>
      </c>
      <c r="E89" s="372" t="s">
        <v>25</v>
      </c>
      <c r="F89" s="372" t="s">
        <v>26</v>
      </c>
      <c r="G89" s="468" t="s">
        <v>181</v>
      </c>
      <c r="H89" s="474">
        <v>0.03</v>
      </c>
      <c r="I89" s="474">
        <v>1</v>
      </c>
    </row>
    <row r="90" spans="2:9" outlineLevel="1">
      <c r="B90" s="372"/>
      <c r="C90" s="385" t="s">
        <v>182</v>
      </c>
      <c r="D90" s="385" t="s">
        <v>182</v>
      </c>
      <c r="E90" s="385" t="s">
        <v>25</v>
      </c>
      <c r="F90" s="385" t="s">
        <v>26</v>
      </c>
      <c r="G90" s="526" t="s">
        <v>1872</v>
      </c>
      <c r="H90" s="535">
        <f>SUM(H91:H106)</f>
        <v>3.6899229248400003</v>
      </c>
      <c r="I90" s="535">
        <f>SUM(I91:I106)</f>
        <v>16</v>
      </c>
    </row>
    <row r="91" spans="2:9" outlineLevel="2">
      <c r="B91" s="372">
        <v>1</v>
      </c>
      <c r="C91" s="372" t="s">
        <v>182</v>
      </c>
      <c r="D91" s="372" t="s">
        <v>182</v>
      </c>
      <c r="E91" s="372" t="s">
        <v>25</v>
      </c>
      <c r="F91" s="372" t="s">
        <v>26</v>
      </c>
      <c r="G91" s="468" t="s">
        <v>197</v>
      </c>
      <c r="H91" s="474">
        <v>2.25123394992</v>
      </c>
      <c r="I91" s="474">
        <v>1</v>
      </c>
    </row>
    <row r="92" spans="2:9" outlineLevel="2">
      <c r="B92" s="372">
        <v>1</v>
      </c>
      <c r="C92" s="372" t="s">
        <v>182</v>
      </c>
      <c r="D92" s="372" t="s">
        <v>182</v>
      </c>
      <c r="E92" s="372" t="s">
        <v>25</v>
      </c>
      <c r="F92" s="372" t="s">
        <v>26</v>
      </c>
      <c r="G92" s="468" t="s">
        <v>191</v>
      </c>
      <c r="H92" s="474">
        <v>0.5295810499200001</v>
      </c>
      <c r="I92" s="474">
        <v>1</v>
      </c>
    </row>
    <row r="93" spans="2:9" outlineLevel="2">
      <c r="B93" s="372">
        <v>2</v>
      </c>
      <c r="C93" s="372" t="s">
        <v>182</v>
      </c>
      <c r="D93" s="372" t="s">
        <v>182</v>
      </c>
      <c r="E93" s="372" t="s">
        <v>25</v>
      </c>
      <c r="F93" s="372" t="s">
        <v>26</v>
      </c>
      <c r="G93" s="468" t="s">
        <v>198</v>
      </c>
      <c r="H93" s="474">
        <v>2.5612785000000002E-2</v>
      </c>
      <c r="I93" s="474">
        <v>1</v>
      </c>
    </row>
    <row r="94" spans="2:9" outlineLevel="2">
      <c r="B94" s="372">
        <v>1</v>
      </c>
      <c r="C94" s="372" t="s">
        <v>182</v>
      </c>
      <c r="D94" s="372" t="s">
        <v>182</v>
      </c>
      <c r="E94" s="372" t="s">
        <v>25</v>
      </c>
      <c r="F94" s="372" t="s">
        <v>26</v>
      </c>
      <c r="G94" s="468" t="s">
        <v>200</v>
      </c>
      <c r="H94" s="474">
        <v>0.10833933000000003</v>
      </c>
      <c r="I94" s="474">
        <v>1</v>
      </c>
    </row>
    <row r="95" spans="2:9" outlineLevel="2">
      <c r="B95" s="372">
        <v>2</v>
      </c>
      <c r="C95" s="372" t="s">
        <v>182</v>
      </c>
      <c r="D95" s="372" t="s">
        <v>182</v>
      </c>
      <c r="E95" s="372" t="s">
        <v>25</v>
      </c>
      <c r="F95" s="372" t="s">
        <v>26</v>
      </c>
      <c r="G95" s="468" t="s">
        <v>201</v>
      </c>
      <c r="H95" s="474">
        <v>5.4169665000000013E-2</v>
      </c>
      <c r="I95" s="474">
        <v>1</v>
      </c>
    </row>
    <row r="96" spans="2:9" outlineLevel="2">
      <c r="B96" s="372">
        <v>1</v>
      </c>
      <c r="C96" s="372" t="s">
        <v>182</v>
      </c>
      <c r="D96" s="372" t="s">
        <v>182</v>
      </c>
      <c r="E96" s="372" t="s">
        <v>25</v>
      </c>
      <c r="F96" s="372" t="s">
        <v>26</v>
      </c>
      <c r="G96" s="468" t="s">
        <v>203</v>
      </c>
      <c r="H96" s="474">
        <v>0.10833933000000003</v>
      </c>
      <c r="I96" s="474">
        <v>1</v>
      </c>
    </row>
    <row r="97" spans="2:9" outlineLevel="2">
      <c r="B97" s="372">
        <v>2</v>
      </c>
      <c r="C97" s="372" t="s">
        <v>182</v>
      </c>
      <c r="D97" s="372" t="s">
        <v>182</v>
      </c>
      <c r="E97" s="372" t="s">
        <v>25</v>
      </c>
      <c r="F97" s="372" t="s">
        <v>26</v>
      </c>
      <c r="G97" s="468" t="s">
        <v>205</v>
      </c>
      <c r="H97" s="474">
        <v>5.4169665000000013E-2</v>
      </c>
      <c r="I97" s="474">
        <v>1</v>
      </c>
    </row>
    <row r="98" spans="2:9" outlineLevel="2">
      <c r="B98" s="372">
        <v>1</v>
      </c>
      <c r="C98" s="372" t="s">
        <v>182</v>
      </c>
      <c r="D98" s="372" t="s">
        <v>182</v>
      </c>
      <c r="E98" s="372" t="s">
        <v>25</v>
      </c>
      <c r="F98" s="372" t="s">
        <v>26</v>
      </c>
      <c r="G98" s="468" t="s">
        <v>207</v>
      </c>
      <c r="H98" s="474">
        <v>0.10833933000000003</v>
      </c>
      <c r="I98" s="474">
        <v>1</v>
      </c>
    </row>
    <row r="99" spans="2:9" outlineLevel="2">
      <c r="B99" s="372">
        <v>2</v>
      </c>
      <c r="C99" s="372" t="s">
        <v>182</v>
      </c>
      <c r="D99" s="372" t="s">
        <v>182</v>
      </c>
      <c r="E99" s="372" t="s">
        <v>25</v>
      </c>
      <c r="F99" s="372" t="s">
        <v>26</v>
      </c>
      <c r="G99" s="468" t="s">
        <v>208</v>
      </c>
      <c r="H99" s="474">
        <v>5.4169665000000013E-2</v>
      </c>
      <c r="I99" s="474">
        <v>1</v>
      </c>
    </row>
    <row r="100" spans="2:9" outlineLevel="2">
      <c r="B100" s="372">
        <v>1</v>
      </c>
      <c r="C100" s="372" t="s">
        <v>182</v>
      </c>
      <c r="D100" s="372" t="s">
        <v>182</v>
      </c>
      <c r="E100" s="372" t="s">
        <v>25</v>
      </c>
      <c r="F100" s="372" t="s">
        <v>26</v>
      </c>
      <c r="G100" s="468" t="s">
        <v>210</v>
      </c>
      <c r="H100" s="474">
        <v>0.10833933000000003</v>
      </c>
      <c r="I100" s="474">
        <v>1</v>
      </c>
    </row>
    <row r="101" spans="2:9" outlineLevel="2">
      <c r="B101" s="372">
        <v>2</v>
      </c>
      <c r="C101" s="372" t="s">
        <v>182</v>
      </c>
      <c r="D101" s="372" t="s">
        <v>182</v>
      </c>
      <c r="E101" s="372" t="s">
        <v>25</v>
      </c>
      <c r="F101" s="372" t="s">
        <v>26</v>
      </c>
      <c r="G101" s="468" t="s">
        <v>211</v>
      </c>
      <c r="H101" s="474">
        <v>5.4169665000000013E-2</v>
      </c>
      <c r="I101" s="474">
        <v>1</v>
      </c>
    </row>
    <row r="102" spans="2:9" outlineLevel="2">
      <c r="B102" s="372">
        <v>2</v>
      </c>
      <c r="C102" s="372" t="s">
        <v>182</v>
      </c>
      <c r="D102" s="372" t="s">
        <v>182</v>
      </c>
      <c r="E102" s="372" t="s">
        <v>25</v>
      </c>
      <c r="F102" s="372" t="s">
        <v>26</v>
      </c>
      <c r="G102" s="468" t="s">
        <v>1936</v>
      </c>
      <c r="H102" s="399">
        <v>5.4169665000000013E-2</v>
      </c>
      <c r="I102" s="474">
        <v>1</v>
      </c>
    </row>
    <row r="103" spans="2:9" outlineLevel="2">
      <c r="B103" s="372">
        <v>1</v>
      </c>
      <c r="C103" s="372" t="s">
        <v>182</v>
      </c>
      <c r="D103" s="372" t="s">
        <v>182</v>
      </c>
      <c r="E103" s="372" t="s">
        <v>25</v>
      </c>
      <c r="F103" s="372" t="s">
        <v>26</v>
      </c>
      <c r="G103" s="468" t="s">
        <v>214</v>
      </c>
      <c r="H103" s="474">
        <v>5.1225570000000005E-2</v>
      </c>
      <c r="I103" s="474">
        <v>1</v>
      </c>
    </row>
    <row r="104" spans="2:9" outlineLevel="2">
      <c r="B104" s="372">
        <v>2</v>
      </c>
      <c r="C104" s="372" t="s">
        <v>182</v>
      </c>
      <c r="D104" s="372" t="s">
        <v>182</v>
      </c>
      <c r="E104" s="372" t="s">
        <v>25</v>
      </c>
      <c r="F104" s="372" t="s">
        <v>26</v>
      </c>
      <c r="G104" s="468" t="s">
        <v>215</v>
      </c>
      <c r="H104" s="474">
        <v>5.1225570000000005E-2</v>
      </c>
      <c r="I104" s="474">
        <v>1</v>
      </c>
    </row>
    <row r="105" spans="2:9" outlineLevel="2">
      <c r="B105" s="372">
        <v>2</v>
      </c>
      <c r="C105" s="372" t="s">
        <v>182</v>
      </c>
      <c r="D105" s="372" t="s">
        <v>182</v>
      </c>
      <c r="E105" s="372" t="s">
        <v>25</v>
      </c>
      <c r="F105" s="372" t="s">
        <v>26</v>
      </c>
      <c r="G105" s="468" t="s">
        <v>216</v>
      </c>
      <c r="H105" s="474">
        <v>5.1225570000000005E-2</v>
      </c>
      <c r="I105" s="474">
        <v>1</v>
      </c>
    </row>
    <row r="106" spans="2:9" outlineLevel="2">
      <c r="B106" s="372">
        <v>2</v>
      </c>
      <c r="C106" s="372" t="s">
        <v>182</v>
      </c>
      <c r="D106" s="372" t="s">
        <v>182</v>
      </c>
      <c r="E106" s="372" t="s">
        <v>25</v>
      </c>
      <c r="F106" s="372" t="s">
        <v>26</v>
      </c>
      <c r="G106" s="468" t="s">
        <v>217</v>
      </c>
      <c r="H106" s="474">
        <v>2.5612785000000002E-2</v>
      </c>
      <c r="I106" s="474">
        <v>1</v>
      </c>
    </row>
    <row r="107" spans="2:9" outlineLevel="1">
      <c r="B107" s="372"/>
      <c r="C107" s="385" t="s">
        <v>222</v>
      </c>
      <c r="D107" s="385" t="s">
        <v>222</v>
      </c>
      <c r="E107" s="385" t="s">
        <v>25</v>
      </c>
      <c r="F107" s="385" t="s">
        <v>26</v>
      </c>
      <c r="G107" s="526" t="s">
        <v>1873</v>
      </c>
      <c r="H107" s="535">
        <f>SUM(H108:H113)</f>
        <v>0.34545700083561953</v>
      </c>
      <c r="I107" s="535">
        <f>SUM(I108:I113)</f>
        <v>6</v>
      </c>
    </row>
    <row r="108" spans="2:9" outlineLevel="2">
      <c r="B108" s="372">
        <v>1</v>
      </c>
      <c r="C108" s="372" t="s">
        <v>222</v>
      </c>
      <c r="D108" s="372" t="s">
        <v>222</v>
      </c>
      <c r="E108" s="372" t="s">
        <v>25</v>
      </c>
      <c r="F108" s="372" t="s">
        <v>26</v>
      </c>
      <c r="G108" s="468" t="s">
        <v>228</v>
      </c>
      <c r="H108" s="474">
        <v>0.20115878538561949</v>
      </c>
      <c r="I108" s="474">
        <v>1</v>
      </c>
    </row>
    <row r="109" spans="2:9" outlineLevel="2">
      <c r="B109" s="372">
        <v>1</v>
      </c>
      <c r="C109" s="372" t="s">
        <v>222</v>
      </c>
      <c r="D109" s="372" t="s">
        <v>222</v>
      </c>
      <c r="E109" s="372" t="s">
        <v>25</v>
      </c>
      <c r="F109" s="372" t="s">
        <v>26</v>
      </c>
      <c r="G109" s="468" t="s">
        <v>65</v>
      </c>
      <c r="H109" s="474">
        <v>5.8456730700000001E-2</v>
      </c>
      <c r="I109" s="474">
        <v>1</v>
      </c>
    </row>
    <row r="110" spans="2:9" outlineLevel="2">
      <c r="B110" s="372">
        <v>1</v>
      </c>
      <c r="C110" s="372" t="s">
        <v>222</v>
      </c>
      <c r="D110" s="372" t="s">
        <v>222</v>
      </c>
      <c r="E110" s="372" t="s">
        <v>25</v>
      </c>
      <c r="F110" s="372" t="s">
        <v>26</v>
      </c>
      <c r="G110" s="468" t="s">
        <v>23</v>
      </c>
      <c r="H110" s="474">
        <v>4.8713942250000003E-2</v>
      </c>
      <c r="I110" s="474">
        <v>1</v>
      </c>
    </row>
    <row r="111" spans="2:9" outlineLevel="2">
      <c r="B111" s="372">
        <v>1</v>
      </c>
      <c r="C111" s="372" t="s">
        <v>222</v>
      </c>
      <c r="D111" s="372" t="s">
        <v>222</v>
      </c>
      <c r="E111" s="372" t="s">
        <v>25</v>
      </c>
      <c r="F111" s="372" t="s">
        <v>26</v>
      </c>
      <c r="G111" s="468" t="s">
        <v>178</v>
      </c>
      <c r="H111" s="474">
        <v>2.5989279749999997E-2</v>
      </c>
      <c r="I111" s="474">
        <v>1</v>
      </c>
    </row>
    <row r="112" spans="2:9" outlineLevel="2">
      <c r="B112" s="372">
        <v>1</v>
      </c>
      <c r="C112" s="372" t="s">
        <v>222</v>
      </c>
      <c r="D112" s="372" t="s">
        <v>222</v>
      </c>
      <c r="E112" s="372" t="s">
        <v>25</v>
      </c>
      <c r="F112" s="372" t="s">
        <v>26</v>
      </c>
      <c r="G112" s="468" t="s">
        <v>107</v>
      </c>
      <c r="H112" s="474">
        <v>3.7127542499999998E-3</v>
      </c>
      <c r="I112" s="474">
        <v>1</v>
      </c>
    </row>
    <row r="113" spans="2:9" outlineLevel="2">
      <c r="B113" s="372">
        <v>1</v>
      </c>
      <c r="C113" s="372" t="s">
        <v>222</v>
      </c>
      <c r="D113" s="372" t="s">
        <v>222</v>
      </c>
      <c r="E113" s="372" t="s">
        <v>25</v>
      </c>
      <c r="F113" s="372" t="s">
        <v>26</v>
      </c>
      <c r="G113" s="468" t="s">
        <v>230</v>
      </c>
      <c r="H113" s="474">
        <v>7.4255085000000005E-3</v>
      </c>
      <c r="I113" s="474">
        <v>1</v>
      </c>
    </row>
    <row r="114" spans="2:9" outlineLevel="1">
      <c r="B114" s="372"/>
      <c r="C114" s="385" t="s">
        <v>233</v>
      </c>
      <c r="D114" s="385" t="s">
        <v>233</v>
      </c>
      <c r="E114" s="385" t="s">
        <v>25</v>
      </c>
      <c r="F114" s="385" t="s">
        <v>26</v>
      </c>
      <c r="G114" s="526" t="s">
        <v>1874</v>
      </c>
      <c r="H114" s="535">
        <v>0</v>
      </c>
      <c r="I114" s="535">
        <v>0</v>
      </c>
    </row>
    <row r="115" spans="2:9" outlineLevel="1">
      <c r="B115" s="372"/>
      <c r="C115" s="385" t="s">
        <v>240</v>
      </c>
      <c r="D115" s="385" t="s">
        <v>240</v>
      </c>
      <c r="E115" s="385" t="s">
        <v>25</v>
      </c>
      <c r="F115" s="385" t="s">
        <v>26</v>
      </c>
      <c r="G115" s="526" t="s">
        <v>1880</v>
      </c>
      <c r="H115" s="535">
        <v>0</v>
      </c>
      <c r="I115" s="535">
        <v>0</v>
      </c>
    </row>
    <row r="116" spans="2:9" outlineLevel="1">
      <c r="B116" s="372"/>
      <c r="C116" s="385" t="s">
        <v>243</v>
      </c>
      <c r="D116" s="385" t="s">
        <v>243</v>
      </c>
      <c r="E116" s="385" t="s">
        <v>25</v>
      </c>
      <c r="F116" s="385" t="s">
        <v>26</v>
      </c>
      <c r="G116" s="526" t="s">
        <v>1883</v>
      </c>
      <c r="H116" s="535">
        <v>0</v>
      </c>
      <c r="I116" s="535">
        <v>0</v>
      </c>
    </row>
    <row r="117" spans="2:9" outlineLevel="1">
      <c r="B117" s="372"/>
      <c r="C117" s="385" t="s">
        <v>245</v>
      </c>
      <c r="D117" s="385" t="s">
        <v>246</v>
      </c>
      <c r="E117" s="385" t="s">
        <v>25</v>
      </c>
      <c r="F117" s="385" t="s">
        <v>26</v>
      </c>
      <c r="G117" s="526" t="s">
        <v>1854</v>
      </c>
      <c r="H117" s="535">
        <f>SUM(H118)</f>
        <v>1.9200000000000002E-2</v>
      </c>
      <c r="I117" s="535">
        <f>SUM(I118)</f>
        <v>1</v>
      </c>
    </row>
    <row r="118" spans="2:9" outlineLevel="2">
      <c r="B118" s="372">
        <v>2</v>
      </c>
      <c r="C118" s="372" t="s">
        <v>245</v>
      </c>
      <c r="D118" s="372" t="s">
        <v>246</v>
      </c>
      <c r="E118" s="372" t="s">
        <v>25</v>
      </c>
      <c r="F118" s="372" t="s">
        <v>26</v>
      </c>
      <c r="G118" s="468" t="s">
        <v>236</v>
      </c>
      <c r="H118" s="474">
        <v>1.9200000000000002E-2</v>
      </c>
      <c r="I118" s="474">
        <v>1</v>
      </c>
    </row>
    <row r="119" spans="2:9" outlineLevel="1">
      <c r="B119" s="372"/>
      <c r="C119" s="385" t="s">
        <v>248</v>
      </c>
      <c r="D119" s="385" t="s">
        <v>249</v>
      </c>
      <c r="E119" s="385" t="s">
        <v>25</v>
      </c>
      <c r="F119" s="385" t="s">
        <v>26</v>
      </c>
      <c r="G119" s="526" t="s">
        <v>1855</v>
      </c>
      <c r="H119" s="535">
        <f>SUM(H120:H122)</f>
        <v>0.22284000000000001</v>
      </c>
      <c r="I119" s="535">
        <f>SUM(I120:I122)</f>
        <v>3</v>
      </c>
    </row>
    <row r="120" spans="2:9" outlineLevel="2">
      <c r="B120" s="372">
        <v>1</v>
      </c>
      <c r="C120" s="372" t="s">
        <v>248</v>
      </c>
      <c r="D120" s="372" t="s">
        <v>249</v>
      </c>
      <c r="E120" s="372" t="s">
        <v>25</v>
      </c>
      <c r="F120" s="372" t="s">
        <v>26</v>
      </c>
      <c r="G120" s="468" t="s">
        <v>237</v>
      </c>
      <c r="H120" s="474">
        <v>5.9424000000000005E-2</v>
      </c>
      <c r="I120" s="474">
        <v>1</v>
      </c>
    </row>
    <row r="121" spans="2:9" outlineLevel="2">
      <c r="B121" s="372">
        <v>1</v>
      </c>
      <c r="C121" s="372" t="s">
        <v>248</v>
      </c>
      <c r="D121" s="372" t="s">
        <v>249</v>
      </c>
      <c r="E121" s="372" t="s">
        <v>25</v>
      </c>
      <c r="F121" s="372" t="s">
        <v>26</v>
      </c>
      <c r="G121" s="468" t="s">
        <v>238</v>
      </c>
      <c r="H121" s="474">
        <v>0.14856</v>
      </c>
      <c r="I121" s="474">
        <v>1</v>
      </c>
    </row>
    <row r="122" spans="2:9" outlineLevel="2">
      <c r="B122" s="372">
        <v>1</v>
      </c>
      <c r="C122" s="372" t="s">
        <v>248</v>
      </c>
      <c r="D122" s="372" t="s">
        <v>249</v>
      </c>
      <c r="E122" s="372" t="s">
        <v>25</v>
      </c>
      <c r="F122" s="372" t="s">
        <v>26</v>
      </c>
      <c r="G122" s="468" t="s">
        <v>242</v>
      </c>
      <c r="H122" s="474">
        <v>1.4856000000000001E-2</v>
      </c>
      <c r="I122" s="474">
        <v>1</v>
      </c>
    </row>
    <row r="123" spans="2:9" outlineLevel="1">
      <c r="B123" s="372"/>
      <c r="C123" s="385" t="s">
        <v>258</v>
      </c>
      <c r="D123" s="385" t="s">
        <v>259</v>
      </c>
      <c r="E123" s="385" t="s">
        <v>25</v>
      </c>
      <c r="F123" s="385" t="s">
        <v>26</v>
      </c>
      <c r="G123" s="526" t="s">
        <v>1856</v>
      </c>
      <c r="H123" s="535">
        <v>0</v>
      </c>
      <c r="I123" s="535">
        <v>0</v>
      </c>
    </row>
    <row r="124" spans="2:9" outlineLevel="1">
      <c r="B124" s="372"/>
      <c r="C124" s="385" t="s">
        <v>351</v>
      </c>
      <c r="D124" s="385" t="s">
        <v>351</v>
      </c>
      <c r="E124" s="385" t="s">
        <v>25</v>
      </c>
      <c r="F124" s="385" t="s">
        <v>26</v>
      </c>
      <c r="G124" s="526" t="s">
        <v>1937</v>
      </c>
      <c r="H124" s="535">
        <f>SUM(H125)</f>
        <v>0</v>
      </c>
      <c r="I124" s="535">
        <f>SUM(I125)</f>
        <v>1</v>
      </c>
    </row>
    <row r="125" spans="2:9" outlineLevel="2">
      <c r="B125" s="372">
        <v>3</v>
      </c>
      <c r="C125" s="372" t="s">
        <v>351</v>
      </c>
      <c r="D125" s="372" t="s">
        <v>351</v>
      </c>
      <c r="E125" s="372" t="s">
        <v>25</v>
      </c>
      <c r="F125" s="372" t="s">
        <v>26</v>
      </c>
      <c r="G125" s="468" t="s">
        <v>236</v>
      </c>
      <c r="H125" s="474"/>
      <c r="I125" s="474">
        <v>1</v>
      </c>
    </row>
    <row r="126" spans="2:9" outlineLevel="1">
      <c r="B126" s="372"/>
      <c r="C126" s="385" t="s">
        <v>353</v>
      </c>
      <c r="D126" s="385" t="s">
        <v>354</v>
      </c>
      <c r="E126" s="385" t="s">
        <v>25</v>
      </c>
      <c r="F126" s="385" t="s">
        <v>26</v>
      </c>
      <c r="G126" s="526" t="s">
        <v>1865</v>
      </c>
      <c r="H126" s="535">
        <f>SUM(H127)</f>
        <v>0.19</v>
      </c>
      <c r="I126" s="535">
        <f>SUM(I127)</f>
        <v>1</v>
      </c>
    </row>
    <row r="127" spans="2:9" outlineLevel="2">
      <c r="B127" s="372">
        <v>2</v>
      </c>
      <c r="C127" s="372" t="s">
        <v>353</v>
      </c>
      <c r="D127" s="372" t="s">
        <v>354</v>
      </c>
      <c r="E127" s="372" t="s">
        <v>25</v>
      </c>
      <c r="F127" s="372" t="s">
        <v>26</v>
      </c>
      <c r="G127" s="468" t="s">
        <v>236</v>
      </c>
      <c r="H127" s="474">
        <v>0.19</v>
      </c>
      <c r="I127" s="474">
        <v>1</v>
      </c>
    </row>
    <row r="128" spans="2:9" outlineLevel="1">
      <c r="B128" s="372"/>
      <c r="C128" s="385" t="s">
        <v>281</v>
      </c>
      <c r="D128" s="385" t="s">
        <v>70</v>
      </c>
      <c r="E128" s="385" t="s">
        <v>25</v>
      </c>
      <c r="F128" s="385" t="s">
        <v>26</v>
      </c>
      <c r="G128" s="526" t="s">
        <v>1857</v>
      </c>
      <c r="H128" s="535">
        <f>SUM(H129)</f>
        <v>0.17172000000000001</v>
      </c>
      <c r="I128" s="535">
        <f>SUM(I129)</f>
        <v>1</v>
      </c>
    </row>
    <row r="129" spans="2:9" outlineLevel="2">
      <c r="B129" s="372">
        <v>3</v>
      </c>
      <c r="C129" s="372" t="s">
        <v>281</v>
      </c>
      <c r="D129" s="372" t="s">
        <v>70</v>
      </c>
      <c r="E129" s="372" t="s">
        <v>25</v>
      </c>
      <c r="F129" s="372" t="s">
        <v>26</v>
      </c>
      <c r="G129" s="468" t="s">
        <v>31</v>
      </c>
      <c r="H129" s="474">
        <v>0.17172000000000001</v>
      </c>
      <c r="I129" s="474">
        <v>1</v>
      </c>
    </row>
    <row r="130" spans="2:9" outlineLevel="1">
      <c r="B130" s="372"/>
      <c r="C130" s="385" t="s">
        <v>289</v>
      </c>
      <c r="D130" s="385" t="s">
        <v>29</v>
      </c>
      <c r="E130" s="385" t="s">
        <v>25</v>
      </c>
      <c r="F130" s="385" t="s">
        <v>26</v>
      </c>
      <c r="G130" s="526" t="s">
        <v>1866</v>
      </c>
      <c r="H130" s="535">
        <f>SUM(H131)</f>
        <v>7.8635040000000003E-2</v>
      </c>
      <c r="I130" s="535">
        <f>SUM(I131)</f>
        <v>1</v>
      </c>
    </row>
    <row r="131" spans="2:9" outlineLevel="2">
      <c r="B131" s="372">
        <v>3</v>
      </c>
      <c r="C131" s="372" t="s">
        <v>289</v>
      </c>
      <c r="D131" s="372" t="s">
        <v>29</v>
      </c>
      <c r="E131" s="372" t="s">
        <v>25</v>
      </c>
      <c r="F131" s="372" t="s">
        <v>26</v>
      </c>
      <c r="G131" s="468" t="s">
        <v>31</v>
      </c>
      <c r="H131" s="474">
        <v>7.8635040000000003E-2</v>
      </c>
      <c r="I131" s="474">
        <v>1</v>
      </c>
    </row>
    <row r="132" spans="2:9" outlineLevel="1">
      <c r="B132" s="372"/>
      <c r="C132" s="385" t="s">
        <v>301</v>
      </c>
      <c r="D132" s="385" t="s">
        <v>301</v>
      </c>
      <c r="E132" s="385" t="s">
        <v>25</v>
      </c>
      <c r="F132" s="385" t="s">
        <v>26</v>
      </c>
      <c r="G132" s="526" t="s">
        <v>1858</v>
      </c>
      <c r="H132" s="535">
        <f>SUM(H133:H134)</f>
        <v>2.0244304000000004</v>
      </c>
      <c r="I132" s="535">
        <f>SUM(I133:I134)</f>
        <v>2</v>
      </c>
    </row>
    <row r="133" spans="2:9" outlineLevel="2">
      <c r="B133" s="372">
        <v>1</v>
      </c>
      <c r="C133" s="372" t="s">
        <v>301</v>
      </c>
      <c r="D133" s="372" t="s">
        <v>301</v>
      </c>
      <c r="E133" s="372" t="s">
        <v>25</v>
      </c>
      <c r="F133" s="372" t="s">
        <v>26</v>
      </c>
      <c r="G133" s="468" t="s">
        <v>31</v>
      </c>
      <c r="H133" s="474">
        <v>1.5183228000000002</v>
      </c>
      <c r="I133" s="474">
        <v>1</v>
      </c>
    </row>
    <row r="134" spans="2:9" outlineLevel="2">
      <c r="B134" s="372">
        <v>1</v>
      </c>
      <c r="C134" s="372" t="s">
        <v>301</v>
      </c>
      <c r="D134" s="372" t="s">
        <v>301</v>
      </c>
      <c r="E134" s="372" t="s">
        <v>25</v>
      </c>
      <c r="F134" s="372" t="s">
        <v>26</v>
      </c>
      <c r="G134" s="468" t="s">
        <v>170</v>
      </c>
      <c r="H134" s="474">
        <v>0.5061076000000001</v>
      </c>
      <c r="I134" s="474">
        <v>1</v>
      </c>
    </row>
    <row r="135" spans="2:9" outlineLevel="1">
      <c r="B135" s="372"/>
      <c r="C135" s="385" t="s">
        <v>308</v>
      </c>
      <c r="D135" s="385" t="s">
        <v>308</v>
      </c>
      <c r="E135" s="385" t="s">
        <v>25</v>
      </c>
      <c r="F135" s="385" t="s">
        <v>26</v>
      </c>
      <c r="G135" s="526" t="s">
        <v>1869</v>
      </c>
      <c r="H135" s="535">
        <f>SUM(H136)</f>
        <v>1.5621756360000001</v>
      </c>
      <c r="I135" s="535">
        <f>SUM(I136)</f>
        <v>1</v>
      </c>
    </row>
    <row r="136" spans="2:9" outlineLevel="2">
      <c r="B136" s="372">
        <v>1</v>
      </c>
      <c r="C136" s="372" t="s">
        <v>308</v>
      </c>
      <c r="D136" s="372" t="s">
        <v>308</v>
      </c>
      <c r="E136" s="372" t="s">
        <v>25</v>
      </c>
      <c r="F136" s="372" t="s">
        <v>26</v>
      </c>
      <c r="G136" s="468" t="s">
        <v>31</v>
      </c>
      <c r="H136" s="474">
        <v>1.5621756360000001</v>
      </c>
      <c r="I136" s="474">
        <v>1</v>
      </c>
    </row>
    <row r="137" spans="2:9" outlineLevel="1">
      <c r="B137" s="372"/>
      <c r="C137" s="385" t="s">
        <v>312</v>
      </c>
      <c r="D137" s="385" t="s">
        <v>312</v>
      </c>
      <c r="E137" s="385" t="s">
        <v>25</v>
      </c>
      <c r="F137" s="385" t="s">
        <v>26</v>
      </c>
      <c r="G137" s="526" t="s">
        <v>1867</v>
      </c>
      <c r="H137" s="535">
        <f>SUM(H138)</f>
        <v>0.52072521199999999</v>
      </c>
      <c r="I137" s="535">
        <f>SUM(I138)</f>
        <v>1</v>
      </c>
    </row>
    <row r="138" spans="2:9" outlineLevel="2">
      <c r="B138" s="372">
        <v>1</v>
      </c>
      <c r="C138" s="372" t="s">
        <v>312</v>
      </c>
      <c r="D138" s="372" t="s">
        <v>312</v>
      </c>
      <c r="E138" s="372" t="s">
        <v>25</v>
      </c>
      <c r="F138" s="372" t="s">
        <v>26</v>
      </c>
      <c r="G138" s="468" t="s">
        <v>31</v>
      </c>
      <c r="H138" s="474">
        <v>0.52072521199999999</v>
      </c>
      <c r="I138" s="474">
        <v>1</v>
      </c>
    </row>
    <row r="139" spans="2:9" outlineLevel="1">
      <c r="B139" s="372"/>
      <c r="C139" s="385" t="s">
        <v>271</v>
      </c>
      <c r="D139" s="385" t="s">
        <v>271</v>
      </c>
      <c r="E139" s="385" t="s">
        <v>25</v>
      </c>
      <c r="F139" s="385" t="s">
        <v>26</v>
      </c>
      <c r="G139" s="526" t="s">
        <v>1868</v>
      </c>
      <c r="H139" s="535">
        <f>SUM(H140:H142)</f>
        <v>0.57240000000000002</v>
      </c>
      <c r="I139" s="535">
        <f>SUM(I140:I142)</f>
        <v>3</v>
      </c>
    </row>
    <row r="140" spans="2:9" outlineLevel="2">
      <c r="B140" s="372">
        <v>1</v>
      </c>
      <c r="C140" s="372" t="s">
        <v>271</v>
      </c>
      <c r="D140" s="372" t="s">
        <v>271</v>
      </c>
      <c r="E140" s="372" t="s">
        <v>25</v>
      </c>
      <c r="F140" s="372" t="s">
        <v>26</v>
      </c>
      <c r="G140" s="468" t="s">
        <v>31</v>
      </c>
      <c r="H140" s="474">
        <v>0.1431</v>
      </c>
      <c r="I140" s="474">
        <v>1</v>
      </c>
    </row>
    <row r="141" spans="2:9" outlineLevel="2">
      <c r="B141" s="372">
        <v>1</v>
      </c>
      <c r="C141" s="372" t="s">
        <v>271</v>
      </c>
      <c r="D141" s="372" t="s">
        <v>271</v>
      </c>
      <c r="E141" s="372" t="s">
        <v>25</v>
      </c>
      <c r="F141" s="372" t="s">
        <v>26</v>
      </c>
      <c r="G141" s="468" t="s">
        <v>33</v>
      </c>
      <c r="H141" s="474">
        <v>0.28620000000000001</v>
      </c>
      <c r="I141" s="474">
        <v>1</v>
      </c>
    </row>
    <row r="142" spans="2:9" outlineLevel="2">
      <c r="B142" s="372">
        <v>1</v>
      </c>
      <c r="C142" s="372" t="s">
        <v>271</v>
      </c>
      <c r="D142" s="372" t="s">
        <v>271</v>
      </c>
      <c r="E142" s="372" t="s">
        <v>25</v>
      </c>
      <c r="F142" s="372" t="s">
        <v>26</v>
      </c>
      <c r="G142" s="468" t="s">
        <v>326</v>
      </c>
      <c r="H142" s="474">
        <v>0.1431</v>
      </c>
      <c r="I142" s="474">
        <v>1</v>
      </c>
    </row>
    <row r="143" spans="2:9" outlineLevel="1">
      <c r="B143" s="372"/>
      <c r="C143" s="385" t="s">
        <v>328</v>
      </c>
      <c r="D143" s="385" t="s">
        <v>121</v>
      </c>
      <c r="E143" s="385" t="s">
        <v>25</v>
      </c>
      <c r="F143" s="385" t="s">
        <v>26</v>
      </c>
      <c r="G143" s="526" t="s">
        <v>1875</v>
      </c>
      <c r="H143" s="535">
        <f>SUM(H144:H145)</f>
        <v>0.72504000000000002</v>
      </c>
      <c r="I143" s="535">
        <f>SUM(I144:I145)</f>
        <v>2</v>
      </c>
    </row>
    <row r="144" spans="2:9" outlineLevel="2">
      <c r="B144" s="372">
        <v>2</v>
      </c>
      <c r="C144" s="372" t="s">
        <v>328</v>
      </c>
      <c r="D144" s="372" t="s">
        <v>121</v>
      </c>
      <c r="E144" s="372" t="s">
        <v>25</v>
      </c>
      <c r="F144" s="372" t="s">
        <v>26</v>
      </c>
      <c r="G144" s="468" t="s">
        <v>31</v>
      </c>
      <c r="H144" s="474">
        <v>0.36252000000000001</v>
      </c>
      <c r="I144" s="474">
        <v>1</v>
      </c>
    </row>
    <row r="145" spans="2:9" outlineLevel="2">
      <c r="B145" s="372">
        <v>2</v>
      </c>
      <c r="C145" s="372" t="s">
        <v>328</v>
      </c>
      <c r="D145" s="372" t="s">
        <v>121</v>
      </c>
      <c r="E145" s="372" t="s">
        <v>25</v>
      </c>
      <c r="F145" s="372" t="s">
        <v>26</v>
      </c>
      <c r="G145" s="468" t="s">
        <v>326</v>
      </c>
      <c r="H145" s="474">
        <v>0.36252000000000001</v>
      </c>
      <c r="I145" s="474">
        <v>1</v>
      </c>
    </row>
    <row r="146" spans="2:9" outlineLevel="1">
      <c r="B146" s="372"/>
      <c r="C146" s="385" t="s">
        <v>332</v>
      </c>
      <c r="D146" s="385" t="s">
        <v>121</v>
      </c>
      <c r="E146" s="385" t="s">
        <v>25</v>
      </c>
      <c r="F146" s="385" t="s">
        <v>26</v>
      </c>
      <c r="G146" s="526" t="s">
        <v>1876</v>
      </c>
      <c r="H146" s="535">
        <f>SUM(H147)</f>
        <v>0.20033977216751808</v>
      </c>
      <c r="I146" s="535">
        <f>SUM(I147)</f>
        <v>1</v>
      </c>
    </row>
    <row r="147" spans="2:9" outlineLevel="2">
      <c r="B147" s="372">
        <v>3</v>
      </c>
      <c r="C147" s="372" t="s">
        <v>332</v>
      </c>
      <c r="D147" s="372" t="s">
        <v>121</v>
      </c>
      <c r="E147" s="372" t="s">
        <v>25</v>
      </c>
      <c r="F147" s="372" t="s">
        <v>26</v>
      </c>
      <c r="G147" s="468" t="s">
        <v>31</v>
      </c>
      <c r="H147" s="474">
        <v>0.20033977216751808</v>
      </c>
      <c r="I147" s="474">
        <v>1</v>
      </c>
    </row>
    <row r="148" spans="2:9" outlineLevel="1">
      <c r="B148" s="372"/>
      <c r="C148" s="385" t="s">
        <v>335</v>
      </c>
      <c r="D148" s="385" t="s">
        <v>121</v>
      </c>
      <c r="E148" s="385" t="s">
        <v>25</v>
      </c>
      <c r="F148" s="385" t="s">
        <v>26</v>
      </c>
      <c r="G148" s="526" t="s">
        <v>1877</v>
      </c>
      <c r="H148" s="535">
        <f>SUM(H149:H152)</f>
        <v>0.5747066038098001</v>
      </c>
      <c r="I148" s="535">
        <f>SUM(I149:I152)</f>
        <v>4</v>
      </c>
    </row>
    <row r="149" spans="2:9" outlineLevel="2">
      <c r="B149" s="372">
        <v>1</v>
      </c>
      <c r="C149" s="372" t="s">
        <v>335</v>
      </c>
      <c r="D149" s="372" t="s">
        <v>121</v>
      </c>
      <c r="E149" s="372" t="s">
        <v>25</v>
      </c>
      <c r="F149" s="372" t="s">
        <v>26</v>
      </c>
      <c r="G149" s="468" t="s">
        <v>31</v>
      </c>
      <c r="H149" s="474">
        <v>0.12908390889240001</v>
      </c>
      <c r="I149" s="474">
        <v>1</v>
      </c>
    </row>
    <row r="150" spans="2:9" outlineLevel="2">
      <c r="B150" s="372">
        <v>1</v>
      </c>
      <c r="C150" s="372" t="s">
        <v>335</v>
      </c>
      <c r="D150" s="372" t="s">
        <v>121</v>
      </c>
      <c r="E150" s="372" t="s">
        <v>25</v>
      </c>
      <c r="F150" s="372" t="s">
        <v>26</v>
      </c>
      <c r="G150" s="468" t="s">
        <v>33</v>
      </c>
      <c r="H150" s="474">
        <v>0.25816781778480002</v>
      </c>
      <c r="I150" s="474">
        <v>1</v>
      </c>
    </row>
    <row r="151" spans="2:9" outlineLevel="2">
      <c r="B151" s="372">
        <v>1</v>
      </c>
      <c r="C151" s="372" t="s">
        <v>335</v>
      </c>
      <c r="D151" s="372" t="s">
        <v>121</v>
      </c>
      <c r="E151" s="372" t="s">
        <v>25</v>
      </c>
      <c r="F151" s="372" t="s">
        <v>26</v>
      </c>
      <c r="G151" s="468" t="s">
        <v>326</v>
      </c>
      <c r="H151" s="474">
        <v>0.12908390889240001</v>
      </c>
      <c r="I151" s="474">
        <v>1</v>
      </c>
    </row>
    <row r="152" spans="2:9" outlineLevel="2">
      <c r="B152" s="372">
        <v>1</v>
      </c>
      <c r="C152" s="372" t="s">
        <v>335</v>
      </c>
      <c r="D152" s="372" t="s">
        <v>121</v>
      </c>
      <c r="E152" s="372" t="s">
        <v>25</v>
      </c>
      <c r="F152" s="372" t="s">
        <v>26</v>
      </c>
      <c r="G152" s="468" t="s">
        <v>338</v>
      </c>
      <c r="H152" s="474">
        <v>5.8370968240200008E-2</v>
      </c>
      <c r="I152" s="474">
        <v>1</v>
      </c>
    </row>
    <row r="153" spans="2:9" outlineLevel="1">
      <c r="B153" s="372"/>
      <c r="C153" s="385" t="s">
        <v>340</v>
      </c>
      <c r="D153" s="385" t="s">
        <v>121</v>
      </c>
      <c r="E153" s="385" t="s">
        <v>25</v>
      </c>
      <c r="F153" s="385" t="s">
        <v>26</v>
      </c>
      <c r="G153" s="526" t="s">
        <v>1878</v>
      </c>
      <c r="H153" s="535">
        <v>0</v>
      </c>
      <c r="I153" s="535">
        <v>0</v>
      </c>
    </row>
    <row r="154" spans="2:9" outlineLevel="1">
      <c r="B154" s="372"/>
      <c r="C154" s="385" t="s">
        <v>344</v>
      </c>
      <c r="D154" s="385" t="s">
        <v>344</v>
      </c>
      <c r="E154" s="385" t="s">
        <v>25</v>
      </c>
      <c r="F154" s="385" t="s">
        <v>26</v>
      </c>
      <c r="G154" s="526" t="s">
        <v>1879</v>
      </c>
      <c r="H154" s="535">
        <v>0</v>
      </c>
      <c r="I154" s="535">
        <v>0</v>
      </c>
    </row>
    <row r="155" spans="2:9" outlineLevel="1">
      <c r="B155" s="372"/>
      <c r="C155" s="385" t="s">
        <v>350</v>
      </c>
      <c r="D155" s="385" t="s">
        <v>350</v>
      </c>
      <c r="E155" s="385" t="s">
        <v>25</v>
      </c>
      <c r="F155" s="385" t="s">
        <v>26</v>
      </c>
      <c r="G155" s="526" t="s">
        <v>1863</v>
      </c>
      <c r="H155" s="535">
        <v>0</v>
      </c>
      <c r="I155" s="535">
        <v>0</v>
      </c>
    </row>
    <row r="156" spans="2:9" outlineLevel="1">
      <c r="B156" s="372"/>
      <c r="C156" s="385" t="s">
        <v>251</v>
      </c>
      <c r="D156" s="385" t="s">
        <v>252</v>
      </c>
      <c r="E156" s="385" t="s">
        <v>25</v>
      </c>
      <c r="F156" s="385" t="s">
        <v>26</v>
      </c>
      <c r="G156" s="526" t="s">
        <v>1890</v>
      </c>
      <c r="H156" s="535">
        <f>SUM(H157)</f>
        <v>8.0000000000000004E-4</v>
      </c>
      <c r="I156" s="535">
        <f>SUM(I157)</f>
        <v>1</v>
      </c>
    </row>
    <row r="157" spans="2:9" outlineLevel="2">
      <c r="B157" s="372">
        <v>1</v>
      </c>
      <c r="C157" s="372" t="s">
        <v>251</v>
      </c>
      <c r="D157" s="372" t="s">
        <v>252</v>
      </c>
      <c r="E157" s="372" t="s">
        <v>25</v>
      </c>
      <c r="F157" s="372" t="s">
        <v>26</v>
      </c>
      <c r="G157" s="468" t="s">
        <v>256</v>
      </c>
      <c r="H157" s="474">
        <v>8.0000000000000004E-4</v>
      </c>
      <c r="I157" s="474">
        <v>1</v>
      </c>
    </row>
    <row r="158" spans="2:9" outlineLevel="1">
      <c r="B158" s="372"/>
      <c r="C158" s="385" t="s">
        <v>356</v>
      </c>
      <c r="D158" s="385" t="s">
        <v>356</v>
      </c>
      <c r="E158" s="385" t="s">
        <v>25</v>
      </c>
      <c r="F158" s="385" t="s">
        <v>26</v>
      </c>
      <c r="G158" s="526" t="s">
        <v>1892</v>
      </c>
      <c r="H158" s="535">
        <f>SUM(H159)</f>
        <v>2.0043571200000002E-2</v>
      </c>
      <c r="I158" s="535">
        <f>SUM(I159)</f>
        <v>1</v>
      </c>
    </row>
    <row r="159" spans="2:9" outlineLevel="2">
      <c r="B159" s="372">
        <v>3</v>
      </c>
      <c r="C159" s="372" t="s">
        <v>356</v>
      </c>
      <c r="D159" s="372" t="s">
        <v>356</v>
      </c>
      <c r="E159" s="372" t="s">
        <v>25</v>
      </c>
      <c r="F159" s="372" t="s">
        <v>26</v>
      </c>
      <c r="G159" s="468" t="s">
        <v>236</v>
      </c>
      <c r="H159" s="474">
        <v>2.0043571200000002E-2</v>
      </c>
      <c r="I159" s="474">
        <v>1</v>
      </c>
    </row>
    <row r="160" spans="2:9" outlineLevel="1">
      <c r="B160" s="372"/>
      <c r="C160" s="385" t="s">
        <v>364</v>
      </c>
      <c r="D160" s="385" t="s">
        <v>365</v>
      </c>
      <c r="E160" s="385" t="s">
        <v>25</v>
      </c>
      <c r="F160" s="385" t="s">
        <v>26</v>
      </c>
      <c r="G160" s="526" t="s">
        <v>1870</v>
      </c>
      <c r="H160" s="535">
        <f>SUM(H161:H162)</f>
        <v>0.62984501100000001</v>
      </c>
      <c r="I160" s="535">
        <f>SUM(I161:I162)</f>
        <v>2</v>
      </c>
    </row>
    <row r="161" spans="2:9" outlineLevel="2">
      <c r="B161" s="372">
        <v>2</v>
      </c>
      <c r="C161" s="372" t="s">
        <v>364</v>
      </c>
      <c r="D161" s="372" t="s">
        <v>365</v>
      </c>
      <c r="E161" s="372" t="s">
        <v>25</v>
      </c>
      <c r="F161" s="372" t="s">
        <v>26</v>
      </c>
      <c r="G161" s="468" t="s">
        <v>368</v>
      </c>
      <c r="H161" s="474">
        <v>0.26984501099999997</v>
      </c>
      <c r="I161" s="474">
        <v>1</v>
      </c>
    </row>
    <row r="162" spans="2:9" outlineLevel="2">
      <c r="B162" s="372">
        <v>2</v>
      </c>
      <c r="C162" s="372" t="s">
        <v>364</v>
      </c>
      <c r="D162" s="372" t="s">
        <v>365</v>
      </c>
      <c r="E162" s="372" t="s">
        <v>25</v>
      </c>
      <c r="F162" s="372" t="s">
        <v>26</v>
      </c>
      <c r="G162" s="468" t="s">
        <v>292</v>
      </c>
      <c r="H162" s="474">
        <v>0.36</v>
      </c>
      <c r="I162" s="474">
        <v>1</v>
      </c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2:Y170"/>
  <sheetViews>
    <sheetView zoomScaleNormal="100" workbookViewId="0">
      <pane xSplit="3" ySplit="4" topLeftCell="D11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4140625" defaultRowHeight="13.2" outlineLevelRow="2"/>
  <cols>
    <col min="1" max="1" width="0.5546875" style="373" customWidth="1"/>
    <col min="2" max="2" width="6.44140625" style="373" bestFit="1" customWidth="1"/>
    <col min="3" max="3" width="19.44140625" style="373" customWidth="1"/>
    <col min="4" max="4" width="16.33203125" style="373" bestFit="1" customWidth="1"/>
    <col min="5" max="5" width="12.5546875" style="373" customWidth="1"/>
    <col min="6" max="6" width="13.6640625" style="373" bestFit="1" customWidth="1"/>
    <col min="7" max="7" width="66.33203125" style="491" bestFit="1" customWidth="1"/>
    <col min="8" max="9" width="11" style="373" customWidth="1"/>
    <col min="10" max="10" width="0.5546875" style="373" customWidth="1"/>
    <col min="11" max="12" width="9.44140625" style="373"/>
    <col min="13" max="14" width="9.5546875" style="373" bestFit="1" customWidth="1"/>
    <col min="15" max="15" width="7" style="373" bestFit="1" customWidth="1"/>
    <col min="16" max="16" width="8.5546875" style="373" bestFit="1" customWidth="1"/>
    <col min="17" max="17" width="12.5546875" style="373" customWidth="1"/>
    <col min="18" max="18" width="7.5546875" style="373" bestFit="1" customWidth="1"/>
    <col min="19" max="19" width="5.5546875" style="373" bestFit="1" customWidth="1"/>
    <col min="20" max="20" width="9.44140625" style="373" bestFit="1" customWidth="1"/>
    <col min="21" max="24" width="9.44140625" style="373"/>
    <col min="25" max="25" width="9.44140625" style="373" bestFit="1" customWidth="1"/>
    <col min="26" max="16384" width="9.44140625" style="373"/>
  </cols>
  <sheetData>
    <row r="2" spans="1:25" s="416" customFormat="1" ht="17.399999999999999">
      <c r="A2" s="376"/>
      <c r="B2" s="376"/>
      <c r="C2" s="418" t="s">
        <v>1847</v>
      </c>
      <c r="D2" s="418"/>
      <c r="E2" s="418"/>
      <c r="F2" s="418"/>
      <c r="G2" s="469"/>
      <c r="H2" s="419" t="s">
        <v>1</v>
      </c>
      <c r="I2" s="419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18.674600815481217</v>
      </c>
      <c r="I4" s="434">
        <f>SUM(I7)</f>
        <v>127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1859</v>
      </c>
      <c r="C7" s="470" t="s">
        <v>498</v>
      </c>
      <c r="D7" s="471"/>
      <c r="E7" s="471"/>
      <c r="F7" s="471"/>
      <c r="G7" s="471"/>
      <c r="H7" s="473">
        <f>SUM(H9,H11,H24,H27,H32,H36,H39,H42,H48,H50,H55,H57,H60,H61,H62,H63,H76,H67,H78,H79,H87,H91,H96,H101,H107,H110,H113,H121,H132,H140,H157,H158,H159,H160,H165)</f>
        <v>18.674600815481217</v>
      </c>
      <c r="I7" s="473">
        <f>SUM(I9,I11,I24,I27,I32,I36,I39,I42,I48,I50,I55,I57,I60,I61,I62,I63,I67,I76,I78,I79,I87,I91,I96,I101,I107,I110,I113,I121,I132,I140,I157,I158,I159,I160,I165)</f>
        <v>127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372"/>
      <c r="H8" s="474"/>
      <c r="I8" s="474"/>
      <c r="J8" s="372"/>
    </row>
    <row r="9" spans="1:25" outlineLevel="1">
      <c r="C9" s="390" t="s">
        <v>14</v>
      </c>
      <c r="D9" s="390" t="s">
        <v>22</v>
      </c>
      <c r="E9" s="385" t="s">
        <v>27</v>
      </c>
      <c r="F9" s="390" t="s">
        <v>498</v>
      </c>
      <c r="G9" s="475" t="s">
        <v>1860</v>
      </c>
      <c r="H9" s="490">
        <f>SUM(H10)</f>
        <v>1.4336873100000001E-2</v>
      </c>
      <c r="I9" s="490">
        <f>SUM(I10)</f>
        <v>1</v>
      </c>
    </row>
    <row r="10" spans="1:25" outlineLevel="2">
      <c r="B10" s="373">
        <v>1</v>
      </c>
      <c r="C10" s="373" t="s">
        <v>14</v>
      </c>
      <c r="D10" s="373" t="s">
        <v>22</v>
      </c>
      <c r="E10" s="372" t="s">
        <v>27</v>
      </c>
      <c r="F10" s="373" t="s">
        <v>498</v>
      </c>
      <c r="G10" s="468" t="s">
        <v>23</v>
      </c>
      <c r="H10" s="480">
        <v>1.4336873100000001E-2</v>
      </c>
      <c r="I10" s="480">
        <v>1</v>
      </c>
    </row>
    <row r="11" spans="1:25" outlineLevel="1">
      <c r="C11" s="390" t="s">
        <v>14</v>
      </c>
      <c r="D11" s="390" t="s">
        <v>29</v>
      </c>
      <c r="E11" s="390"/>
      <c r="F11" s="390" t="s">
        <v>498</v>
      </c>
      <c r="G11" s="475" t="s">
        <v>1860</v>
      </c>
      <c r="H11" s="490">
        <f>SUM(H12:H23)</f>
        <v>0.36573175713220468</v>
      </c>
      <c r="I11" s="490">
        <f>SUM(I12:I23)</f>
        <v>12</v>
      </c>
    </row>
    <row r="12" spans="1:25" outlineLevel="2">
      <c r="B12" s="373">
        <v>1</v>
      </c>
      <c r="C12" s="373" t="s">
        <v>14</v>
      </c>
      <c r="D12" s="373" t="s">
        <v>29</v>
      </c>
      <c r="E12" s="372" t="s">
        <v>27</v>
      </c>
      <c r="F12" s="373" t="s">
        <v>498</v>
      </c>
      <c r="G12" s="491" t="s">
        <v>54</v>
      </c>
      <c r="H12" s="493">
        <v>2.1499694035440806E-2</v>
      </c>
      <c r="I12" s="493">
        <v>1</v>
      </c>
    </row>
    <row r="13" spans="1:25" outlineLevel="2">
      <c r="B13" s="373">
        <v>1</v>
      </c>
      <c r="C13" s="373" t="s">
        <v>14</v>
      </c>
      <c r="D13" s="373" t="s">
        <v>29</v>
      </c>
      <c r="E13" s="372" t="s">
        <v>27</v>
      </c>
      <c r="F13" s="373" t="s">
        <v>498</v>
      </c>
      <c r="G13" s="491" t="s">
        <v>55</v>
      </c>
      <c r="H13" s="493">
        <v>2.1499694035440806E-2</v>
      </c>
      <c r="I13" s="493">
        <v>1</v>
      </c>
    </row>
    <row r="14" spans="1:25" outlineLevel="2">
      <c r="B14" s="373">
        <v>1</v>
      </c>
      <c r="C14" s="373" t="s">
        <v>14</v>
      </c>
      <c r="D14" s="373" t="s">
        <v>29</v>
      </c>
      <c r="E14" s="372" t="s">
        <v>27</v>
      </c>
      <c r="F14" s="373" t="s">
        <v>498</v>
      </c>
      <c r="G14" s="491" t="s">
        <v>56</v>
      </c>
      <c r="H14" s="493">
        <v>9.4245302543668119E-4</v>
      </c>
      <c r="I14" s="493">
        <v>1</v>
      </c>
    </row>
    <row r="15" spans="1:25" outlineLevel="2">
      <c r="B15" s="373">
        <v>1</v>
      </c>
      <c r="C15" s="373" t="s">
        <v>14</v>
      </c>
      <c r="D15" s="373" t="s">
        <v>29</v>
      </c>
      <c r="E15" s="372" t="s">
        <v>27</v>
      </c>
      <c r="F15" s="373" t="s">
        <v>498</v>
      </c>
      <c r="G15" s="491" t="s">
        <v>57</v>
      </c>
      <c r="H15" s="493">
        <v>1.8849060508733624E-3</v>
      </c>
      <c r="I15" s="493">
        <v>1</v>
      </c>
    </row>
    <row r="16" spans="1:25" outlineLevel="2">
      <c r="B16" s="373">
        <v>1</v>
      </c>
      <c r="C16" s="373" t="s">
        <v>14</v>
      </c>
      <c r="D16" s="373" t="s">
        <v>29</v>
      </c>
      <c r="E16" s="372" t="s">
        <v>27</v>
      </c>
      <c r="F16" s="373" t="s">
        <v>498</v>
      </c>
      <c r="G16" s="491" t="s">
        <v>36</v>
      </c>
      <c r="H16" s="493">
        <v>2.8273590763100436E-3</v>
      </c>
      <c r="I16" s="493">
        <v>1</v>
      </c>
    </row>
    <row r="17" spans="2:9" outlineLevel="2">
      <c r="B17" s="373">
        <v>1</v>
      </c>
      <c r="C17" s="373" t="s">
        <v>14</v>
      </c>
      <c r="D17" s="373" t="s">
        <v>29</v>
      </c>
      <c r="E17" s="372" t="s">
        <v>27</v>
      </c>
      <c r="F17" s="373" t="s">
        <v>498</v>
      </c>
      <c r="G17" s="491" t="s">
        <v>34</v>
      </c>
      <c r="H17" s="493">
        <v>0.10494596538461541</v>
      </c>
      <c r="I17" s="493">
        <v>1</v>
      </c>
    </row>
    <row r="18" spans="2:9" outlineLevel="2">
      <c r="B18" s="373">
        <v>1</v>
      </c>
      <c r="C18" s="373" t="s">
        <v>14</v>
      </c>
      <c r="D18" s="373" t="s">
        <v>29</v>
      </c>
      <c r="E18" s="372" t="s">
        <v>27</v>
      </c>
      <c r="F18" s="373" t="s">
        <v>498</v>
      </c>
      <c r="G18" s="491" t="s">
        <v>44</v>
      </c>
      <c r="H18" s="493">
        <v>0.04</v>
      </c>
      <c r="I18" s="493">
        <v>1</v>
      </c>
    </row>
    <row r="19" spans="2:9" outlineLevel="2">
      <c r="B19" s="373">
        <v>1</v>
      </c>
      <c r="C19" s="373" t="s">
        <v>14</v>
      </c>
      <c r="D19" s="373" t="s">
        <v>29</v>
      </c>
      <c r="E19" s="372" t="s">
        <v>58</v>
      </c>
      <c r="F19" s="373" t="s">
        <v>498</v>
      </c>
      <c r="G19" s="491" t="s">
        <v>31</v>
      </c>
      <c r="H19" s="493">
        <v>4.7863519954722676E-2</v>
      </c>
      <c r="I19" s="493">
        <v>1</v>
      </c>
    </row>
    <row r="20" spans="2:9" outlineLevel="2">
      <c r="B20" s="373">
        <v>1</v>
      </c>
      <c r="C20" s="373" t="s">
        <v>14</v>
      </c>
      <c r="D20" s="373" t="s">
        <v>29</v>
      </c>
      <c r="E20" s="372" t="s">
        <v>58</v>
      </c>
      <c r="F20" s="373" t="s">
        <v>498</v>
      </c>
      <c r="G20" s="491" t="s">
        <v>59</v>
      </c>
      <c r="H20" s="493">
        <v>4.7863519954722676E-2</v>
      </c>
      <c r="I20" s="493">
        <v>1</v>
      </c>
    </row>
    <row r="21" spans="2:9" outlineLevel="2">
      <c r="B21" s="373">
        <v>2</v>
      </c>
      <c r="C21" s="373" t="s">
        <v>14</v>
      </c>
      <c r="D21" s="373" t="s">
        <v>29</v>
      </c>
      <c r="E21" s="372" t="s">
        <v>58</v>
      </c>
      <c r="F21" s="373" t="s">
        <v>498</v>
      </c>
      <c r="G21" s="491" t="s">
        <v>60</v>
      </c>
      <c r="H21" s="493">
        <v>4.6404645614642186E-2</v>
      </c>
      <c r="I21" s="493">
        <v>1</v>
      </c>
    </row>
    <row r="22" spans="2:9" outlineLevel="2">
      <c r="B22" s="373">
        <v>2</v>
      </c>
      <c r="C22" s="373" t="s">
        <v>14</v>
      </c>
      <c r="D22" s="373" t="s">
        <v>29</v>
      </c>
      <c r="E22" s="372" t="s">
        <v>58</v>
      </c>
      <c r="F22" s="373" t="s">
        <v>498</v>
      </c>
      <c r="G22" s="491" t="s">
        <v>61</v>
      </c>
      <c r="H22" s="493">
        <v>0.02</v>
      </c>
      <c r="I22" s="493">
        <v>1</v>
      </c>
    </row>
    <row r="23" spans="2:9" outlineLevel="2">
      <c r="B23" s="373">
        <v>2</v>
      </c>
      <c r="C23" s="373" t="s">
        <v>14</v>
      </c>
      <c r="D23" s="373" t="s">
        <v>29</v>
      </c>
      <c r="E23" s="372" t="s">
        <v>58</v>
      </c>
      <c r="F23" s="373" t="s">
        <v>498</v>
      </c>
      <c r="G23" s="491" t="s">
        <v>45</v>
      </c>
      <c r="H23" s="493">
        <v>0.01</v>
      </c>
      <c r="I23" s="493">
        <v>1</v>
      </c>
    </row>
    <row r="24" spans="2:9" outlineLevel="1">
      <c r="C24" s="390" t="s">
        <v>62</v>
      </c>
      <c r="D24" s="390" t="s">
        <v>63</v>
      </c>
      <c r="E24" s="390"/>
      <c r="F24" s="390" t="s">
        <v>498</v>
      </c>
      <c r="G24" s="475" t="s">
        <v>1864</v>
      </c>
      <c r="H24" s="490">
        <f>SUM(H25:H26)</f>
        <v>0.16750548359999998</v>
      </c>
      <c r="I24" s="490">
        <f>SUM(I25:I26)</f>
        <v>2</v>
      </c>
    </row>
    <row r="25" spans="2:9" outlineLevel="2">
      <c r="B25" s="373">
        <v>1</v>
      </c>
      <c r="C25" s="373" t="s">
        <v>62</v>
      </c>
      <c r="D25" s="373" t="s">
        <v>63</v>
      </c>
      <c r="E25" s="372" t="s">
        <v>27</v>
      </c>
      <c r="F25" s="373" t="s">
        <v>498</v>
      </c>
      <c r="G25" s="491" t="s">
        <v>44</v>
      </c>
      <c r="H25" s="493">
        <v>3.8655111599999993E-2</v>
      </c>
      <c r="I25" s="493">
        <v>1</v>
      </c>
    </row>
    <row r="26" spans="2:9" outlineLevel="2">
      <c r="B26" s="373">
        <v>1</v>
      </c>
      <c r="C26" s="373" t="s">
        <v>62</v>
      </c>
      <c r="D26" s="373" t="s">
        <v>63</v>
      </c>
      <c r="E26" s="372" t="s">
        <v>27</v>
      </c>
      <c r="F26" s="373" t="s">
        <v>498</v>
      </c>
      <c r="G26" s="491" t="s">
        <v>23</v>
      </c>
      <c r="H26" s="493">
        <v>0.12885037199999999</v>
      </c>
      <c r="I26" s="493">
        <v>1</v>
      </c>
    </row>
    <row r="27" spans="2:9" outlineLevel="1">
      <c r="C27" s="390" t="s">
        <v>74</v>
      </c>
      <c r="D27" s="390" t="s">
        <v>75</v>
      </c>
      <c r="E27" s="390"/>
      <c r="F27" s="390" t="s">
        <v>498</v>
      </c>
      <c r="G27" s="475" t="s">
        <v>1861</v>
      </c>
      <c r="H27" s="490">
        <f>SUM(H28:H31)</f>
        <v>0.40327449999999998</v>
      </c>
      <c r="I27" s="490">
        <f>SUM(I28:I31)</f>
        <v>4</v>
      </c>
    </row>
    <row r="28" spans="2:9" outlineLevel="2">
      <c r="B28" s="373">
        <v>1</v>
      </c>
      <c r="C28" s="373" t="s">
        <v>74</v>
      </c>
      <c r="D28" s="373" t="s">
        <v>75</v>
      </c>
      <c r="E28" s="372" t="s">
        <v>27</v>
      </c>
      <c r="F28" s="373" t="s">
        <v>498</v>
      </c>
      <c r="G28" s="491" t="s">
        <v>87</v>
      </c>
      <c r="H28" s="493">
        <v>0.36</v>
      </c>
      <c r="I28" s="493">
        <v>1</v>
      </c>
    </row>
    <row r="29" spans="2:9" outlineLevel="2">
      <c r="B29" s="373">
        <v>1</v>
      </c>
      <c r="C29" s="373" t="s">
        <v>74</v>
      </c>
      <c r="D29" s="373" t="s">
        <v>75</v>
      </c>
      <c r="E29" s="372" t="s">
        <v>27</v>
      </c>
      <c r="F29" s="373" t="s">
        <v>498</v>
      </c>
      <c r="G29" s="491" t="s">
        <v>89</v>
      </c>
      <c r="H29" s="493">
        <v>2.183E-3</v>
      </c>
      <c r="I29" s="493">
        <v>1</v>
      </c>
    </row>
    <row r="30" spans="2:9" outlineLevel="2">
      <c r="B30" s="373">
        <v>1</v>
      </c>
      <c r="C30" s="373" t="s">
        <v>74</v>
      </c>
      <c r="D30" s="373" t="s">
        <v>75</v>
      </c>
      <c r="E30" s="372" t="s">
        <v>27</v>
      </c>
      <c r="F30" s="373" t="s">
        <v>498</v>
      </c>
      <c r="G30" s="491" t="s">
        <v>88</v>
      </c>
      <c r="H30" s="493">
        <v>1.0915E-3</v>
      </c>
      <c r="I30" s="493">
        <v>1</v>
      </c>
    </row>
    <row r="31" spans="2:9" outlineLevel="2">
      <c r="B31" s="373">
        <v>1</v>
      </c>
      <c r="C31" s="373" t="s">
        <v>74</v>
      </c>
      <c r="D31" s="373" t="s">
        <v>75</v>
      </c>
      <c r="E31" s="372" t="s">
        <v>58</v>
      </c>
      <c r="F31" s="373" t="s">
        <v>498</v>
      </c>
      <c r="G31" s="491" t="s">
        <v>90</v>
      </c>
      <c r="H31" s="493">
        <v>0.04</v>
      </c>
      <c r="I31" s="493">
        <v>1</v>
      </c>
    </row>
    <row r="32" spans="2:9" outlineLevel="1">
      <c r="C32" s="390" t="s">
        <v>91</v>
      </c>
      <c r="D32" s="390" t="s">
        <v>92</v>
      </c>
      <c r="E32" s="390"/>
      <c r="F32" s="390" t="s">
        <v>498</v>
      </c>
      <c r="G32" s="475" t="s">
        <v>1862</v>
      </c>
      <c r="H32" s="490">
        <f>SUM(H33:H35)</f>
        <v>0.14000000000000001</v>
      </c>
      <c r="I32" s="490">
        <f>SUM(I33:I35)</f>
        <v>3</v>
      </c>
    </row>
    <row r="33" spans="2:9" outlineLevel="2">
      <c r="B33" s="373">
        <v>1</v>
      </c>
      <c r="C33" s="373" t="s">
        <v>91</v>
      </c>
      <c r="D33" s="373" t="s">
        <v>92</v>
      </c>
      <c r="E33" s="372" t="s">
        <v>27</v>
      </c>
      <c r="F33" s="373" t="s">
        <v>498</v>
      </c>
      <c r="G33" s="491" t="s">
        <v>113</v>
      </c>
      <c r="H33" s="493">
        <v>0.02</v>
      </c>
      <c r="I33" s="493">
        <v>1</v>
      </c>
    </row>
    <row r="34" spans="2:9" outlineLevel="2">
      <c r="B34" s="373">
        <v>1</v>
      </c>
      <c r="C34" s="373" t="s">
        <v>91</v>
      </c>
      <c r="D34" s="373" t="s">
        <v>92</v>
      </c>
      <c r="E34" s="372" t="s">
        <v>27</v>
      </c>
      <c r="F34" s="373" t="s">
        <v>498</v>
      </c>
      <c r="G34" s="491" t="s">
        <v>114</v>
      </c>
      <c r="H34" s="493">
        <v>0.06</v>
      </c>
      <c r="I34" s="493">
        <v>1</v>
      </c>
    </row>
    <row r="35" spans="2:9" outlineLevel="2">
      <c r="B35" s="373">
        <v>1</v>
      </c>
      <c r="C35" s="373" t="s">
        <v>91</v>
      </c>
      <c r="D35" s="373" t="s">
        <v>92</v>
      </c>
      <c r="E35" s="372" t="s">
        <v>27</v>
      </c>
      <c r="F35" s="373" t="s">
        <v>498</v>
      </c>
      <c r="G35" s="491" t="s">
        <v>115</v>
      </c>
      <c r="H35" s="493">
        <v>0.06</v>
      </c>
      <c r="I35" s="493">
        <v>1</v>
      </c>
    </row>
    <row r="36" spans="2:9" outlineLevel="1">
      <c r="C36" s="390" t="s">
        <v>130</v>
      </c>
      <c r="D36" s="390" t="s">
        <v>131</v>
      </c>
      <c r="E36" s="390"/>
      <c r="F36" s="390" t="s">
        <v>498</v>
      </c>
      <c r="G36" s="475" t="s">
        <v>1850</v>
      </c>
      <c r="H36" s="490">
        <f>SUM(H37:H38)</f>
        <v>3.1655887211519997E-2</v>
      </c>
      <c r="I36" s="490">
        <f>SUM(I37:I38)</f>
        <v>2</v>
      </c>
    </row>
    <row r="37" spans="2:9" outlineLevel="2">
      <c r="B37" s="373">
        <v>1</v>
      </c>
      <c r="C37" s="373" t="s">
        <v>130</v>
      </c>
      <c r="D37" s="373" t="s">
        <v>131</v>
      </c>
      <c r="E37" s="372" t="s">
        <v>27</v>
      </c>
      <c r="F37" s="373" t="s">
        <v>498</v>
      </c>
      <c r="G37" s="491" t="s">
        <v>157</v>
      </c>
      <c r="H37" s="493">
        <v>1.5827943605759998E-2</v>
      </c>
      <c r="I37" s="493">
        <v>1</v>
      </c>
    </row>
    <row r="38" spans="2:9" outlineLevel="2">
      <c r="B38" s="373">
        <v>1</v>
      </c>
      <c r="C38" s="373" t="s">
        <v>130</v>
      </c>
      <c r="D38" s="373" t="s">
        <v>131</v>
      </c>
      <c r="E38" s="372" t="s">
        <v>27</v>
      </c>
      <c r="F38" s="373" t="s">
        <v>498</v>
      </c>
      <c r="G38" s="491" t="s">
        <v>158</v>
      </c>
      <c r="H38" s="493">
        <v>1.5827943605759998E-2</v>
      </c>
      <c r="I38" s="493">
        <v>1</v>
      </c>
    </row>
    <row r="39" spans="2:9" outlineLevel="1">
      <c r="C39" s="390" t="s">
        <v>160</v>
      </c>
      <c r="D39" s="390" t="s">
        <v>22</v>
      </c>
      <c r="E39" s="390"/>
      <c r="F39" s="390" t="s">
        <v>498</v>
      </c>
      <c r="G39" s="475" t="s">
        <v>1851</v>
      </c>
      <c r="H39" s="490">
        <f>SUM(H40:H41)</f>
        <v>4.7122779914999996E-2</v>
      </c>
      <c r="I39" s="490">
        <f>SUM(I40:I41)</f>
        <v>2</v>
      </c>
    </row>
    <row r="40" spans="2:9" outlineLevel="2">
      <c r="B40" s="373">
        <v>2</v>
      </c>
      <c r="C40" s="373" t="s">
        <v>160</v>
      </c>
      <c r="D40" s="373" t="s">
        <v>22</v>
      </c>
      <c r="E40" s="373" t="s">
        <v>27</v>
      </c>
      <c r="F40" s="373" t="s">
        <v>498</v>
      </c>
      <c r="G40" s="494" t="s">
        <v>163</v>
      </c>
      <c r="H40" s="493">
        <v>1.6300332674999998E-2</v>
      </c>
      <c r="I40" s="493">
        <v>1</v>
      </c>
    </row>
    <row r="41" spans="2:9" outlineLevel="2">
      <c r="B41" s="373">
        <v>2</v>
      </c>
      <c r="C41" s="373" t="s">
        <v>160</v>
      </c>
      <c r="D41" s="373" t="s">
        <v>22</v>
      </c>
      <c r="E41" s="373" t="s">
        <v>27</v>
      </c>
      <c r="F41" s="373" t="s">
        <v>498</v>
      </c>
      <c r="G41" s="494" t="s">
        <v>164</v>
      </c>
      <c r="H41" s="493">
        <v>3.0822447240000002E-2</v>
      </c>
      <c r="I41" s="493">
        <v>1</v>
      </c>
    </row>
    <row r="42" spans="2:9" outlineLevel="1">
      <c r="C42" s="390" t="s">
        <v>296</v>
      </c>
      <c r="D42" s="390" t="s">
        <v>297</v>
      </c>
      <c r="E42" s="390"/>
      <c r="F42" s="390" t="s">
        <v>498</v>
      </c>
      <c r="G42" s="475" t="s">
        <v>1852</v>
      </c>
      <c r="H42" s="490">
        <f>SUM(H43:H47)</f>
        <v>2.1646138109098385</v>
      </c>
      <c r="I42" s="490">
        <f>SUM(I43:I47)</f>
        <v>5</v>
      </c>
    </row>
    <row r="43" spans="2:9" outlineLevel="2">
      <c r="B43" s="373">
        <v>2</v>
      </c>
      <c r="C43" s="373" t="s">
        <v>296</v>
      </c>
      <c r="D43" s="373" t="s">
        <v>297</v>
      </c>
      <c r="E43" s="373" t="s">
        <v>27</v>
      </c>
      <c r="F43" s="373" t="s">
        <v>28</v>
      </c>
      <c r="G43" s="491" t="s">
        <v>31</v>
      </c>
      <c r="H43" s="492">
        <v>0.51810229145509312</v>
      </c>
      <c r="I43" s="492">
        <v>1</v>
      </c>
    </row>
    <row r="44" spans="2:9" outlineLevel="2">
      <c r="B44" s="373">
        <v>2</v>
      </c>
      <c r="C44" s="373" t="s">
        <v>296</v>
      </c>
      <c r="D44" s="373" t="s">
        <v>297</v>
      </c>
      <c r="E44" s="373" t="s">
        <v>27</v>
      </c>
      <c r="F44" s="373" t="s">
        <v>28</v>
      </c>
      <c r="G44" s="491" t="s">
        <v>33</v>
      </c>
      <c r="H44" s="492">
        <v>0.51810229145509312</v>
      </c>
      <c r="I44" s="492">
        <v>1</v>
      </c>
    </row>
    <row r="45" spans="2:9" outlineLevel="2">
      <c r="B45" s="373">
        <v>2</v>
      </c>
      <c r="C45" s="373" t="s">
        <v>296</v>
      </c>
      <c r="D45" s="373" t="s">
        <v>297</v>
      </c>
      <c r="E45" s="373" t="s">
        <v>27</v>
      </c>
      <c r="F45" s="373" t="s">
        <v>28</v>
      </c>
      <c r="G45" s="491" t="s">
        <v>170</v>
      </c>
      <c r="H45" s="492">
        <v>0.25905114572754701</v>
      </c>
      <c r="I45" s="492">
        <v>1</v>
      </c>
    </row>
    <row r="46" spans="2:9" outlineLevel="2">
      <c r="B46" s="373">
        <v>2</v>
      </c>
      <c r="C46" s="373" t="s">
        <v>296</v>
      </c>
      <c r="D46" s="373" t="s">
        <v>297</v>
      </c>
      <c r="E46" s="373" t="s">
        <v>58</v>
      </c>
      <c r="F46" s="373" t="s">
        <v>28</v>
      </c>
      <c r="G46" s="491" t="s">
        <v>31</v>
      </c>
      <c r="H46" s="492">
        <v>0.43467904113605266</v>
      </c>
      <c r="I46" s="492">
        <v>1</v>
      </c>
    </row>
    <row r="47" spans="2:9" outlineLevel="2">
      <c r="B47" s="373">
        <v>2</v>
      </c>
      <c r="C47" s="373" t="s">
        <v>296</v>
      </c>
      <c r="D47" s="373" t="s">
        <v>297</v>
      </c>
      <c r="E47" s="373" t="s">
        <v>58</v>
      </c>
      <c r="F47" s="373" t="s">
        <v>28</v>
      </c>
      <c r="G47" s="491" t="s">
        <v>33</v>
      </c>
      <c r="H47" s="492">
        <v>0.43467904113605266</v>
      </c>
      <c r="I47" s="492">
        <v>1</v>
      </c>
    </row>
    <row r="48" spans="2:9" outlineLevel="1">
      <c r="C48" s="390" t="s">
        <v>167</v>
      </c>
      <c r="D48" s="390" t="s">
        <v>121</v>
      </c>
      <c r="E48" s="390"/>
      <c r="F48" s="390" t="s">
        <v>498</v>
      </c>
      <c r="G48" s="475" t="s">
        <v>1853</v>
      </c>
      <c r="H48" s="490">
        <f>SUM(H49)</f>
        <v>0.04</v>
      </c>
      <c r="I48" s="490">
        <f>SUM(I49)</f>
        <v>1</v>
      </c>
    </row>
    <row r="49" spans="2:9" outlineLevel="2">
      <c r="B49" s="373">
        <v>2</v>
      </c>
      <c r="C49" s="373" t="s">
        <v>167</v>
      </c>
      <c r="D49" s="373" t="s">
        <v>121</v>
      </c>
      <c r="E49" s="373" t="s">
        <v>27</v>
      </c>
      <c r="F49" s="373" t="s">
        <v>498</v>
      </c>
      <c r="G49" s="494" t="s">
        <v>129</v>
      </c>
      <c r="H49" s="493">
        <v>0.04</v>
      </c>
      <c r="I49" s="493">
        <v>1</v>
      </c>
    </row>
    <row r="50" spans="2:9" outlineLevel="1">
      <c r="C50" s="390" t="s">
        <v>173</v>
      </c>
      <c r="D50" s="390" t="s">
        <v>173</v>
      </c>
      <c r="E50" s="390"/>
      <c r="F50" s="390" t="s">
        <v>498</v>
      </c>
      <c r="G50" s="475" t="s">
        <v>1871</v>
      </c>
      <c r="H50" s="490">
        <f>SUM(H51:H54)</f>
        <v>0.32421103968587378</v>
      </c>
      <c r="I50" s="490">
        <f>SUM(I51:I54)</f>
        <v>4</v>
      </c>
    </row>
    <row r="51" spans="2:9" outlineLevel="2">
      <c r="B51" s="373">
        <v>1</v>
      </c>
      <c r="C51" s="373" t="s">
        <v>173</v>
      </c>
      <c r="D51" s="373" t="s">
        <v>173</v>
      </c>
      <c r="E51" s="373" t="s">
        <v>27</v>
      </c>
      <c r="F51" s="373" t="s">
        <v>28</v>
      </c>
      <c r="G51" s="494" t="s">
        <v>178</v>
      </c>
      <c r="H51" s="492">
        <v>0.17350895211679071</v>
      </c>
      <c r="I51" s="492">
        <v>1</v>
      </c>
    </row>
    <row r="52" spans="2:9" outlineLevel="2">
      <c r="B52" s="373">
        <v>1</v>
      </c>
      <c r="C52" s="373" t="s">
        <v>173</v>
      </c>
      <c r="D52" s="373" t="s">
        <v>173</v>
      </c>
      <c r="E52" s="373" t="s">
        <v>27</v>
      </c>
      <c r="F52" s="373" t="s">
        <v>28</v>
      </c>
      <c r="G52" s="494" t="s">
        <v>107</v>
      </c>
      <c r="H52" s="492">
        <v>4.9573986319083066E-2</v>
      </c>
      <c r="I52" s="492">
        <v>1</v>
      </c>
    </row>
    <row r="53" spans="2:9" outlineLevel="2">
      <c r="B53" s="373">
        <v>1</v>
      </c>
      <c r="C53" s="373" t="s">
        <v>173</v>
      </c>
      <c r="D53" s="373" t="s">
        <v>173</v>
      </c>
      <c r="E53" s="373" t="s">
        <v>27</v>
      </c>
      <c r="F53" s="373" t="s">
        <v>28</v>
      </c>
      <c r="G53" s="494" t="s">
        <v>88</v>
      </c>
      <c r="H53" s="492">
        <v>0.02</v>
      </c>
      <c r="I53" s="492">
        <v>1</v>
      </c>
    </row>
    <row r="54" spans="2:9" outlineLevel="2">
      <c r="B54" s="373">
        <v>1</v>
      </c>
      <c r="C54" s="373" t="s">
        <v>173</v>
      </c>
      <c r="D54" s="373" t="s">
        <v>173</v>
      </c>
      <c r="E54" s="373" t="s">
        <v>58</v>
      </c>
      <c r="F54" s="373" t="s">
        <v>28</v>
      </c>
      <c r="G54" s="494" t="s">
        <v>108</v>
      </c>
      <c r="H54" s="492">
        <v>8.1128101250000001E-2</v>
      </c>
      <c r="I54" s="492">
        <v>1</v>
      </c>
    </row>
    <row r="55" spans="2:9" outlineLevel="1">
      <c r="C55" s="390" t="s">
        <v>182</v>
      </c>
      <c r="D55" s="390" t="s">
        <v>182</v>
      </c>
      <c r="E55" s="390"/>
      <c r="F55" s="390" t="s">
        <v>498</v>
      </c>
      <c r="G55" s="475" t="s">
        <v>1872</v>
      </c>
      <c r="H55" s="490">
        <f>SUM(H56)</f>
        <v>3.6853334887931043E-2</v>
      </c>
      <c r="I55" s="490">
        <f>SUM(I56)</f>
        <v>1</v>
      </c>
    </row>
    <row r="56" spans="2:9" s="375" customFormat="1" outlineLevel="2">
      <c r="B56" s="373">
        <v>2</v>
      </c>
      <c r="C56" s="373" t="s">
        <v>182</v>
      </c>
      <c r="D56" s="373" t="s">
        <v>182</v>
      </c>
      <c r="E56" s="372" t="s">
        <v>27</v>
      </c>
      <c r="F56" s="373" t="s">
        <v>498</v>
      </c>
      <c r="G56" s="468" t="s">
        <v>220</v>
      </c>
      <c r="H56" s="480">
        <v>3.6853334887931043E-2</v>
      </c>
      <c r="I56" s="480">
        <v>1</v>
      </c>
    </row>
    <row r="57" spans="2:9" outlineLevel="1">
      <c r="C57" s="390" t="s">
        <v>222</v>
      </c>
      <c r="D57" s="390" t="s">
        <v>222</v>
      </c>
      <c r="E57" s="390"/>
      <c r="F57" s="390" t="s">
        <v>498</v>
      </c>
      <c r="G57" s="475" t="s">
        <v>1873</v>
      </c>
      <c r="H57" s="490">
        <f>SUM(H58:H59)</f>
        <v>2.1397857699999998E-2</v>
      </c>
      <c r="I57" s="490">
        <f>SUM(I58:I59)</f>
        <v>2</v>
      </c>
    </row>
    <row r="58" spans="2:9" outlineLevel="2">
      <c r="B58" s="373">
        <v>1</v>
      </c>
      <c r="C58" s="373" t="s">
        <v>222</v>
      </c>
      <c r="D58" s="373" t="s">
        <v>222</v>
      </c>
      <c r="E58" s="372" t="s">
        <v>27</v>
      </c>
      <c r="F58" s="373" t="s">
        <v>498</v>
      </c>
      <c r="G58" s="468" t="s">
        <v>231</v>
      </c>
      <c r="H58" s="480">
        <v>2.0842521999999999E-2</v>
      </c>
      <c r="I58" s="480">
        <v>1</v>
      </c>
    </row>
    <row r="59" spans="2:9" outlineLevel="2">
      <c r="B59" s="373">
        <v>1</v>
      </c>
      <c r="C59" s="373" t="s">
        <v>222</v>
      </c>
      <c r="D59" s="373" t="s">
        <v>222</v>
      </c>
      <c r="E59" s="372" t="s">
        <v>27</v>
      </c>
      <c r="F59" s="373" t="s">
        <v>498</v>
      </c>
      <c r="G59" s="468" t="s">
        <v>232</v>
      </c>
      <c r="H59" s="480">
        <v>5.5533570000000003E-4</v>
      </c>
      <c r="I59" s="480">
        <v>1</v>
      </c>
    </row>
    <row r="60" spans="2:9" outlineLevel="1">
      <c r="C60" s="390" t="s">
        <v>233</v>
      </c>
      <c r="D60" s="390" t="s">
        <v>233</v>
      </c>
      <c r="E60" s="390"/>
      <c r="F60" s="390" t="s">
        <v>498</v>
      </c>
      <c r="G60" s="475" t="s">
        <v>1874</v>
      </c>
      <c r="H60" s="490">
        <v>0</v>
      </c>
      <c r="I60" s="490">
        <v>0</v>
      </c>
    </row>
    <row r="61" spans="2:9" outlineLevel="1">
      <c r="C61" s="390" t="s">
        <v>240</v>
      </c>
      <c r="D61" s="390" t="s">
        <v>240</v>
      </c>
      <c r="E61" s="390"/>
      <c r="F61" s="390" t="s">
        <v>498</v>
      </c>
      <c r="G61" s="475" t="s">
        <v>1880</v>
      </c>
      <c r="H61" s="490">
        <v>0</v>
      </c>
      <c r="I61" s="490">
        <v>0</v>
      </c>
    </row>
    <row r="62" spans="2:9" outlineLevel="1">
      <c r="C62" s="390" t="s">
        <v>243</v>
      </c>
      <c r="D62" s="390" t="s">
        <v>243</v>
      </c>
      <c r="E62" s="390"/>
      <c r="F62" s="390" t="s">
        <v>498</v>
      </c>
      <c r="G62" s="475" t="s">
        <v>1883</v>
      </c>
      <c r="H62" s="490">
        <v>0</v>
      </c>
      <c r="I62" s="490">
        <v>0</v>
      </c>
    </row>
    <row r="63" spans="2:9" outlineLevel="1">
      <c r="C63" s="390" t="s">
        <v>245</v>
      </c>
      <c r="D63" s="390" t="s">
        <v>246</v>
      </c>
      <c r="E63" s="390"/>
      <c r="F63" s="390" t="s">
        <v>498</v>
      </c>
      <c r="G63" s="475" t="s">
        <v>1854</v>
      </c>
      <c r="H63" s="490">
        <f>SUM(H64:H66)</f>
        <v>1.6800000000000002E-2</v>
      </c>
      <c r="I63" s="490">
        <f>SUM(I64:I66)</f>
        <v>3</v>
      </c>
    </row>
    <row r="64" spans="2:9" outlineLevel="2">
      <c r="B64" s="373">
        <v>2</v>
      </c>
      <c r="C64" s="373" t="s">
        <v>245</v>
      </c>
      <c r="D64" s="373" t="s">
        <v>246</v>
      </c>
      <c r="E64" s="373" t="s">
        <v>27</v>
      </c>
      <c r="F64" s="373" t="s">
        <v>28</v>
      </c>
      <c r="G64" s="491" t="s">
        <v>236</v>
      </c>
      <c r="H64" s="492">
        <v>5.4000000000000003E-3</v>
      </c>
      <c r="I64" s="492">
        <v>1</v>
      </c>
    </row>
    <row r="65" spans="2:9" outlineLevel="2">
      <c r="C65" s="373" t="s">
        <v>245</v>
      </c>
      <c r="D65" s="373" t="s">
        <v>246</v>
      </c>
      <c r="E65" s="373" t="s">
        <v>27</v>
      </c>
      <c r="F65" s="373" t="s">
        <v>28</v>
      </c>
      <c r="G65" s="491" t="s">
        <v>32</v>
      </c>
      <c r="H65" s="492">
        <v>5.4000000000000003E-3</v>
      </c>
      <c r="I65" s="492">
        <v>1</v>
      </c>
    </row>
    <row r="66" spans="2:9" outlineLevel="2">
      <c r="B66" s="373">
        <v>2</v>
      </c>
      <c r="C66" s="373" t="s">
        <v>245</v>
      </c>
      <c r="D66" s="373" t="s">
        <v>246</v>
      </c>
      <c r="E66" s="373" t="s">
        <v>58</v>
      </c>
      <c r="F66" s="373" t="s">
        <v>28</v>
      </c>
      <c r="G66" s="491" t="s">
        <v>236</v>
      </c>
      <c r="H66" s="492">
        <v>6.0000000000000001E-3</v>
      </c>
      <c r="I66" s="492">
        <v>1</v>
      </c>
    </row>
    <row r="67" spans="2:9" outlineLevel="1">
      <c r="C67" s="390" t="s">
        <v>248</v>
      </c>
      <c r="D67" s="390" t="s">
        <v>249</v>
      </c>
      <c r="E67" s="390"/>
      <c r="F67" s="390" t="s">
        <v>498</v>
      </c>
      <c r="G67" s="475" t="s">
        <v>1855</v>
      </c>
      <c r="H67" s="490">
        <f>SUM(H68:H75)</f>
        <v>0.23026800000000003</v>
      </c>
      <c r="I67" s="490">
        <f>SUM(I68:I75)</f>
        <v>8</v>
      </c>
    </row>
    <row r="68" spans="2:9" outlineLevel="2">
      <c r="C68" s="373" t="s">
        <v>248</v>
      </c>
      <c r="D68" s="373" t="s">
        <v>249</v>
      </c>
      <c r="E68" s="373" t="s">
        <v>27</v>
      </c>
      <c r="F68" s="373" t="s">
        <v>28</v>
      </c>
      <c r="G68" s="491" t="s">
        <v>32</v>
      </c>
      <c r="H68" s="492">
        <v>1.6713000000000002E-2</v>
      </c>
      <c r="I68" s="492">
        <v>1</v>
      </c>
    </row>
    <row r="69" spans="2:9" outlineLevel="2">
      <c r="B69" s="373">
        <v>1</v>
      </c>
      <c r="C69" s="373" t="s">
        <v>248</v>
      </c>
      <c r="D69" s="373" t="s">
        <v>249</v>
      </c>
      <c r="E69" s="373" t="s">
        <v>27</v>
      </c>
      <c r="F69" s="373" t="s">
        <v>28</v>
      </c>
      <c r="G69" s="491" t="s">
        <v>237</v>
      </c>
      <c r="H69" s="492">
        <v>1.6713000000000002E-2</v>
      </c>
      <c r="I69" s="492">
        <v>1</v>
      </c>
    </row>
    <row r="70" spans="2:9" outlineLevel="2">
      <c r="B70" s="373">
        <v>1</v>
      </c>
      <c r="C70" s="373" t="s">
        <v>248</v>
      </c>
      <c r="D70" s="373" t="s">
        <v>249</v>
      </c>
      <c r="E70" s="373" t="s">
        <v>27</v>
      </c>
      <c r="F70" s="373" t="s">
        <v>28</v>
      </c>
      <c r="G70" s="491" t="s">
        <v>238</v>
      </c>
      <c r="H70" s="492">
        <v>5.8495499999999999E-2</v>
      </c>
      <c r="I70" s="492">
        <v>1</v>
      </c>
    </row>
    <row r="71" spans="2:9" outlineLevel="2">
      <c r="B71" s="373">
        <v>1</v>
      </c>
      <c r="C71" s="373" t="s">
        <v>248</v>
      </c>
      <c r="D71" s="373" t="s">
        <v>249</v>
      </c>
      <c r="E71" s="373" t="s">
        <v>27</v>
      </c>
      <c r="F71" s="373" t="s">
        <v>28</v>
      </c>
      <c r="G71" s="491" t="s">
        <v>242</v>
      </c>
      <c r="H71" s="492">
        <v>2.5069499999999998E-2</v>
      </c>
      <c r="I71" s="492">
        <v>1</v>
      </c>
    </row>
    <row r="72" spans="2:9" outlineLevel="2">
      <c r="B72" s="373">
        <v>2</v>
      </c>
      <c r="C72" s="373" t="s">
        <v>248</v>
      </c>
      <c r="D72" s="373" t="s">
        <v>249</v>
      </c>
      <c r="E72" s="373" t="s">
        <v>27</v>
      </c>
      <c r="F72" s="373" t="s">
        <v>28</v>
      </c>
      <c r="G72" s="491" t="s">
        <v>239</v>
      </c>
      <c r="H72" s="492">
        <v>2.5069499999999998E-2</v>
      </c>
      <c r="I72" s="492">
        <v>1</v>
      </c>
    </row>
    <row r="73" spans="2:9" outlineLevel="2">
      <c r="B73" s="373">
        <v>1</v>
      </c>
      <c r="C73" s="373" t="s">
        <v>248</v>
      </c>
      <c r="D73" s="373" t="s">
        <v>249</v>
      </c>
      <c r="E73" s="373" t="s">
        <v>58</v>
      </c>
      <c r="F73" s="373" t="s">
        <v>28</v>
      </c>
      <c r="G73" s="491" t="s">
        <v>236</v>
      </c>
      <c r="H73" s="492">
        <v>1.857E-2</v>
      </c>
      <c r="I73" s="492">
        <v>1</v>
      </c>
    </row>
    <row r="74" spans="2:9" outlineLevel="2">
      <c r="B74" s="373">
        <v>1</v>
      </c>
      <c r="C74" s="373" t="s">
        <v>248</v>
      </c>
      <c r="D74" s="373" t="s">
        <v>249</v>
      </c>
      <c r="E74" s="373" t="s">
        <v>58</v>
      </c>
      <c r="F74" s="373" t="s">
        <v>28</v>
      </c>
      <c r="G74" s="491" t="s">
        <v>237</v>
      </c>
      <c r="H74" s="492">
        <v>1.857E-2</v>
      </c>
      <c r="I74" s="492">
        <v>1</v>
      </c>
    </row>
    <row r="75" spans="2:9" outlineLevel="2">
      <c r="B75" s="373">
        <v>2</v>
      </c>
      <c r="C75" s="373" t="s">
        <v>248</v>
      </c>
      <c r="D75" s="373" t="s">
        <v>249</v>
      </c>
      <c r="E75" s="373" t="s">
        <v>58</v>
      </c>
      <c r="F75" s="373" t="s">
        <v>28</v>
      </c>
      <c r="G75" s="491" t="s">
        <v>242</v>
      </c>
      <c r="H75" s="492">
        <v>5.1067500000000002E-2</v>
      </c>
      <c r="I75" s="492">
        <v>1</v>
      </c>
    </row>
    <row r="76" spans="2:9" outlineLevel="1">
      <c r="C76" s="390" t="s">
        <v>251</v>
      </c>
      <c r="D76" s="390" t="s">
        <v>252</v>
      </c>
      <c r="E76" s="390"/>
      <c r="F76" s="390" t="s">
        <v>498</v>
      </c>
      <c r="G76" s="475" t="s">
        <v>1890</v>
      </c>
      <c r="H76" s="490">
        <f>SUM(H77)</f>
        <v>1.13E-4</v>
      </c>
      <c r="I76" s="490">
        <f>SUM(I77)</f>
        <v>1</v>
      </c>
    </row>
    <row r="77" spans="2:9" outlineLevel="2">
      <c r="B77" s="373">
        <v>2</v>
      </c>
      <c r="C77" s="373" t="s">
        <v>251</v>
      </c>
      <c r="D77" s="373" t="s">
        <v>252</v>
      </c>
      <c r="E77" s="373" t="s">
        <v>58</v>
      </c>
      <c r="F77" s="373" t="s">
        <v>28</v>
      </c>
      <c r="G77" s="491" t="s">
        <v>257</v>
      </c>
      <c r="H77" s="492">
        <v>1.13E-4</v>
      </c>
      <c r="I77" s="492">
        <v>1</v>
      </c>
    </row>
    <row r="78" spans="2:9" outlineLevel="1">
      <c r="C78" s="390" t="s">
        <v>258</v>
      </c>
      <c r="D78" s="390" t="s">
        <v>259</v>
      </c>
      <c r="E78" s="390"/>
      <c r="F78" s="390" t="s">
        <v>498</v>
      </c>
      <c r="G78" s="475" t="s">
        <v>1856</v>
      </c>
      <c r="H78" s="490">
        <v>0</v>
      </c>
      <c r="I78" s="490">
        <v>0</v>
      </c>
    </row>
    <row r="79" spans="2:9" outlineLevel="1">
      <c r="C79" s="390" t="s">
        <v>351</v>
      </c>
      <c r="D79" s="390" t="s">
        <v>351</v>
      </c>
      <c r="E79" s="390"/>
      <c r="F79" s="390" t="s">
        <v>498</v>
      </c>
      <c r="G79" s="475" t="s">
        <v>1937</v>
      </c>
      <c r="H79" s="490">
        <f>SUM(H80:H86)</f>
        <v>0</v>
      </c>
      <c r="I79" s="490">
        <f>SUM(I80:I86)</f>
        <v>7</v>
      </c>
    </row>
    <row r="80" spans="2:9" outlineLevel="2">
      <c r="B80" s="373">
        <v>3</v>
      </c>
      <c r="C80" s="373" t="s">
        <v>351</v>
      </c>
      <c r="D80" s="373" t="s">
        <v>351</v>
      </c>
      <c r="E80" s="373" t="s">
        <v>175</v>
      </c>
      <c r="F80" s="373" t="s">
        <v>28</v>
      </c>
      <c r="G80" s="491" t="s">
        <v>284</v>
      </c>
      <c r="H80" s="492"/>
      <c r="I80" s="492">
        <v>1</v>
      </c>
    </row>
    <row r="81" spans="2:9" outlineLevel="2">
      <c r="B81" s="373">
        <v>3</v>
      </c>
      <c r="C81" s="373" t="s">
        <v>351</v>
      </c>
      <c r="D81" s="373" t="s">
        <v>351</v>
      </c>
      <c r="E81" s="373" t="s">
        <v>175</v>
      </c>
      <c r="F81" s="373" t="s">
        <v>28</v>
      </c>
      <c r="G81" s="491" t="s">
        <v>236</v>
      </c>
      <c r="H81" s="492"/>
      <c r="I81" s="492">
        <v>1</v>
      </c>
    </row>
    <row r="82" spans="2:9" outlineLevel="2">
      <c r="B82" s="373">
        <v>3</v>
      </c>
      <c r="C82" s="373" t="s">
        <v>351</v>
      </c>
      <c r="D82" s="373" t="s">
        <v>351</v>
      </c>
      <c r="E82" s="373" t="s">
        <v>175</v>
      </c>
      <c r="F82" s="373" t="s">
        <v>28</v>
      </c>
      <c r="G82" s="491" t="s">
        <v>32</v>
      </c>
      <c r="H82" s="492"/>
      <c r="I82" s="492">
        <v>1</v>
      </c>
    </row>
    <row r="83" spans="2:9" outlineLevel="2">
      <c r="B83" s="373">
        <v>3</v>
      </c>
      <c r="C83" s="373" t="s">
        <v>351</v>
      </c>
      <c r="D83" s="373" t="s">
        <v>351</v>
      </c>
      <c r="E83" s="373" t="s">
        <v>27</v>
      </c>
      <c r="F83" s="373" t="s">
        <v>28</v>
      </c>
      <c r="G83" s="491" t="s">
        <v>236</v>
      </c>
      <c r="H83" s="492"/>
      <c r="I83" s="492">
        <v>1</v>
      </c>
    </row>
    <row r="84" spans="2:9" outlineLevel="2">
      <c r="B84" s="373">
        <v>3</v>
      </c>
      <c r="C84" s="373" t="s">
        <v>351</v>
      </c>
      <c r="D84" s="373" t="s">
        <v>351</v>
      </c>
      <c r="E84" s="373" t="s">
        <v>27</v>
      </c>
      <c r="F84" s="373" t="s">
        <v>28</v>
      </c>
      <c r="G84" s="491" t="s">
        <v>32</v>
      </c>
      <c r="H84" s="492"/>
      <c r="I84" s="492">
        <v>1</v>
      </c>
    </row>
    <row r="85" spans="2:9" outlineLevel="2">
      <c r="B85" s="373">
        <v>3</v>
      </c>
      <c r="C85" s="373" t="s">
        <v>351</v>
      </c>
      <c r="D85" s="373" t="s">
        <v>351</v>
      </c>
      <c r="E85" s="373" t="s">
        <v>58</v>
      </c>
      <c r="F85" s="373" t="s">
        <v>28</v>
      </c>
      <c r="G85" s="491" t="s">
        <v>236</v>
      </c>
      <c r="H85" s="492"/>
      <c r="I85" s="492">
        <v>1</v>
      </c>
    </row>
    <row r="86" spans="2:9" outlineLevel="2">
      <c r="B86" s="373">
        <v>3</v>
      </c>
      <c r="C86" s="373" t="s">
        <v>351</v>
      </c>
      <c r="D86" s="373" t="s">
        <v>351</v>
      </c>
      <c r="E86" s="373" t="s">
        <v>58</v>
      </c>
      <c r="F86" s="373" t="s">
        <v>28</v>
      </c>
      <c r="G86" s="491" t="s">
        <v>32</v>
      </c>
      <c r="H86" s="492"/>
      <c r="I86" s="492">
        <v>1</v>
      </c>
    </row>
    <row r="87" spans="2:9" outlineLevel="1">
      <c r="C87" s="390" t="s">
        <v>353</v>
      </c>
      <c r="D87" s="390" t="s">
        <v>354</v>
      </c>
      <c r="E87" s="390"/>
      <c r="F87" s="390" t="s">
        <v>498</v>
      </c>
      <c r="G87" s="475" t="s">
        <v>1865</v>
      </c>
      <c r="H87" s="490">
        <f>SUM(H88:H90)</f>
        <v>0.15000000000000002</v>
      </c>
      <c r="I87" s="490">
        <f>SUM(I88:I90)</f>
        <v>3</v>
      </c>
    </row>
    <row r="88" spans="2:9" outlineLevel="2">
      <c r="B88" s="373">
        <v>2</v>
      </c>
      <c r="C88" s="373" t="s">
        <v>353</v>
      </c>
      <c r="D88" s="373" t="s">
        <v>354</v>
      </c>
      <c r="E88" s="373" t="s">
        <v>27</v>
      </c>
      <c r="F88" s="373" t="s">
        <v>28</v>
      </c>
      <c r="G88" s="491" t="s">
        <v>236</v>
      </c>
      <c r="H88" s="492">
        <v>0.05</v>
      </c>
      <c r="I88" s="492">
        <v>1</v>
      </c>
    </row>
    <row r="89" spans="2:9" outlineLevel="2">
      <c r="B89" s="373">
        <v>2</v>
      </c>
      <c r="C89" s="373" t="s">
        <v>353</v>
      </c>
      <c r="D89" s="373" t="s">
        <v>354</v>
      </c>
      <c r="E89" s="373" t="s">
        <v>27</v>
      </c>
      <c r="F89" s="373" t="s">
        <v>28</v>
      </c>
      <c r="G89" s="491" t="s">
        <v>32</v>
      </c>
      <c r="H89" s="492">
        <v>0.05</v>
      </c>
      <c r="I89" s="492">
        <v>1</v>
      </c>
    </row>
    <row r="90" spans="2:9" outlineLevel="2">
      <c r="B90" s="373">
        <v>2</v>
      </c>
      <c r="C90" s="373" t="s">
        <v>353</v>
      </c>
      <c r="D90" s="373" t="s">
        <v>354</v>
      </c>
      <c r="E90" s="373" t="s">
        <v>58</v>
      </c>
      <c r="F90" s="373" t="s">
        <v>28</v>
      </c>
      <c r="G90" s="491" t="s">
        <v>32</v>
      </c>
      <c r="H90" s="492">
        <v>0.05</v>
      </c>
      <c r="I90" s="492">
        <v>1</v>
      </c>
    </row>
    <row r="91" spans="2:9" outlineLevel="1">
      <c r="C91" s="390" t="s">
        <v>281</v>
      </c>
      <c r="D91" s="390" t="s">
        <v>70</v>
      </c>
      <c r="E91" s="390"/>
      <c r="F91" s="390" t="s">
        <v>498</v>
      </c>
      <c r="G91" s="475" t="s">
        <v>1857</v>
      </c>
      <c r="H91" s="490">
        <f>SUM(H92:H95)</f>
        <v>0.16686000000000001</v>
      </c>
      <c r="I91" s="490">
        <f>SUM(I92:I95)</f>
        <v>4</v>
      </c>
    </row>
    <row r="92" spans="2:9" outlineLevel="2">
      <c r="B92" s="373">
        <v>3</v>
      </c>
      <c r="C92" s="373" t="s">
        <v>281</v>
      </c>
      <c r="D92" s="373" t="s">
        <v>70</v>
      </c>
      <c r="E92" s="372" t="s">
        <v>27</v>
      </c>
      <c r="F92" s="373" t="s">
        <v>498</v>
      </c>
      <c r="G92" s="491" t="s">
        <v>31</v>
      </c>
      <c r="H92" s="493">
        <v>6.3719999999999999E-2</v>
      </c>
      <c r="I92" s="493">
        <v>1</v>
      </c>
    </row>
    <row r="93" spans="2:9" outlineLevel="2">
      <c r="B93" s="373">
        <v>3</v>
      </c>
      <c r="C93" s="373" t="s">
        <v>281</v>
      </c>
      <c r="D93" s="373" t="s">
        <v>70</v>
      </c>
      <c r="E93" s="372" t="s">
        <v>27</v>
      </c>
      <c r="F93" s="373" t="s">
        <v>498</v>
      </c>
      <c r="G93" s="491" t="s">
        <v>32</v>
      </c>
      <c r="H93" s="493">
        <v>3.1859999999999999E-2</v>
      </c>
      <c r="I93" s="493">
        <v>1</v>
      </c>
    </row>
    <row r="94" spans="2:9" outlineLevel="2">
      <c r="B94" s="373">
        <v>3</v>
      </c>
      <c r="C94" s="373" t="s">
        <v>281</v>
      </c>
      <c r="D94" s="373" t="s">
        <v>70</v>
      </c>
      <c r="E94" s="372" t="s">
        <v>58</v>
      </c>
      <c r="F94" s="373" t="s">
        <v>498</v>
      </c>
      <c r="G94" s="491" t="s">
        <v>31</v>
      </c>
      <c r="H94" s="493">
        <v>5.3460000000000001E-2</v>
      </c>
      <c r="I94" s="493">
        <v>1</v>
      </c>
    </row>
    <row r="95" spans="2:9" outlineLevel="2">
      <c r="B95" s="373">
        <v>3</v>
      </c>
      <c r="C95" s="373" t="s">
        <v>281</v>
      </c>
      <c r="D95" s="373" t="s">
        <v>70</v>
      </c>
      <c r="E95" s="372" t="s">
        <v>58</v>
      </c>
      <c r="F95" s="373" t="s">
        <v>498</v>
      </c>
      <c r="G95" s="491" t="s">
        <v>32</v>
      </c>
      <c r="H95" s="493">
        <v>1.7819999999999999E-2</v>
      </c>
      <c r="I95" s="493">
        <v>1</v>
      </c>
    </row>
    <row r="96" spans="2:9" outlineLevel="1">
      <c r="C96" s="390" t="s">
        <v>289</v>
      </c>
      <c r="D96" s="390" t="s">
        <v>29</v>
      </c>
      <c r="E96" s="390"/>
      <c r="F96" s="390" t="s">
        <v>498</v>
      </c>
      <c r="G96" s="475" t="s">
        <v>1866</v>
      </c>
      <c r="H96" s="490">
        <f>SUM(H97:H100)</f>
        <v>7.6409520000000009E-2</v>
      </c>
      <c r="I96" s="490">
        <f>SUM(I97:I100)</f>
        <v>4</v>
      </c>
    </row>
    <row r="97" spans="2:9" outlineLevel="2">
      <c r="B97" s="373">
        <v>3</v>
      </c>
      <c r="C97" s="373" t="s">
        <v>289</v>
      </c>
      <c r="D97" s="373" t="s">
        <v>29</v>
      </c>
      <c r="E97" s="373" t="s">
        <v>27</v>
      </c>
      <c r="F97" s="373" t="s">
        <v>498</v>
      </c>
      <c r="G97" s="491" t="s">
        <v>31</v>
      </c>
      <c r="H97" s="493">
        <v>2.9179040000000003E-2</v>
      </c>
      <c r="I97" s="493">
        <v>1</v>
      </c>
    </row>
    <row r="98" spans="2:9" outlineLevel="2">
      <c r="B98" s="373">
        <v>3</v>
      </c>
      <c r="C98" s="373" t="s">
        <v>289</v>
      </c>
      <c r="D98" s="373" t="s">
        <v>29</v>
      </c>
      <c r="E98" s="373" t="s">
        <v>27</v>
      </c>
      <c r="F98" s="373" t="s">
        <v>498</v>
      </c>
      <c r="G98" s="491" t="s">
        <v>32</v>
      </c>
      <c r="H98" s="493">
        <v>1.4589520000000002E-2</v>
      </c>
      <c r="I98" s="493">
        <v>1</v>
      </c>
    </row>
    <row r="99" spans="2:9" outlineLevel="2">
      <c r="B99" s="373">
        <v>3</v>
      </c>
      <c r="C99" s="373" t="s">
        <v>289</v>
      </c>
      <c r="D99" s="373" t="s">
        <v>29</v>
      </c>
      <c r="E99" s="373" t="s">
        <v>58</v>
      </c>
      <c r="F99" s="373" t="s">
        <v>498</v>
      </c>
      <c r="G99" s="491" t="s">
        <v>31</v>
      </c>
      <c r="H99" s="493">
        <v>2.4480720000000001E-2</v>
      </c>
      <c r="I99" s="493">
        <v>1</v>
      </c>
    </row>
    <row r="100" spans="2:9" outlineLevel="2">
      <c r="B100" s="373">
        <v>3</v>
      </c>
      <c r="C100" s="373" t="s">
        <v>289</v>
      </c>
      <c r="D100" s="373" t="s">
        <v>29</v>
      </c>
      <c r="E100" s="373" t="s">
        <v>58</v>
      </c>
      <c r="F100" s="373" t="s">
        <v>498</v>
      </c>
      <c r="G100" s="491" t="s">
        <v>32</v>
      </c>
      <c r="H100" s="493">
        <v>8.1602400000000009E-3</v>
      </c>
      <c r="I100" s="493">
        <v>1</v>
      </c>
    </row>
    <row r="101" spans="2:9" outlineLevel="1">
      <c r="C101" s="390" t="s">
        <v>301</v>
      </c>
      <c r="D101" s="390" t="s">
        <v>301</v>
      </c>
      <c r="E101" s="390"/>
      <c r="F101" s="390" t="s">
        <v>498</v>
      </c>
      <c r="G101" s="475" t="s">
        <v>1858</v>
      </c>
      <c r="H101" s="490">
        <f>SUM(H102:H106)</f>
        <v>1.7570528000000003</v>
      </c>
      <c r="I101" s="490">
        <f>SUM(I102:I106)</f>
        <v>5</v>
      </c>
    </row>
    <row r="102" spans="2:9" outlineLevel="2">
      <c r="B102" s="373">
        <v>1</v>
      </c>
      <c r="C102" s="373" t="s">
        <v>301</v>
      </c>
      <c r="D102" s="373" t="s">
        <v>301</v>
      </c>
      <c r="E102" s="373" t="s">
        <v>27</v>
      </c>
      <c r="F102" s="373" t="s">
        <v>498</v>
      </c>
      <c r="G102" s="491" t="s">
        <v>31</v>
      </c>
      <c r="H102" s="493">
        <v>0.56340280000000009</v>
      </c>
      <c r="I102" s="493">
        <v>1</v>
      </c>
    </row>
    <row r="103" spans="2:9" outlineLevel="2">
      <c r="B103" s="373">
        <v>1</v>
      </c>
      <c r="C103" s="373" t="s">
        <v>301</v>
      </c>
      <c r="D103" s="373" t="s">
        <v>301</v>
      </c>
      <c r="E103" s="373" t="s">
        <v>27</v>
      </c>
      <c r="F103" s="373" t="s">
        <v>498</v>
      </c>
      <c r="G103" s="491" t="s">
        <v>32</v>
      </c>
      <c r="H103" s="493">
        <v>0.28170140000000005</v>
      </c>
      <c r="I103" s="493">
        <v>1</v>
      </c>
    </row>
    <row r="104" spans="2:9" outlineLevel="2">
      <c r="B104" s="373">
        <v>1</v>
      </c>
      <c r="C104" s="373" t="s">
        <v>301</v>
      </c>
      <c r="D104" s="373" t="s">
        <v>301</v>
      </c>
      <c r="E104" s="373" t="s">
        <v>27</v>
      </c>
      <c r="F104" s="373" t="s">
        <v>498</v>
      </c>
      <c r="G104" s="491" t="s">
        <v>170</v>
      </c>
      <c r="H104" s="493">
        <v>0.28170140000000005</v>
      </c>
      <c r="I104" s="493">
        <v>1</v>
      </c>
    </row>
    <row r="105" spans="2:9" outlineLevel="2">
      <c r="B105" s="373">
        <v>1</v>
      </c>
      <c r="C105" s="373" t="s">
        <v>301</v>
      </c>
      <c r="D105" s="373" t="s">
        <v>301</v>
      </c>
      <c r="E105" s="373" t="s">
        <v>58</v>
      </c>
      <c r="F105" s="373" t="s">
        <v>498</v>
      </c>
      <c r="G105" s="491" t="s">
        <v>31</v>
      </c>
      <c r="H105" s="493">
        <v>0.47268540000000003</v>
      </c>
      <c r="I105" s="493">
        <v>1</v>
      </c>
    </row>
    <row r="106" spans="2:9" outlineLevel="2">
      <c r="B106" s="373">
        <v>1</v>
      </c>
      <c r="C106" s="373" t="s">
        <v>301</v>
      </c>
      <c r="D106" s="373" t="s">
        <v>301</v>
      </c>
      <c r="E106" s="373" t="s">
        <v>58</v>
      </c>
      <c r="F106" s="373" t="s">
        <v>498</v>
      </c>
      <c r="G106" s="491" t="s">
        <v>170</v>
      </c>
      <c r="H106" s="493">
        <v>0.15756180000000003</v>
      </c>
      <c r="I106" s="493">
        <v>1</v>
      </c>
    </row>
    <row r="107" spans="2:9" outlineLevel="1">
      <c r="C107" s="390" t="s">
        <v>308</v>
      </c>
      <c r="D107" s="390" t="s">
        <v>308</v>
      </c>
      <c r="E107" s="390"/>
      <c r="F107" s="390" t="s">
        <v>498</v>
      </c>
      <c r="G107" s="475" t="s">
        <v>1869</v>
      </c>
      <c r="H107" s="490">
        <f>SUM(H108:H109)</f>
        <v>0.86951285400000011</v>
      </c>
      <c r="I107" s="490">
        <f>SUM(I108:I109)</f>
        <v>2</v>
      </c>
    </row>
    <row r="108" spans="2:9" outlineLevel="2">
      <c r="B108" s="373">
        <v>1</v>
      </c>
      <c r="C108" s="373" t="s">
        <v>308</v>
      </c>
      <c r="D108" s="373" t="s">
        <v>308</v>
      </c>
      <c r="E108" s="373" t="s">
        <v>27</v>
      </c>
      <c r="F108" s="373" t="s">
        <v>498</v>
      </c>
      <c r="G108" s="491" t="s">
        <v>31</v>
      </c>
      <c r="H108" s="493">
        <v>0.43475642700000006</v>
      </c>
      <c r="I108" s="493">
        <v>1</v>
      </c>
    </row>
    <row r="109" spans="2:9" outlineLevel="2">
      <c r="B109" s="373">
        <v>1</v>
      </c>
      <c r="C109" s="373" t="s">
        <v>308</v>
      </c>
      <c r="D109" s="373" t="s">
        <v>308</v>
      </c>
      <c r="E109" s="373" t="s">
        <v>27</v>
      </c>
      <c r="F109" s="373" t="s">
        <v>498</v>
      </c>
      <c r="G109" s="491" t="s">
        <v>32</v>
      </c>
      <c r="H109" s="493">
        <v>0.43475642700000006</v>
      </c>
      <c r="I109" s="493">
        <v>1</v>
      </c>
    </row>
    <row r="110" spans="2:9" outlineLevel="1">
      <c r="C110" s="390" t="s">
        <v>312</v>
      </c>
      <c r="D110" s="390" t="s">
        <v>312</v>
      </c>
      <c r="E110" s="390"/>
      <c r="F110" s="390" t="s">
        <v>498</v>
      </c>
      <c r="G110" s="475" t="s">
        <v>1867</v>
      </c>
      <c r="H110" s="490">
        <f>SUM(H111:H112)</f>
        <v>0.28983761800000002</v>
      </c>
      <c r="I110" s="490">
        <f>SUM(I111:I112)</f>
        <v>2</v>
      </c>
    </row>
    <row r="111" spans="2:9" outlineLevel="2">
      <c r="B111" s="373">
        <v>1</v>
      </c>
      <c r="C111" s="373" t="s">
        <v>312</v>
      </c>
      <c r="D111" s="373" t="s">
        <v>312</v>
      </c>
      <c r="E111" s="373" t="s">
        <v>27</v>
      </c>
      <c r="F111" s="373" t="s">
        <v>498</v>
      </c>
      <c r="G111" s="491" t="s">
        <v>31</v>
      </c>
      <c r="H111" s="493">
        <v>0.14491880900000001</v>
      </c>
      <c r="I111" s="493">
        <v>1</v>
      </c>
    </row>
    <row r="112" spans="2:9" outlineLevel="2">
      <c r="B112" s="373">
        <v>1</v>
      </c>
      <c r="C112" s="373" t="s">
        <v>312</v>
      </c>
      <c r="D112" s="373" t="s">
        <v>312</v>
      </c>
      <c r="E112" s="373" t="s">
        <v>27</v>
      </c>
      <c r="F112" s="373" t="s">
        <v>498</v>
      </c>
      <c r="G112" s="491" t="s">
        <v>32</v>
      </c>
      <c r="H112" s="493">
        <v>0.14491880900000001</v>
      </c>
      <c r="I112" s="493">
        <v>1</v>
      </c>
    </row>
    <row r="113" spans="2:9" outlineLevel="1">
      <c r="C113" s="390" t="s">
        <v>271</v>
      </c>
      <c r="D113" s="390" t="s">
        <v>271</v>
      </c>
      <c r="E113" s="390"/>
      <c r="F113" s="390" t="s">
        <v>498</v>
      </c>
      <c r="G113" s="475" t="s">
        <v>1868</v>
      </c>
      <c r="H113" s="490">
        <f>SUM(H114:H120)</f>
        <v>0.32804999999999995</v>
      </c>
      <c r="I113" s="490">
        <f>SUM(I114:I120)</f>
        <v>7</v>
      </c>
    </row>
    <row r="114" spans="2:9" outlineLevel="2">
      <c r="B114" s="373">
        <v>1</v>
      </c>
      <c r="C114" s="373" t="s">
        <v>271</v>
      </c>
      <c r="D114" s="373" t="s">
        <v>271</v>
      </c>
      <c r="E114" s="373" t="s">
        <v>27</v>
      </c>
      <c r="F114" s="373" t="s">
        <v>28</v>
      </c>
      <c r="G114" s="491" t="s">
        <v>31</v>
      </c>
      <c r="H114" s="492">
        <v>3.9824999999999999E-2</v>
      </c>
      <c r="I114" s="492">
        <v>1</v>
      </c>
    </row>
    <row r="115" spans="2:9" outlineLevel="2">
      <c r="B115" s="373">
        <v>1</v>
      </c>
      <c r="C115" s="373" t="s">
        <v>271</v>
      </c>
      <c r="D115" s="373" t="s">
        <v>271</v>
      </c>
      <c r="E115" s="373" t="s">
        <v>27</v>
      </c>
      <c r="F115" s="373" t="s">
        <v>28</v>
      </c>
      <c r="G115" s="491" t="s">
        <v>32</v>
      </c>
      <c r="H115" s="492">
        <v>7.9649999999999999E-2</v>
      </c>
      <c r="I115" s="492">
        <v>1</v>
      </c>
    </row>
    <row r="116" spans="2:9" outlineLevel="2">
      <c r="B116" s="373">
        <v>1</v>
      </c>
      <c r="C116" s="373" t="s">
        <v>271</v>
      </c>
      <c r="D116" s="373" t="s">
        <v>271</v>
      </c>
      <c r="E116" s="373" t="s">
        <v>27</v>
      </c>
      <c r="F116" s="373" t="s">
        <v>28</v>
      </c>
      <c r="G116" s="491" t="s">
        <v>33</v>
      </c>
      <c r="H116" s="492">
        <v>7.9649999999999999E-2</v>
      </c>
      <c r="I116" s="492">
        <v>1</v>
      </c>
    </row>
    <row r="117" spans="2:9" outlineLevel="2">
      <c r="B117" s="373">
        <v>1</v>
      </c>
      <c r="C117" s="373" t="s">
        <v>271</v>
      </c>
      <c r="D117" s="373" t="s">
        <v>271</v>
      </c>
      <c r="E117" s="373" t="s">
        <v>27</v>
      </c>
      <c r="F117" s="373" t="s">
        <v>28</v>
      </c>
      <c r="G117" s="491" t="s">
        <v>170</v>
      </c>
      <c r="H117" s="492">
        <v>3.9824999999999999E-2</v>
      </c>
      <c r="I117" s="492">
        <v>1</v>
      </c>
    </row>
    <row r="118" spans="2:9" outlineLevel="2">
      <c r="B118" s="373">
        <v>1</v>
      </c>
      <c r="C118" s="373" t="s">
        <v>271</v>
      </c>
      <c r="D118" s="373" t="s">
        <v>271</v>
      </c>
      <c r="E118" s="373" t="s">
        <v>58</v>
      </c>
      <c r="F118" s="373" t="s">
        <v>28</v>
      </c>
      <c r="G118" s="491" t="s">
        <v>31</v>
      </c>
      <c r="H118" s="492">
        <v>4.4550000000000006E-2</v>
      </c>
      <c r="I118" s="492">
        <v>1</v>
      </c>
    </row>
    <row r="119" spans="2:9" outlineLevel="2">
      <c r="B119" s="373">
        <v>1</v>
      </c>
      <c r="C119" s="373" t="s">
        <v>271</v>
      </c>
      <c r="D119" s="373" t="s">
        <v>271</v>
      </c>
      <c r="E119" s="373" t="s">
        <v>58</v>
      </c>
      <c r="F119" s="373" t="s">
        <v>28</v>
      </c>
      <c r="G119" s="491" t="s">
        <v>33</v>
      </c>
      <c r="H119" s="492">
        <v>2.2275000000000003E-2</v>
      </c>
      <c r="I119" s="492">
        <v>1</v>
      </c>
    </row>
    <row r="120" spans="2:9" outlineLevel="2">
      <c r="B120" s="373">
        <v>1</v>
      </c>
      <c r="C120" s="373" t="s">
        <v>271</v>
      </c>
      <c r="D120" s="373" t="s">
        <v>271</v>
      </c>
      <c r="E120" s="373" t="s">
        <v>58</v>
      </c>
      <c r="F120" s="373" t="s">
        <v>28</v>
      </c>
      <c r="G120" s="491" t="s">
        <v>326</v>
      </c>
      <c r="H120" s="492">
        <v>2.2275000000000003E-2</v>
      </c>
      <c r="I120" s="492">
        <v>1</v>
      </c>
    </row>
    <row r="121" spans="2:9" outlineLevel="1">
      <c r="C121" s="390" t="s">
        <v>328</v>
      </c>
      <c r="D121" s="390" t="s">
        <v>121</v>
      </c>
      <c r="E121" s="390"/>
      <c r="F121" s="390" t="s">
        <v>498</v>
      </c>
      <c r="G121" s="475" t="s">
        <v>1875</v>
      </c>
      <c r="H121" s="490">
        <f>SUM(H122:H131)</f>
        <v>5.2621400000000005</v>
      </c>
      <c r="I121" s="490">
        <f>SUM(I122:I131)</f>
        <v>10</v>
      </c>
    </row>
    <row r="122" spans="2:9" outlineLevel="2">
      <c r="B122" s="373">
        <v>2</v>
      </c>
      <c r="C122" s="373" t="s">
        <v>328</v>
      </c>
      <c r="D122" s="373" t="s">
        <v>121</v>
      </c>
      <c r="E122" s="373" t="s">
        <v>175</v>
      </c>
      <c r="F122" s="373" t="s">
        <v>28</v>
      </c>
      <c r="G122" s="491" t="s">
        <v>284</v>
      </c>
      <c r="H122" s="492">
        <v>0.85500000000000009</v>
      </c>
      <c r="I122" s="492">
        <v>1</v>
      </c>
    </row>
    <row r="123" spans="2:9" outlineLevel="2">
      <c r="B123" s="373">
        <v>2</v>
      </c>
      <c r="C123" s="373" t="s">
        <v>328</v>
      </c>
      <c r="D123" s="373" t="s">
        <v>121</v>
      </c>
      <c r="E123" s="373" t="s">
        <v>175</v>
      </c>
      <c r="F123" s="373" t="s">
        <v>28</v>
      </c>
      <c r="G123" s="491" t="s">
        <v>31</v>
      </c>
      <c r="H123" s="492">
        <v>1.4050000000000002</v>
      </c>
      <c r="I123" s="492">
        <v>1</v>
      </c>
    </row>
    <row r="124" spans="2:9" outlineLevel="2">
      <c r="B124" s="373">
        <v>2</v>
      </c>
      <c r="C124" s="373" t="s">
        <v>328</v>
      </c>
      <c r="D124" s="373" t="s">
        <v>121</v>
      </c>
      <c r="E124" s="373" t="s">
        <v>175</v>
      </c>
      <c r="F124" s="373" t="s">
        <v>28</v>
      </c>
      <c r="G124" s="491" t="s">
        <v>32</v>
      </c>
      <c r="H124" s="492">
        <v>1.4050000000000002</v>
      </c>
      <c r="I124" s="492">
        <v>1</v>
      </c>
    </row>
    <row r="125" spans="2:9" outlineLevel="2">
      <c r="B125" s="373">
        <v>2</v>
      </c>
      <c r="C125" s="373" t="s">
        <v>328</v>
      </c>
      <c r="D125" s="373" t="s">
        <v>121</v>
      </c>
      <c r="E125" s="373" t="s">
        <v>175</v>
      </c>
      <c r="F125" s="373" t="s">
        <v>28</v>
      </c>
      <c r="G125" s="491" t="s">
        <v>326</v>
      </c>
      <c r="H125" s="492">
        <v>0.85500000000000009</v>
      </c>
      <c r="I125" s="492">
        <v>1</v>
      </c>
    </row>
    <row r="126" spans="2:9" outlineLevel="2">
      <c r="B126" s="373">
        <v>2</v>
      </c>
      <c r="C126" s="373" t="s">
        <v>328</v>
      </c>
      <c r="D126" s="373" t="s">
        <v>121</v>
      </c>
      <c r="E126" s="373" t="s">
        <v>27</v>
      </c>
      <c r="F126" s="373" t="s">
        <v>28</v>
      </c>
      <c r="G126" s="491" t="s">
        <v>31</v>
      </c>
      <c r="H126" s="492">
        <v>0.10088999999999999</v>
      </c>
      <c r="I126" s="492">
        <v>1</v>
      </c>
    </row>
    <row r="127" spans="2:9" outlineLevel="2">
      <c r="B127" s="373">
        <v>2</v>
      </c>
      <c r="C127" s="373" t="s">
        <v>328</v>
      </c>
      <c r="D127" s="373" t="s">
        <v>121</v>
      </c>
      <c r="E127" s="373" t="s">
        <v>27</v>
      </c>
      <c r="F127" s="373" t="s">
        <v>28</v>
      </c>
      <c r="G127" s="491" t="s">
        <v>32</v>
      </c>
      <c r="H127" s="492">
        <v>0.20177999999999999</v>
      </c>
      <c r="I127" s="492">
        <v>1</v>
      </c>
    </row>
    <row r="128" spans="2:9" outlineLevel="2">
      <c r="B128" s="373">
        <v>2</v>
      </c>
      <c r="C128" s="373" t="s">
        <v>328</v>
      </c>
      <c r="D128" s="373" t="s">
        <v>121</v>
      </c>
      <c r="E128" s="373" t="s">
        <v>27</v>
      </c>
      <c r="F128" s="373" t="s">
        <v>28</v>
      </c>
      <c r="G128" s="491" t="s">
        <v>326</v>
      </c>
      <c r="H128" s="492">
        <v>0.10088999999999999</v>
      </c>
      <c r="I128" s="492">
        <v>1</v>
      </c>
    </row>
    <row r="129" spans="2:9" outlineLevel="2">
      <c r="B129" s="373">
        <v>2</v>
      </c>
      <c r="C129" s="373" t="s">
        <v>328</v>
      </c>
      <c r="D129" s="373" t="s">
        <v>121</v>
      </c>
      <c r="E129" s="373" t="s">
        <v>58</v>
      </c>
      <c r="F129" s="373" t="s">
        <v>28</v>
      </c>
      <c r="G129" s="491" t="s">
        <v>31</v>
      </c>
      <c r="H129" s="492">
        <v>0.11286000000000002</v>
      </c>
      <c r="I129" s="492">
        <v>1</v>
      </c>
    </row>
    <row r="130" spans="2:9" outlineLevel="2">
      <c r="B130" s="373">
        <v>2</v>
      </c>
      <c r="C130" s="373" t="s">
        <v>328</v>
      </c>
      <c r="D130" s="373" t="s">
        <v>121</v>
      </c>
      <c r="E130" s="373" t="s">
        <v>58</v>
      </c>
      <c r="F130" s="373" t="s">
        <v>28</v>
      </c>
      <c r="G130" s="491" t="s">
        <v>32</v>
      </c>
      <c r="H130" s="492">
        <v>0.16929</v>
      </c>
      <c r="I130" s="492">
        <v>1</v>
      </c>
    </row>
    <row r="131" spans="2:9" outlineLevel="2">
      <c r="B131" s="373">
        <v>2</v>
      </c>
      <c r="C131" s="373" t="s">
        <v>328</v>
      </c>
      <c r="D131" s="373" t="s">
        <v>121</v>
      </c>
      <c r="E131" s="373" t="s">
        <v>58</v>
      </c>
      <c r="F131" s="373" t="s">
        <v>28</v>
      </c>
      <c r="G131" s="491" t="s">
        <v>326</v>
      </c>
      <c r="H131" s="492">
        <v>5.6430000000000008E-2</v>
      </c>
      <c r="I131" s="492">
        <v>1</v>
      </c>
    </row>
    <row r="132" spans="2:9" outlineLevel="1">
      <c r="C132" s="390" t="s">
        <v>332</v>
      </c>
      <c r="D132" s="390" t="s">
        <v>121</v>
      </c>
      <c r="E132" s="390"/>
      <c r="F132" s="390" t="s">
        <v>498</v>
      </c>
      <c r="G132" s="475" t="s">
        <v>1876</v>
      </c>
      <c r="H132" s="490">
        <f>SUM(H133:H139)</f>
        <v>2.5074143979111465</v>
      </c>
      <c r="I132" s="490">
        <f>SUM(I133:I139)</f>
        <v>7</v>
      </c>
    </row>
    <row r="133" spans="2:9" outlineLevel="2">
      <c r="B133" s="373">
        <v>3</v>
      </c>
      <c r="C133" s="373" t="s">
        <v>332</v>
      </c>
      <c r="D133" s="373" t="s">
        <v>121</v>
      </c>
      <c r="E133" s="373" t="s">
        <v>175</v>
      </c>
      <c r="F133" s="373" t="s">
        <v>28</v>
      </c>
      <c r="G133" s="491" t="s">
        <v>284</v>
      </c>
      <c r="H133" s="492">
        <v>0.4724994626592407</v>
      </c>
      <c r="I133" s="492">
        <v>1</v>
      </c>
    </row>
    <row r="134" spans="2:9" outlineLevel="2">
      <c r="B134" s="373">
        <v>3</v>
      </c>
      <c r="C134" s="373" t="s">
        <v>332</v>
      </c>
      <c r="D134" s="373" t="s">
        <v>121</v>
      </c>
      <c r="E134" s="373" t="s">
        <v>175</v>
      </c>
      <c r="F134" s="373" t="s">
        <v>28</v>
      </c>
      <c r="G134" s="491" t="s">
        <v>31</v>
      </c>
      <c r="H134" s="492">
        <v>0.85586265139649265</v>
      </c>
      <c r="I134" s="492">
        <v>1</v>
      </c>
    </row>
    <row r="135" spans="2:9" outlineLevel="2">
      <c r="B135" s="373">
        <v>3</v>
      </c>
      <c r="C135" s="373" t="s">
        <v>332</v>
      </c>
      <c r="D135" s="373" t="s">
        <v>121</v>
      </c>
      <c r="E135" s="373" t="s">
        <v>175</v>
      </c>
      <c r="F135" s="373" t="s">
        <v>28</v>
      </c>
      <c r="G135" s="491" t="s">
        <v>32</v>
      </c>
      <c r="H135" s="492">
        <v>0.85586265139649265</v>
      </c>
      <c r="I135" s="492">
        <v>1</v>
      </c>
    </row>
    <row r="136" spans="2:9" outlineLevel="2">
      <c r="B136" s="373">
        <v>3</v>
      </c>
      <c r="C136" s="373" t="s">
        <v>332</v>
      </c>
      <c r="D136" s="373" t="s">
        <v>121</v>
      </c>
      <c r="E136" s="373" t="s">
        <v>27</v>
      </c>
      <c r="F136" s="373" t="s">
        <v>28</v>
      </c>
      <c r="G136" s="491" t="s">
        <v>31</v>
      </c>
      <c r="H136" s="492">
        <v>5.5754936593790397E-2</v>
      </c>
      <c r="I136" s="492">
        <v>1</v>
      </c>
    </row>
    <row r="137" spans="2:9" outlineLevel="2">
      <c r="B137" s="373">
        <v>3</v>
      </c>
      <c r="C137" s="373" t="s">
        <v>332</v>
      </c>
      <c r="D137" s="373" t="s">
        <v>121</v>
      </c>
      <c r="E137" s="373" t="s">
        <v>27</v>
      </c>
      <c r="F137" s="373" t="s">
        <v>28</v>
      </c>
      <c r="G137" s="491" t="s">
        <v>32</v>
      </c>
      <c r="H137" s="492">
        <v>0.11150987318758079</v>
      </c>
      <c r="I137" s="492">
        <v>1</v>
      </c>
    </row>
    <row r="138" spans="2:9" outlineLevel="2">
      <c r="B138" s="373">
        <v>3</v>
      </c>
      <c r="C138" s="373" t="s">
        <v>332</v>
      </c>
      <c r="D138" s="373" t="s">
        <v>121</v>
      </c>
      <c r="E138" s="373" t="s">
        <v>58</v>
      </c>
      <c r="F138" s="373" t="s">
        <v>28</v>
      </c>
      <c r="G138" s="491" t="s">
        <v>31</v>
      </c>
      <c r="H138" s="492">
        <v>6.2369929071019771E-2</v>
      </c>
      <c r="I138" s="492">
        <v>1</v>
      </c>
    </row>
    <row r="139" spans="2:9" outlineLevel="2">
      <c r="B139" s="373">
        <v>3</v>
      </c>
      <c r="C139" s="373" t="s">
        <v>332</v>
      </c>
      <c r="D139" s="373" t="s">
        <v>121</v>
      </c>
      <c r="E139" s="373" t="s">
        <v>58</v>
      </c>
      <c r="F139" s="373" t="s">
        <v>28</v>
      </c>
      <c r="G139" s="491" t="s">
        <v>32</v>
      </c>
      <c r="H139" s="492">
        <v>9.3554893606529646E-2</v>
      </c>
      <c r="I139" s="492">
        <v>1</v>
      </c>
    </row>
    <row r="140" spans="2:9" outlineLevel="1">
      <c r="C140" s="390" t="s">
        <v>335</v>
      </c>
      <c r="D140" s="390" t="s">
        <v>121</v>
      </c>
      <c r="E140" s="390"/>
      <c r="F140" s="390" t="s">
        <v>498</v>
      </c>
      <c r="G140" s="475" t="s">
        <v>1877</v>
      </c>
      <c r="H140" s="490">
        <f>SUM(H141:H156)</f>
        <v>2.7927693686277002</v>
      </c>
      <c r="I140" s="490">
        <f>SUM(I141:I156)</f>
        <v>16</v>
      </c>
    </row>
    <row r="141" spans="2:9" outlineLevel="2">
      <c r="B141" s="373">
        <v>1</v>
      </c>
      <c r="C141" s="373" t="s">
        <v>335</v>
      </c>
      <c r="D141" s="373" t="s">
        <v>121</v>
      </c>
      <c r="E141" s="373" t="s">
        <v>175</v>
      </c>
      <c r="F141" s="373" t="s">
        <v>28</v>
      </c>
      <c r="G141" s="491" t="s">
        <v>336</v>
      </c>
      <c r="H141" s="492">
        <v>0.55066951170000011</v>
      </c>
      <c r="I141" s="492">
        <v>1</v>
      </c>
    </row>
    <row r="142" spans="2:9" outlineLevel="2">
      <c r="B142" s="373">
        <v>1</v>
      </c>
      <c r="C142" s="373" t="s">
        <v>335</v>
      </c>
      <c r="D142" s="373" t="s">
        <v>121</v>
      </c>
      <c r="E142" s="373" t="s">
        <v>175</v>
      </c>
      <c r="F142" s="373" t="s">
        <v>28</v>
      </c>
      <c r="G142" s="491" t="s">
        <v>337</v>
      </c>
      <c r="H142" s="492">
        <v>0.55066951170000011</v>
      </c>
      <c r="I142" s="492">
        <v>1</v>
      </c>
    </row>
    <row r="143" spans="2:9" outlineLevel="2">
      <c r="B143" s="373">
        <v>1</v>
      </c>
      <c r="C143" s="373" t="s">
        <v>335</v>
      </c>
      <c r="D143" s="373" t="s">
        <v>121</v>
      </c>
      <c r="E143" s="373" t="s">
        <v>175</v>
      </c>
      <c r="F143" s="373" t="s">
        <v>28</v>
      </c>
      <c r="G143" s="491" t="s">
        <v>33</v>
      </c>
      <c r="H143" s="492">
        <v>0.55066951170000011</v>
      </c>
      <c r="I143" s="492">
        <v>1</v>
      </c>
    </row>
    <row r="144" spans="2:9" outlineLevel="2">
      <c r="B144" s="373">
        <v>1</v>
      </c>
      <c r="C144" s="373" t="s">
        <v>335</v>
      </c>
      <c r="D144" s="373" t="s">
        <v>121</v>
      </c>
      <c r="E144" s="373" t="s">
        <v>175</v>
      </c>
      <c r="F144" s="373" t="s">
        <v>28</v>
      </c>
      <c r="G144" s="491" t="s">
        <v>326</v>
      </c>
      <c r="H144" s="492">
        <v>0.30444318135000004</v>
      </c>
      <c r="I144" s="492">
        <v>1</v>
      </c>
    </row>
    <row r="145" spans="2:9" outlineLevel="2">
      <c r="B145" s="373">
        <v>1</v>
      </c>
      <c r="C145" s="373" t="s">
        <v>335</v>
      </c>
      <c r="D145" s="373" t="s">
        <v>121</v>
      </c>
      <c r="E145" s="373" t="s">
        <v>175</v>
      </c>
      <c r="F145" s="373" t="s">
        <v>28</v>
      </c>
      <c r="G145" s="491" t="s">
        <v>285</v>
      </c>
      <c r="H145" s="492">
        <v>0.30444318135000004</v>
      </c>
      <c r="I145" s="492">
        <v>1</v>
      </c>
    </row>
    <row r="146" spans="2:9" outlineLevel="2">
      <c r="B146" s="373">
        <v>1</v>
      </c>
      <c r="C146" s="373" t="s">
        <v>335</v>
      </c>
      <c r="D146" s="373" t="s">
        <v>121</v>
      </c>
      <c r="E146" s="373" t="s">
        <v>175</v>
      </c>
      <c r="F146" s="373" t="s">
        <v>28</v>
      </c>
      <c r="G146" s="491" t="s">
        <v>338</v>
      </c>
      <c r="H146" s="492">
        <v>0.16520085351</v>
      </c>
      <c r="I146" s="492">
        <v>1</v>
      </c>
    </row>
    <row r="147" spans="2:9" outlineLevel="2">
      <c r="B147" s="373">
        <v>1</v>
      </c>
      <c r="C147" s="373" t="s">
        <v>335</v>
      </c>
      <c r="D147" s="373" t="s">
        <v>121</v>
      </c>
      <c r="E147" s="373" t="s">
        <v>27</v>
      </c>
      <c r="F147" s="373" t="s">
        <v>28</v>
      </c>
      <c r="G147" s="491" t="s">
        <v>31</v>
      </c>
      <c r="H147" s="492">
        <v>3.5924295399299998E-2</v>
      </c>
      <c r="I147" s="492">
        <v>1</v>
      </c>
    </row>
    <row r="148" spans="2:9" outlineLevel="2">
      <c r="B148" s="373">
        <v>1</v>
      </c>
      <c r="C148" s="373" t="s">
        <v>335</v>
      </c>
      <c r="D148" s="373" t="s">
        <v>121</v>
      </c>
      <c r="E148" s="373" t="s">
        <v>27</v>
      </c>
      <c r="F148" s="373" t="s">
        <v>28</v>
      </c>
      <c r="G148" s="491" t="s">
        <v>337</v>
      </c>
      <c r="H148" s="492">
        <v>7.1848590798599996E-2</v>
      </c>
      <c r="I148" s="492">
        <v>1</v>
      </c>
    </row>
    <row r="149" spans="2:9" outlineLevel="2">
      <c r="B149" s="373">
        <v>1</v>
      </c>
      <c r="C149" s="373" t="s">
        <v>335</v>
      </c>
      <c r="D149" s="373" t="s">
        <v>121</v>
      </c>
      <c r="E149" s="373" t="s">
        <v>27</v>
      </c>
      <c r="F149" s="373" t="s">
        <v>28</v>
      </c>
      <c r="G149" s="491" t="s">
        <v>33</v>
      </c>
      <c r="H149" s="492">
        <v>7.1848590798599996E-2</v>
      </c>
      <c r="I149" s="492">
        <v>1</v>
      </c>
    </row>
    <row r="150" spans="2:9" outlineLevel="2">
      <c r="B150" s="373">
        <v>1</v>
      </c>
      <c r="C150" s="373" t="s">
        <v>335</v>
      </c>
      <c r="D150" s="373" t="s">
        <v>121</v>
      </c>
      <c r="E150" s="373" t="s">
        <v>27</v>
      </c>
      <c r="F150" s="373" t="s">
        <v>28</v>
      </c>
      <c r="G150" s="491" t="s">
        <v>326</v>
      </c>
      <c r="H150" s="492">
        <v>3.5924295399299998E-2</v>
      </c>
      <c r="I150" s="492">
        <v>1</v>
      </c>
    </row>
    <row r="151" spans="2:9" outlineLevel="2">
      <c r="B151" s="373">
        <v>1</v>
      </c>
      <c r="C151" s="373" t="s">
        <v>335</v>
      </c>
      <c r="D151" s="373" t="s">
        <v>121</v>
      </c>
      <c r="E151" s="373" t="s">
        <v>27</v>
      </c>
      <c r="F151" s="373" t="s">
        <v>28</v>
      </c>
      <c r="G151" s="491" t="s">
        <v>322</v>
      </c>
      <c r="H151" s="492">
        <v>3.2489501190300002E-2</v>
      </c>
      <c r="I151" s="492">
        <v>1</v>
      </c>
    </row>
    <row r="152" spans="2:9" outlineLevel="2">
      <c r="B152" s="373">
        <v>1</v>
      </c>
      <c r="C152" s="373" t="s">
        <v>335</v>
      </c>
      <c r="D152" s="373" t="s">
        <v>121</v>
      </c>
      <c r="E152" s="373" t="s">
        <v>58</v>
      </c>
      <c r="F152" s="373" t="s">
        <v>28</v>
      </c>
      <c r="G152" s="491" t="s">
        <v>31</v>
      </c>
      <c r="H152" s="492">
        <v>4.0186499938200004E-2</v>
      </c>
      <c r="I152" s="492">
        <v>1</v>
      </c>
    </row>
    <row r="153" spans="2:9" outlineLevel="2">
      <c r="B153" s="373">
        <v>1</v>
      </c>
      <c r="C153" s="373" t="s">
        <v>335</v>
      </c>
      <c r="D153" s="373" t="s">
        <v>121</v>
      </c>
      <c r="E153" s="373" t="s">
        <v>58</v>
      </c>
      <c r="F153" s="373" t="s">
        <v>28</v>
      </c>
      <c r="G153" s="491" t="s">
        <v>33</v>
      </c>
      <c r="H153" s="492">
        <v>2.0093249969100002E-2</v>
      </c>
      <c r="I153" s="492">
        <v>1</v>
      </c>
    </row>
    <row r="154" spans="2:9" outlineLevel="2">
      <c r="B154" s="373">
        <v>1</v>
      </c>
      <c r="C154" s="373" t="s">
        <v>335</v>
      </c>
      <c r="D154" s="373" t="s">
        <v>121</v>
      </c>
      <c r="E154" s="373" t="s">
        <v>58</v>
      </c>
      <c r="F154" s="373" t="s">
        <v>28</v>
      </c>
      <c r="G154" s="491" t="s">
        <v>326</v>
      </c>
      <c r="H154" s="492">
        <v>2.0093249969100002E-2</v>
      </c>
      <c r="I154" s="492">
        <v>1</v>
      </c>
    </row>
    <row r="155" spans="2:9" outlineLevel="2">
      <c r="B155" s="373">
        <v>1</v>
      </c>
      <c r="C155" s="373" t="s">
        <v>335</v>
      </c>
      <c r="D155" s="373" t="s">
        <v>121</v>
      </c>
      <c r="E155" s="373" t="s">
        <v>58</v>
      </c>
      <c r="F155" s="373" t="s">
        <v>28</v>
      </c>
      <c r="G155" s="491" t="s">
        <v>285</v>
      </c>
      <c r="H155" s="492">
        <v>2.0093249969100002E-2</v>
      </c>
      <c r="I155" s="492">
        <v>1</v>
      </c>
    </row>
    <row r="156" spans="2:9" outlineLevel="2">
      <c r="B156" s="373">
        <v>1</v>
      </c>
      <c r="C156" s="373" t="s">
        <v>335</v>
      </c>
      <c r="D156" s="373" t="s">
        <v>121</v>
      </c>
      <c r="E156" s="373" t="s">
        <v>58</v>
      </c>
      <c r="F156" s="373" t="s">
        <v>28</v>
      </c>
      <c r="G156" s="491" t="s">
        <v>322</v>
      </c>
      <c r="H156" s="492">
        <v>1.8172093886100003E-2</v>
      </c>
      <c r="I156" s="492">
        <v>1</v>
      </c>
    </row>
    <row r="157" spans="2:9" outlineLevel="1">
      <c r="C157" s="390" t="s">
        <v>340</v>
      </c>
      <c r="D157" s="390" t="s">
        <v>121</v>
      </c>
      <c r="E157" s="390"/>
      <c r="F157" s="390" t="s">
        <v>498</v>
      </c>
      <c r="G157" s="475" t="s">
        <v>1878</v>
      </c>
      <c r="H157" s="490">
        <v>0</v>
      </c>
      <c r="I157" s="490">
        <v>0</v>
      </c>
    </row>
    <row r="158" spans="2:9" outlineLevel="1">
      <c r="C158" s="390" t="s">
        <v>344</v>
      </c>
      <c r="D158" s="390" t="s">
        <v>344</v>
      </c>
      <c r="E158" s="390"/>
      <c r="F158" s="390" t="s">
        <v>498</v>
      </c>
      <c r="G158" s="475" t="s">
        <v>1879</v>
      </c>
      <c r="H158" s="490">
        <v>0</v>
      </c>
      <c r="I158" s="490">
        <v>0</v>
      </c>
    </row>
    <row r="159" spans="2:9" outlineLevel="1">
      <c r="C159" s="390" t="s">
        <v>350</v>
      </c>
      <c r="D159" s="390" t="s">
        <v>350</v>
      </c>
      <c r="E159" s="390"/>
      <c r="F159" s="390" t="s">
        <v>498</v>
      </c>
      <c r="G159" s="475" t="s">
        <v>1863</v>
      </c>
      <c r="H159" s="490">
        <v>0</v>
      </c>
      <c r="I159" s="490">
        <v>0</v>
      </c>
    </row>
    <row r="160" spans="2:9" outlineLevel="1">
      <c r="C160" s="390" t="s">
        <v>356</v>
      </c>
      <c r="D160" s="390" t="s">
        <v>356</v>
      </c>
      <c r="E160" s="390"/>
      <c r="F160" s="390" t="s">
        <v>498</v>
      </c>
      <c r="G160" s="475" t="s">
        <v>1892</v>
      </c>
      <c r="H160" s="490">
        <f>SUM(H161:H164)</f>
        <v>2.0669932799999999E-2</v>
      </c>
      <c r="I160" s="490">
        <f>SUM(I161:I164)</f>
        <v>4</v>
      </c>
    </row>
    <row r="161" spans="2:9" outlineLevel="2">
      <c r="B161" s="373">
        <v>3</v>
      </c>
      <c r="C161" s="373" t="s">
        <v>356</v>
      </c>
      <c r="D161" s="373" t="s">
        <v>356</v>
      </c>
      <c r="E161" s="373" t="s">
        <v>27</v>
      </c>
      <c r="F161" s="373" t="s">
        <v>28</v>
      </c>
      <c r="G161" s="491" t="s">
        <v>236</v>
      </c>
      <c r="H161" s="492">
        <v>5.6372543999999997E-3</v>
      </c>
      <c r="I161" s="492">
        <v>1</v>
      </c>
    </row>
    <row r="162" spans="2:9" outlineLevel="2">
      <c r="B162" s="373">
        <v>3</v>
      </c>
      <c r="C162" s="373" t="s">
        <v>356</v>
      </c>
      <c r="D162" s="373" t="s">
        <v>356</v>
      </c>
      <c r="E162" s="373" t="s">
        <v>27</v>
      </c>
      <c r="F162" s="373" t="s">
        <v>28</v>
      </c>
      <c r="G162" s="491" t="s">
        <v>32</v>
      </c>
      <c r="H162" s="492">
        <v>5.6372543999999997E-3</v>
      </c>
      <c r="I162" s="492">
        <v>1</v>
      </c>
    </row>
    <row r="163" spans="2:9" outlineLevel="2">
      <c r="B163" s="373">
        <v>3</v>
      </c>
      <c r="C163" s="373" t="s">
        <v>356</v>
      </c>
      <c r="D163" s="373" t="s">
        <v>356</v>
      </c>
      <c r="E163" s="373" t="s">
        <v>58</v>
      </c>
      <c r="F163" s="373" t="s">
        <v>28</v>
      </c>
      <c r="G163" s="491" t="s">
        <v>236</v>
      </c>
      <c r="H163" s="492">
        <v>4.6977119999999997E-3</v>
      </c>
      <c r="I163" s="492">
        <v>1</v>
      </c>
    </row>
    <row r="164" spans="2:9" outlineLevel="2">
      <c r="B164" s="373">
        <v>3</v>
      </c>
      <c r="C164" s="373" t="s">
        <v>356</v>
      </c>
      <c r="D164" s="373" t="s">
        <v>356</v>
      </c>
      <c r="E164" s="373" t="s">
        <v>58</v>
      </c>
      <c r="F164" s="373" t="s">
        <v>28</v>
      </c>
      <c r="G164" s="491" t="s">
        <v>32</v>
      </c>
      <c r="H164" s="492">
        <v>4.6977119999999997E-3</v>
      </c>
      <c r="I164" s="492">
        <v>1</v>
      </c>
    </row>
    <row r="165" spans="2:9" outlineLevel="1">
      <c r="C165" s="390" t="s">
        <v>364</v>
      </c>
      <c r="D165" s="390" t="s">
        <v>365</v>
      </c>
      <c r="E165" s="390"/>
      <c r="F165" s="390" t="s">
        <v>498</v>
      </c>
      <c r="G165" s="475" t="s">
        <v>1870</v>
      </c>
      <c r="H165" s="490">
        <f>SUM(H166:H170)</f>
        <v>0.45</v>
      </c>
      <c r="I165" s="490">
        <f>SUM(I166:I170)</f>
        <v>5</v>
      </c>
    </row>
    <row r="166" spans="2:9" outlineLevel="2">
      <c r="B166" s="373">
        <v>2</v>
      </c>
      <c r="C166" s="373" t="s">
        <v>364</v>
      </c>
      <c r="D166" s="373" t="s">
        <v>365</v>
      </c>
      <c r="E166" s="373" t="s">
        <v>27</v>
      </c>
      <c r="F166" s="373" t="s">
        <v>28</v>
      </c>
      <c r="G166" s="491" t="s">
        <v>31</v>
      </c>
      <c r="H166" s="492">
        <v>0.1</v>
      </c>
      <c r="I166" s="492">
        <v>1</v>
      </c>
    </row>
    <row r="167" spans="2:9" outlineLevel="2">
      <c r="B167" s="373">
        <v>2</v>
      </c>
      <c r="C167" s="373" t="s">
        <v>364</v>
      </c>
      <c r="D167" s="373" t="s">
        <v>365</v>
      </c>
      <c r="E167" s="373" t="s">
        <v>27</v>
      </c>
      <c r="F167" s="373" t="s">
        <v>28</v>
      </c>
      <c r="G167" s="491" t="s">
        <v>32</v>
      </c>
      <c r="H167" s="492">
        <v>0.05</v>
      </c>
      <c r="I167" s="492">
        <v>1</v>
      </c>
    </row>
    <row r="168" spans="2:9" outlineLevel="2">
      <c r="B168" s="373">
        <v>2</v>
      </c>
      <c r="C168" s="373" t="s">
        <v>364</v>
      </c>
      <c r="D168" s="373" t="s">
        <v>365</v>
      </c>
      <c r="E168" s="373" t="s">
        <v>27</v>
      </c>
      <c r="F168" s="373" t="s">
        <v>28</v>
      </c>
      <c r="G168" s="491" t="s">
        <v>292</v>
      </c>
      <c r="H168" s="492">
        <v>0.1</v>
      </c>
      <c r="I168" s="492">
        <v>1</v>
      </c>
    </row>
    <row r="169" spans="2:9" outlineLevel="2">
      <c r="B169" s="373">
        <v>2</v>
      </c>
      <c r="C169" s="373" t="s">
        <v>364</v>
      </c>
      <c r="D169" s="373" t="s">
        <v>365</v>
      </c>
      <c r="E169" s="373" t="s">
        <v>58</v>
      </c>
      <c r="F169" s="373" t="s">
        <v>28</v>
      </c>
      <c r="G169" s="491" t="s">
        <v>31</v>
      </c>
      <c r="H169" s="492">
        <v>0.15</v>
      </c>
      <c r="I169" s="492">
        <v>1</v>
      </c>
    </row>
    <row r="170" spans="2:9" outlineLevel="2">
      <c r="B170" s="373">
        <v>2</v>
      </c>
      <c r="C170" s="373" t="s">
        <v>364</v>
      </c>
      <c r="D170" s="373" t="s">
        <v>365</v>
      </c>
      <c r="E170" s="373" t="s">
        <v>58</v>
      </c>
      <c r="F170" s="373" t="s">
        <v>28</v>
      </c>
      <c r="G170" s="491" t="s">
        <v>32</v>
      </c>
      <c r="H170" s="492">
        <v>0.05</v>
      </c>
      <c r="I170" s="492">
        <v>1</v>
      </c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2:Y15"/>
  <sheetViews>
    <sheetView zoomScaleNormal="100" zoomScaleSheetLayoutView="90" workbookViewId="0">
      <pane xSplit="3" ySplit="4" topLeftCell="D6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4140625" defaultRowHeight="13.2" outlineLevelRow="2"/>
  <cols>
    <col min="1" max="1" width="0.5546875" style="373" customWidth="1"/>
    <col min="2" max="2" width="6.44140625" style="373" bestFit="1" customWidth="1"/>
    <col min="3" max="3" width="22.33203125" style="373" customWidth="1"/>
    <col min="4" max="4" width="14.6640625" style="373" customWidth="1"/>
    <col min="5" max="5" width="16.6640625" style="373" customWidth="1"/>
    <col min="6" max="6" width="13.6640625" style="373" bestFit="1" customWidth="1"/>
    <col min="7" max="7" width="56.6640625" style="491" customWidth="1"/>
    <col min="8" max="8" width="12.6640625" style="373" bestFit="1" customWidth="1"/>
    <col min="9" max="9" width="11" style="373" customWidth="1"/>
    <col min="10" max="10" width="0.5546875" style="373" customWidth="1"/>
    <col min="11" max="12" width="9.44140625" style="373" bestFit="1"/>
    <col min="13" max="14" width="9.5546875" style="373" bestFit="1" customWidth="1"/>
    <col min="15" max="15" width="7" style="373" bestFit="1" customWidth="1"/>
    <col min="16" max="16" width="8.5546875" style="373" bestFit="1" customWidth="1"/>
    <col min="17" max="17" width="12.5546875" style="373" customWidth="1"/>
    <col min="18" max="18" width="7.5546875" style="373" bestFit="1" customWidth="1"/>
    <col min="19" max="19" width="5.5546875" style="373" bestFit="1" customWidth="1"/>
    <col min="20" max="20" width="9.44140625" style="373" bestFit="1" customWidth="1"/>
    <col min="21" max="24" width="9.44140625" style="373" bestFit="1"/>
    <col min="25" max="25" width="9.44140625" style="373" bestFit="1" customWidth="1"/>
    <col min="26" max="16384" width="9.44140625" style="373"/>
  </cols>
  <sheetData>
    <row r="2" spans="1:25" s="416" customFormat="1" ht="17.399999999999999">
      <c r="A2" s="376"/>
      <c r="B2" s="376"/>
      <c r="C2" s="418" t="s">
        <v>1847</v>
      </c>
      <c r="D2" s="418"/>
      <c r="E2" s="418"/>
      <c r="F2" s="418"/>
      <c r="G2" s="469"/>
      <c r="H2" s="419" t="s">
        <v>1</v>
      </c>
      <c r="I2" s="419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67">
        <f>SUM(H7)</f>
        <v>2.0857840095600002</v>
      </c>
      <c r="I4" s="467">
        <f>SUM(I7)</f>
        <v>151</v>
      </c>
      <c r="J4" s="374"/>
      <c r="P4" s="449"/>
      <c r="V4" s="373"/>
      <c r="W4" s="373"/>
      <c r="X4" s="373"/>
    </row>
    <row r="5" spans="1:25" ht="10.35" hidden="1" customHeight="1">
      <c r="A5" s="372"/>
      <c r="B5" s="372"/>
      <c r="C5" s="376"/>
      <c r="D5" s="372"/>
      <c r="E5" s="376"/>
      <c r="F5" s="376" t="s">
        <v>12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1859</v>
      </c>
      <c r="C7" s="470" t="s">
        <v>539</v>
      </c>
      <c r="D7" s="471"/>
      <c r="E7" s="471"/>
      <c r="F7" s="471"/>
      <c r="G7" s="472"/>
      <c r="H7" s="473">
        <f>SUM(H9,H12)</f>
        <v>2.0857840095600002</v>
      </c>
      <c r="I7" s="473">
        <f>SUM(I9,I12)</f>
        <v>151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539"/>
      <c r="J8" s="372"/>
    </row>
    <row r="9" spans="1:25" ht="13.8" outlineLevel="1">
      <c r="C9" s="513" t="s">
        <v>1938</v>
      </c>
      <c r="D9" s="513" t="s">
        <v>1635</v>
      </c>
      <c r="E9" s="513" t="s">
        <v>897</v>
      </c>
      <c r="F9" s="513" t="s">
        <v>539</v>
      </c>
      <c r="G9" s="513" t="s">
        <v>540</v>
      </c>
      <c r="H9" s="476">
        <f>SUM(H10:H11)</f>
        <v>0.92559999999999998</v>
      </c>
      <c r="I9" s="540">
        <f>SUM(I10:I11)</f>
        <v>2</v>
      </c>
      <c r="J9" s="390"/>
      <c r="K9" s="514"/>
      <c r="L9" s="514">
        <f>((8000*549)/10^7)+((8000*0)/10^7)</f>
        <v>0.43919999999999998</v>
      </c>
    </row>
    <row r="10" spans="1:25" ht="13.8" outlineLevel="2">
      <c r="B10" s="373">
        <v>1</v>
      </c>
      <c r="C10" s="536" t="s">
        <v>1939</v>
      </c>
      <c r="D10" s="536" t="s">
        <v>804</v>
      </c>
      <c r="E10" s="536" t="s">
        <v>897</v>
      </c>
      <c r="F10" s="536" t="s">
        <v>539</v>
      </c>
      <c r="G10" s="536" t="s">
        <v>1940</v>
      </c>
      <c r="H10" s="483">
        <f>((8000*632)/10^7)</f>
        <v>0.50560000000000005</v>
      </c>
      <c r="I10" s="538">
        <v>1</v>
      </c>
      <c r="K10" s="503"/>
      <c r="L10" s="503">
        <v>0.43919999999999998</v>
      </c>
    </row>
    <row r="11" spans="1:25" ht="13.8" outlineLevel="2">
      <c r="B11" s="373">
        <v>1</v>
      </c>
      <c r="C11" s="536" t="s">
        <v>576</v>
      </c>
      <c r="D11" s="536" t="s">
        <v>808</v>
      </c>
      <c r="E11" s="536" t="s">
        <v>897</v>
      </c>
      <c r="F11" s="536" t="s">
        <v>539</v>
      </c>
      <c r="G11" s="536" t="s">
        <v>1941</v>
      </c>
      <c r="H11" s="483">
        <f>((8000*525)/10^7)</f>
        <v>0.42</v>
      </c>
      <c r="I11" s="538">
        <v>1</v>
      </c>
      <c r="K11" s="503"/>
      <c r="L11" s="503"/>
    </row>
    <row r="12" spans="1:25" ht="13.8" outlineLevel="1">
      <c r="C12" s="513" t="s">
        <v>1942</v>
      </c>
      <c r="D12" s="513" t="s">
        <v>1943</v>
      </c>
      <c r="E12" s="513" t="s">
        <v>897</v>
      </c>
      <c r="F12" s="513" t="s">
        <v>539</v>
      </c>
      <c r="G12" s="513" t="s">
        <v>541</v>
      </c>
      <c r="H12" s="476">
        <f>SUM(H13:H15)</f>
        <v>1.16018400956</v>
      </c>
      <c r="I12" s="540">
        <f>SUM(I13:I15)</f>
        <v>149</v>
      </c>
      <c r="J12" s="390"/>
      <c r="K12" s="537">
        <f>SUM(K13:K15)</f>
        <v>46</v>
      </c>
      <c r="L12" s="514">
        <f>SUM(L13:L15)</f>
        <v>0.44551000000000002</v>
      </c>
    </row>
    <row r="13" spans="1:25" ht="13.8" outlineLevel="2">
      <c r="C13" s="536" t="s">
        <v>1666</v>
      </c>
      <c r="D13" s="536" t="s">
        <v>1666</v>
      </c>
      <c r="E13" s="536" t="s">
        <v>897</v>
      </c>
      <c r="F13" s="536" t="s">
        <v>539</v>
      </c>
      <c r="G13" s="536" t="s">
        <v>542</v>
      </c>
      <c r="H13" s="483">
        <f>((41374*160)/10^7)+((4.78*2%)/10^7)</f>
        <v>0.66198400956000003</v>
      </c>
      <c r="I13" s="538">
        <v>10</v>
      </c>
      <c r="K13" s="504">
        <v>2</v>
      </c>
      <c r="L13" s="505">
        <f>((11338*160)/10^7)+(((11338*1000)*2%)/10^7)</f>
        <v>0.20408400000000002</v>
      </c>
    </row>
    <row r="14" spans="1:25" ht="13.8" outlineLevel="2">
      <c r="C14" s="536" t="s">
        <v>1679</v>
      </c>
      <c r="D14" s="536" t="s">
        <v>1679</v>
      </c>
      <c r="E14" s="536" t="s">
        <v>897</v>
      </c>
      <c r="F14" s="536" t="s">
        <v>539</v>
      </c>
      <c r="G14" s="536" t="s">
        <v>543</v>
      </c>
      <c r="H14" s="483">
        <v>0.49820000000000003</v>
      </c>
      <c r="I14" s="538">
        <v>107</v>
      </c>
      <c r="K14" s="504">
        <v>39</v>
      </c>
      <c r="L14" s="505">
        <f>(((8550*1200)+(110453*1000))*2%)/10^7</f>
        <v>0.241426</v>
      </c>
    </row>
    <row r="15" spans="1:25" ht="13.8" outlineLevel="2">
      <c r="C15" s="536" t="s">
        <v>1667</v>
      </c>
      <c r="D15" s="536" t="s">
        <v>1667</v>
      </c>
      <c r="E15" s="536" t="s">
        <v>897</v>
      </c>
      <c r="F15" s="536" t="s">
        <v>539</v>
      </c>
      <c r="G15" s="536" t="s">
        <v>544</v>
      </c>
      <c r="H15" s="483">
        <v>0</v>
      </c>
      <c r="I15" s="538">
        <v>32</v>
      </c>
      <c r="K15" s="504">
        <v>5</v>
      </c>
      <c r="L15" s="505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87" fitToHeight="0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2:X541"/>
  <sheetViews>
    <sheetView zoomScaleNormal="100" workbookViewId="0">
      <pane xSplit="2" ySplit="4" topLeftCell="C5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4140625" defaultRowHeight="13.2" outlineLevelRow="2"/>
  <cols>
    <col min="1" max="1" width="0.5546875" style="373" customWidth="1"/>
    <col min="2" max="2" width="19.44140625" style="373" customWidth="1"/>
    <col min="3" max="3" width="16.33203125" style="373" bestFit="1" customWidth="1"/>
    <col min="4" max="4" width="12.5546875" style="373" customWidth="1"/>
    <col min="5" max="5" width="13.6640625" style="373" bestFit="1" customWidth="1"/>
    <col min="6" max="6" width="66.33203125" style="491" bestFit="1" customWidth="1"/>
    <col min="7" max="8" width="11" style="373" customWidth="1"/>
    <col min="9" max="9" width="0.5546875" style="373" customWidth="1"/>
    <col min="10" max="11" width="9.44140625" style="373"/>
    <col min="12" max="13" width="9.5546875" style="373" bestFit="1" customWidth="1"/>
    <col min="14" max="14" width="7" style="373" bestFit="1" customWidth="1"/>
    <col min="15" max="15" width="8.5546875" style="373" bestFit="1" customWidth="1"/>
    <col min="16" max="16" width="12.5546875" style="373" customWidth="1"/>
    <col min="17" max="17" width="7.5546875" style="373" bestFit="1" customWidth="1"/>
    <col min="18" max="18" width="5.5546875" style="373" bestFit="1" customWidth="1"/>
    <col min="19" max="19" width="9.44140625" style="373" bestFit="1" customWidth="1"/>
    <col min="20" max="23" width="9.44140625" style="373"/>
    <col min="24" max="24" width="9.44140625" style="373" bestFit="1" customWidth="1"/>
    <col min="25" max="16384" width="9.44140625" style="373"/>
  </cols>
  <sheetData>
    <row r="2" spans="1:24" s="416" customFormat="1" ht="17.399999999999999">
      <c r="A2" s="376"/>
      <c r="B2" s="418" t="s">
        <v>1847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SUM(G7,G53,G107,G141,G192,G214,G222,G378)</f>
        <v>115.68012383281675</v>
      </c>
      <c r="H4" s="434">
        <f>SUM(H7,H53,H107,H141,H192,H214,H222,H378)</f>
        <v>402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 collapsed="1">
      <c r="A7" s="376"/>
      <c r="B7" s="470" t="s">
        <v>127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hidden="1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hidden="1" outlineLevel="1">
      <c r="B9" s="475" t="s">
        <v>120</v>
      </c>
      <c r="C9" s="475" t="s">
        <v>121</v>
      </c>
      <c r="D9" s="475" t="s">
        <v>17</v>
      </c>
      <c r="E9" s="475" t="s">
        <v>127</v>
      </c>
      <c r="F9" s="475" t="s">
        <v>1848</v>
      </c>
      <c r="G9" s="476">
        <v>0</v>
      </c>
      <c r="H9" s="476">
        <v>0</v>
      </c>
    </row>
    <row r="10" spans="1:24" hidden="1" outlineLevel="1" collapsed="1">
      <c r="B10" s="475" t="s">
        <v>125</v>
      </c>
      <c r="C10" s="446" t="s">
        <v>126</v>
      </c>
      <c r="D10" s="445" t="s">
        <v>17</v>
      </c>
      <c r="E10" s="446" t="s">
        <v>127</v>
      </c>
      <c r="F10" s="475" t="s">
        <v>1849</v>
      </c>
      <c r="G10" s="476">
        <f>SUM(G11:G12)</f>
        <v>0.25</v>
      </c>
      <c r="H10" s="476">
        <f>SUM(H11:H12)</f>
        <v>2</v>
      </c>
    </row>
    <row r="11" spans="1:24" hidden="1" outlineLevel="2">
      <c r="B11" s="477" t="s">
        <v>125</v>
      </c>
      <c r="C11" s="447" t="s">
        <v>126</v>
      </c>
      <c r="D11" s="443" t="s">
        <v>17</v>
      </c>
      <c r="E11" s="447" t="s">
        <v>127</v>
      </c>
      <c r="F11" s="477" t="s">
        <v>122</v>
      </c>
      <c r="G11" s="478">
        <v>7.0000000000000007E-2</v>
      </c>
      <c r="H11" s="478">
        <v>1</v>
      </c>
    </row>
    <row r="12" spans="1:24" hidden="1" outlineLevel="2">
      <c r="B12" s="477" t="s">
        <v>125</v>
      </c>
      <c r="C12" s="447" t="s">
        <v>126</v>
      </c>
      <c r="D12" s="443" t="s">
        <v>17</v>
      </c>
      <c r="E12" s="447" t="s">
        <v>127</v>
      </c>
      <c r="F12" s="477" t="s">
        <v>128</v>
      </c>
      <c r="G12" s="478">
        <v>0.18</v>
      </c>
      <c r="H12" s="478">
        <v>1</v>
      </c>
    </row>
    <row r="13" spans="1:24" hidden="1" outlineLevel="1" collapsed="1">
      <c r="B13" s="475" t="s">
        <v>130</v>
      </c>
      <c r="C13" s="446" t="s">
        <v>131</v>
      </c>
      <c r="D13" s="445" t="s">
        <v>17</v>
      </c>
      <c r="E13" s="446" t="s">
        <v>127</v>
      </c>
      <c r="F13" s="475" t="s">
        <v>1850</v>
      </c>
      <c r="G13" s="476">
        <f>SUM(G14:G17)</f>
        <v>2.3753571</v>
      </c>
      <c r="H13" s="476">
        <f>SUM(H14:H17)</f>
        <v>4</v>
      </c>
    </row>
    <row r="14" spans="1:24" hidden="1" outlineLevel="2">
      <c r="B14" s="477" t="s">
        <v>130</v>
      </c>
      <c r="C14" s="447" t="s">
        <v>131</v>
      </c>
      <c r="D14" s="443" t="s">
        <v>17</v>
      </c>
      <c r="E14" s="447" t="s">
        <v>127</v>
      </c>
      <c r="F14" s="477" t="s">
        <v>139</v>
      </c>
      <c r="G14" s="478">
        <v>0.3</v>
      </c>
      <c r="H14" s="478">
        <v>1</v>
      </c>
    </row>
    <row r="15" spans="1:24" hidden="1" outlineLevel="2">
      <c r="B15" s="477" t="s">
        <v>130</v>
      </c>
      <c r="C15" s="447" t="s">
        <v>131</v>
      </c>
      <c r="D15" s="443" t="s">
        <v>17</v>
      </c>
      <c r="E15" s="447" t="s">
        <v>127</v>
      </c>
      <c r="F15" s="477" t="s">
        <v>140</v>
      </c>
      <c r="G15" s="478">
        <v>0.3</v>
      </c>
      <c r="H15" s="478">
        <v>1</v>
      </c>
    </row>
    <row r="16" spans="1:24" hidden="1" outlineLevel="2">
      <c r="B16" s="477" t="s">
        <v>130</v>
      </c>
      <c r="C16" s="447" t="s">
        <v>131</v>
      </c>
      <c r="D16" s="443" t="s">
        <v>17</v>
      </c>
      <c r="E16" s="447" t="s">
        <v>127</v>
      </c>
      <c r="F16" s="477" t="s">
        <v>141</v>
      </c>
      <c r="G16" s="478">
        <v>0.03</v>
      </c>
      <c r="H16" s="478">
        <v>1</v>
      </c>
    </row>
    <row r="17" spans="2:8" hidden="1" outlineLevel="2">
      <c r="B17" s="477" t="s">
        <v>130</v>
      </c>
      <c r="C17" s="447" t="s">
        <v>131</v>
      </c>
      <c r="D17" s="443" t="s">
        <v>17</v>
      </c>
      <c r="E17" s="447" t="s">
        <v>127</v>
      </c>
      <c r="F17" s="477" t="s">
        <v>146</v>
      </c>
      <c r="G17" s="478">
        <v>1.7453571000000001</v>
      </c>
      <c r="H17" s="478">
        <v>1</v>
      </c>
    </row>
    <row r="18" spans="2:8" hidden="1" outlineLevel="1" collapsed="1">
      <c r="B18" s="475" t="s">
        <v>160</v>
      </c>
      <c r="C18" s="446" t="s">
        <v>22</v>
      </c>
      <c r="D18" s="445" t="s">
        <v>17</v>
      </c>
      <c r="E18" s="446" t="s">
        <v>127</v>
      </c>
      <c r="F18" s="475" t="s">
        <v>1851</v>
      </c>
      <c r="G18" s="476">
        <v>0.30105801900000001</v>
      </c>
      <c r="H18" s="476">
        <f>SUM(H19:H21)</f>
        <v>3</v>
      </c>
    </row>
    <row r="19" spans="2:8" hidden="1" outlineLevel="2">
      <c r="B19" s="477" t="s">
        <v>160</v>
      </c>
      <c r="C19" s="447" t="s">
        <v>22</v>
      </c>
      <c r="D19" s="443" t="s">
        <v>17</v>
      </c>
      <c r="E19" s="447" t="s">
        <v>127</v>
      </c>
      <c r="F19" s="477" t="s">
        <v>163</v>
      </c>
      <c r="G19" s="478">
        <v>9.2092275000000001E-2</v>
      </c>
      <c r="H19" s="478">
        <v>1</v>
      </c>
    </row>
    <row r="20" spans="2:8" hidden="1" outlineLevel="2">
      <c r="B20" s="477" t="s">
        <v>160</v>
      </c>
      <c r="C20" s="447" t="s">
        <v>22</v>
      </c>
      <c r="D20" s="443" t="s">
        <v>17</v>
      </c>
      <c r="E20" s="447" t="s">
        <v>127</v>
      </c>
      <c r="F20" s="477" t="s">
        <v>164</v>
      </c>
      <c r="G20" s="478">
        <v>0.13060359000000002</v>
      </c>
      <c r="H20" s="478">
        <v>1</v>
      </c>
    </row>
    <row r="21" spans="2:8" hidden="1" outlineLevel="2">
      <c r="B21" s="477" t="s">
        <v>160</v>
      </c>
      <c r="C21" s="447" t="s">
        <v>22</v>
      </c>
      <c r="D21" s="443" t="s">
        <v>17</v>
      </c>
      <c r="E21" s="447" t="s">
        <v>127</v>
      </c>
      <c r="F21" s="477" t="s">
        <v>165</v>
      </c>
      <c r="G21" s="478">
        <v>7.8362154000000003E-2</v>
      </c>
      <c r="H21" s="478">
        <v>1</v>
      </c>
    </row>
    <row r="22" spans="2:8" hidden="1" outlineLevel="1" collapsed="1">
      <c r="B22" s="475" t="s">
        <v>296</v>
      </c>
      <c r="C22" s="446" t="s">
        <v>297</v>
      </c>
      <c r="D22" s="445" t="s">
        <v>17</v>
      </c>
      <c r="E22" s="446" t="s">
        <v>127</v>
      </c>
      <c r="F22" s="475" t="s">
        <v>1852</v>
      </c>
      <c r="G22" s="476">
        <v>8.7813947704253064</v>
      </c>
      <c r="H22" s="476">
        <f>SUM(H23:H25)</f>
        <v>3</v>
      </c>
    </row>
    <row r="23" spans="2:8" hidden="1" outlineLevel="2">
      <c r="B23" s="477" t="s">
        <v>296</v>
      </c>
      <c r="C23" s="447" t="s">
        <v>297</v>
      </c>
      <c r="D23" s="443" t="s">
        <v>17</v>
      </c>
      <c r="E23" s="447" t="s">
        <v>127</v>
      </c>
      <c r="F23" s="477" t="s">
        <v>33</v>
      </c>
      <c r="G23" s="478">
        <v>4.3906973852126532</v>
      </c>
      <c r="H23" s="478">
        <v>1</v>
      </c>
    </row>
    <row r="24" spans="2:8" hidden="1" outlineLevel="2">
      <c r="B24" s="477" t="s">
        <v>296</v>
      </c>
      <c r="C24" s="447" t="s">
        <v>297</v>
      </c>
      <c r="D24" s="443" t="s">
        <v>17</v>
      </c>
      <c r="E24" s="447" t="s">
        <v>127</v>
      </c>
      <c r="F24" s="477" t="s">
        <v>170</v>
      </c>
      <c r="G24" s="478">
        <v>2.1953486926063266</v>
      </c>
      <c r="H24" s="478">
        <v>1</v>
      </c>
    </row>
    <row r="25" spans="2:8" hidden="1" outlineLevel="2">
      <c r="B25" s="477" t="s">
        <v>296</v>
      </c>
      <c r="C25" s="447" t="s">
        <v>297</v>
      </c>
      <c r="D25" s="443" t="s">
        <v>17</v>
      </c>
      <c r="E25" s="447" t="s">
        <v>127</v>
      </c>
      <c r="F25" s="477" t="s">
        <v>285</v>
      </c>
      <c r="G25" s="478">
        <v>2.1953486926063266</v>
      </c>
      <c r="H25" s="478">
        <v>1</v>
      </c>
    </row>
    <row r="26" spans="2:8" hidden="1" outlineLevel="1" collapsed="1">
      <c r="B26" s="475" t="s">
        <v>167</v>
      </c>
      <c r="C26" s="446" t="s">
        <v>121</v>
      </c>
      <c r="D26" s="445" t="s">
        <v>17</v>
      </c>
      <c r="E26" s="446" t="s">
        <v>127</v>
      </c>
      <c r="F26" s="475" t="s">
        <v>1853</v>
      </c>
      <c r="G26" s="476">
        <v>0.96000000000000008</v>
      </c>
      <c r="H26" s="476">
        <f>SUM(H27:H31)</f>
        <v>5</v>
      </c>
    </row>
    <row r="27" spans="2:8" hidden="1" outlineLevel="2">
      <c r="B27" s="477" t="s">
        <v>167</v>
      </c>
      <c r="C27" s="447" t="s">
        <v>121</v>
      </c>
      <c r="D27" s="443" t="s">
        <v>17</v>
      </c>
      <c r="E27" s="447" t="s">
        <v>127</v>
      </c>
      <c r="F27" s="477" t="s">
        <v>168</v>
      </c>
      <c r="G27" s="478">
        <v>0.51</v>
      </c>
      <c r="H27" s="478">
        <v>1</v>
      </c>
    </row>
    <row r="28" spans="2:8" hidden="1" outlineLevel="2">
      <c r="B28" s="477" t="s">
        <v>167</v>
      </c>
      <c r="C28" s="447" t="s">
        <v>121</v>
      </c>
      <c r="D28" s="443" t="s">
        <v>17</v>
      </c>
      <c r="E28" s="447" t="s">
        <v>127</v>
      </c>
      <c r="F28" s="477" t="s">
        <v>169</v>
      </c>
      <c r="G28" s="478">
        <v>0.3</v>
      </c>
      <c r="H28" s="478">
        <v>1</v>
      </c>
    </row>
    <row r="29" spans="2:8" hidden="1" outlineLevel="2">
      <c r="B29" s="477" t="s">
        <v>167</v>
      </c>
      <c r="C29" s="447" t="s">
        <v>121</v>
      </c>
      <c r="D29" s="443" t="s">
        <v>17</v>
      </c>
      <c r="E29" s="447" t="s">
        <v>127</v>
      </c>
      <c r="F29" s="477" t="s">
        <v>141</v>
      </c>
      <c r="G29" s="478">
        <v>0.09</v>
      </c>
      <c r="H29" s="478">
        <v>1</v>
      </c>
    </row>
    <row r="30" spans="2:8" hidden="1" outlineLevel="2">
      <c r="B30" s="477" t="s">
        <v>167</v>
      </c>
      <c r="C30" s="447" t="s">
        <v>121</v>
      </c>
      <c r="D30" s="443" t="s">
        <v>17</v>
      </c>
      <c r="E30" s="447" t="s">
        <v>127</v>
      </c>
      <c r="F30" s="477" t="s">
        <v>122</v>
      </c>
      <c r="G30" s="478">
        <v>0.03</v>
      </c>
      <c r="H30" s="478">
        <v>1</v>
      </c>
    </row>
    <row r="31" spans="2:8" hidden="1" outlineLevel="2">
      <c r="B31" s="477" t="s">
        <v>167</v>
      </c>
      <c r="C31" s="447" t="s">
        <v>121</v>
      </c>
      <c r="D31" s="443" t="s">
        <v>17</v>
      </c>
      <c r="E31" s="447" t="s">
        <v>127</v>
      </c>
      <c r="F31" s="477" t="s">
        <v>129</v>
      </c>
      <c r="G31" s="478">
        <v>0.03</v>
      </c>
      <c r="H31" s="478">
        <v>1</v>
      </c>
    </row>
    <row r="32" spans="2:8" hidden="1" outlineLevel="1" collapsed="1">
      <c r="B32" s="475" t="s">
        <v>245</v>
      </c>
      <c r="C32" s="446" t="s">
        <v>246</v>
      </c>
      <c r="D32" s="445" t="s">
        <v>17</v>
      </c>
      <c r="E32" s="446" t="s">
        <v>127</v>
      </c>
      <c r="F32" s="475" t="s">
        <v>1854</v>
      </c>
      <c r="G32" s="476">
        <v>0.10500000000000001</v>
      </c>
      <c r="H32" s="476">
        <f>SUM(H33:H34)</f>
        <v>2</v>
      </c>
    </row>
    <row r="33" spans="2:8" hidden="1" outlineLevel="2">
      <c r="B33" s="477" t="s">
        <v>245</v>
      </c>
      <c r="C33" s="447" t="s">
        <v>246</v>
      </c>
      <c r="D33" s="443" t="s">
        <v>17</v>
      </c>
      <c r="E33" s="447" t="s">
        <v>127</v>
      </c>
      <c r="F33" s="477" t="s">
        <v>236</v>
      </c>
      <c r="G33" s="478">
        <v>6.3E-2</v>
      </c>
      <c r="H33" s="478">
        <v>1</v>
      </c>
    </row>
    <row r="34" spans="2:8" hidden="1" outlineLevel="2">
      <c r="B34" s="477" t="s">
        <v>245</v>
      </c>
      <c r="C34" s="447" t="s">
        <v>246</v>
      </c>
      <c r="D34" s="443" t="s">
        <v>17</v>
      </c>
      <c r="E34" s="447" t="s">
        <v>127</v>
      </c>
      <c r="F34" s="477" t="s">
        <v>32</v>
      </c>
      <c r="G34" s="478">
        <v>4.2000000000000003E-2</v>
      </c>
      <c r="H34" s="478">
        <v>1</v>
      </c>
    </row>
    <row r="35" spans="2:8" hidden="1" outlineLevel="1" collapsed="1">
      <c r="B35" s="475" t="s">
        <v>248</v>
      </c>
      <c r="C35" s="446" t="s">
        <v>249</v>
      </c>
      <c r="D35" s="445" t="s">
        <v>17</v>
      </c>
      <c r="E35" s="479" t="s">
        <v>127</v>
      </c>
      <c r="F35" s="475" t="s">
        <v>1855</v>
      </c>
      <c r="G35" s="476">
        <v>0.77993999999999997</v>
      </c>
      <c r="H35" s="476">
        <f>SUM(H36:H39)</f>
        <v>4</v>
      </c>
    </row>
    <row r="36" spans="2:8" hidden="1" outlineLevel="2">
      <c r="B36" s="477" t="s">
        <v>248</v>
      </c>
      <c r="C36" s="447" t="s">
        <v>249</v>
      </c>
      <c r="D36" s="443" t="s">
        <v>17</v>
      </c>
      <c r="E36" s="382" t="s">
        <v>127</v>
      </c>
      <c r="F36" s="477" t="s">
        <v>237</v>
      </c>
      <c r="G36" s="478">
        <v>0.12999000000000002</v>
      </c>
      <c r="H36" s="478">
        <v>1</v>
      </c>
    </row>
    <row r="37" spans="2:8" hidden="1" outlineLevel="2">
      <c r="B37" s="477" t="s">
        <v>248</v>
      </c>
      <c r="C37" s="447" t="s">
        <v>249</v>
      </c>
      <c r="D37" s="443" t="s">
        <v>17</v>
      </c>
      <c r="E37" s="382" t="s">
        <v>127</v>
      </c>
      <c r="F37" s="477" t="s">
        <v>238</v>
      </c>
      <c r="G37" s="478">
        <v>0.25998000000000004</v>
      </c>
      <c r="H37" s="478">
        <v>1</v>
      </c>
    </row>
    <row r="38" spans="2:8" hidden="1" outlineLevel="2">
      <c r="B38" s="477" t="s">
        <v>248</v>
      </c>
      <c r="C38" s="447" t="s">
        <v>249</v>
      </c>
      <c r="D38" s="443" t="s">
        <v>17</v>
      </c>
      <c r="E38" s="382" t="s">
        <v>127</v>
      </c>
      <c r="F38" s="477" t="s">
        <v>242</v>
      </c>
      <c r="G38" s="478">
        <v>0.19498499999999999</v>
      </c>
      <c r="H38" s="478">
        <v>1</v>
      </c>
    </row>
    <row r="39" spans="2:8" hidden="1" outlineLevel="2">
      <c r="B39" s="477" t="s">
        <v>248</v>
      </c>
      <c r="C39" s="447" t="s">
        <v>249</v>
      </c>
      <c r="D39" s="443" t="s">
        <v>17</v>
      </c>
      <c r="E39" s="382" t="s">
        <v>127</v>
      </c>
      <c r="F39" s="477" t="s">
        <v>239</v>
      </c>
      <c r="G39" s="478">
        <v>0.19498499999999999</v>
      </c>
      <c r="H39" s="478">
        <v>1</v>
      </c>
    </row>
    <row r="40" spans="2:8" hidden="1" outlineLevel="1" collapsed="1">
      <c r="B40" s="475" t="s">
        <v>258</v>
      </c>
      <c r="C40" s="446" t="s">
        <v>259</v>
      </c>
      <c r="D40" s="445" t="s">
        <v>17</v>
      </c>
      <c r="E40" s="446" t="s">
        <v>127</v>
      </c>
      <c r="F40" s="475" t="s">
        <v>1856</v>
      </c>
      <c r="G40" s="476">
        <v>0.43996002400000001</v>
      </c>
      <c r="H40" s="476">
        <f>SUM(H41:H42)</f>
        <v>2</v>
      </c>
    </row>
    <row r="41" spans="2:8" hidden="1" outlineLevel="2">
      <c r="B41" s="477" t="s">
        <v>258</v>
      </c>
      <c r="C41" s="447" t="s">
        <v>259</v>
      </c>
      <c r="D41" s="443" t="s">
        <v>17</v>
      </c>
      <c r="E41" s="447" t="s">
        <v>127</v>
      </c>
      <c r="F41" s="468" t="s">
        <v>235</v>
      </c>
      <c r="G41" s="480">
        <v>0.17598400959999999</v>
      </c>
      <c r="H41" s="478">
        <v>1</v>
      </c>
    </row>
    <row r="42" spans="2:8" hidden="1" outlineLevel="2">
      <c r="B42" s="477" t="s">
        <v>258</v>
      </c>
      <c r="C42" s="447" t="s">
        <v>259</v>
      </c>
      <c r="D42" s="443" t="s">
        <v>17</v>
      </c>
      <c r="E42" s="447" t="s">
        <v>127</v>
      </c>
      <c r="F42" s="468" t="s">
        <v>236</v>
      </c>
      <c r="G42" s="480">
        <v>0.26397601440000001</v>
      </c>
      <c r="H42" s="478">
        <v>1</v>
      </c>
    </row>
    <row r="43" spans="2:8" hidden="1" outlineLevel="1" collapsed="1">
      <c r="B43" s="475" t="s">
        <v>281</v>
      </c>
      <c r="C43" s="446" t="s">
        <v>70</v>
      </c>
      <c r="D43" s="445" t="s">
        <v>17</v>
      </c>
      <c r="E43" s="446" t="s">
        <v>127</v>
      </c>
      <c r="F43" s="475" t="s">
        <v>1857</v>
      </c>
      <c r="G43" s="476">
        <v>1.18</v>
      </c>
      <c r="H43" s="476">
        <f>SUM(H44:H46)</f>
        <v>3</v>
      </c>
    </row>
    <row r="44" spans="2:8" hidden="1" outlineLevel="2">
      <c r="B44" s="477" t="s">
        <v>281</v>
      </c>
      <c r="C44" s="447" t="s">
        <v>70</v>
      </c>
      <c r="D44" s="443" t="s">
        <v>17</v>
      </c>
      <c r="E44" s="447" t="s">
        <v>127</v>
      </c>
      <c r="F44" s="477" t="s">
        <v>284</v>
      </c>
      <c r="G44" s="478">
        <v>0.54</v>
      </c>
      <c r="H44" s="478">
        <v>1</v>
      </c>
    </row>
    <row r="45" spans="2:8" hidden="1" outlineLevel="2">
      <c r="B45" s="477" t="s">
        <v>281</v>
      </c>
      <c r="C45" s="447" t="s">
        <v>70</v>
      </c>
      <c r="D45" s="443" t="s">
        <v>17</v>
      </c>
      <c r="E45" s="447" t="s">
        <v>127</v>
      </c>
      <c r="F45" s="477" t="s">
        <v>31</v>
      </c>
      <c r="G45" s="478">
        <v>0.43</v>
      </c>
      <c r="H45" s="478">
        <v>1</v>
      </c>
    </row>
    <row r="46" spans="2:8" hidden="1" outlineLevel="2">
      <c r="B46" s="477" t="s">
        <v>281</v>
      </c>
      <c r="C46" s="447" t="s">
        <v>70</v>
      </c>
      <c r="D46" s="443" t="s">
        <v>17</v>
      </c>
      <c r="E46" s="447" t="s">
        <v>127</v>
      </c>
      <c r="F46" s="477" t="s">
        <v>32</v>
      </c>
      <c r="G46" s="478">
        <v>0.21</v>
      </c>
      <c r="H46" s="478">
        <v>1</v>
      </c>
    </row>
    <row r="47" spans="2:8" hidden="1" outlineLevel="1" collapsed="1">
      <c r="B47" s="475" t="s">
        <v>301</v>
      </c>
      <c r="C47" s="446" t="s">
        <v>301</v>
      </c>
      <c r="D47" s="445" t="s">
        <v>17</v>
      </c>
      <c r="E47" s="481" t="s">
        <v>127</v>
      </c>
      <c r="F47" s="475" t="s">
        <v>1858</v>
      </c>
      <c r="G47" s="476">
        <v>13.810550000000003</v>
      </c>
      <c r="H47" s="476">
        <f>SUM(H48:H51)</f>
        <v>4</v>
      </c>
    </row>
    <row r="48" spans="2:8" hidden="1" outlineLevel="2">
      <c r="B48" s="477" t="s">
        <v>301</v>
      </c>
      <c r="C48" s="447" t="s">
        <v>301</v>
      </c>
      <c r="D48" s="443" t="s">
        <v>17</v>
      </c>
      <c r="E48" s="448" t="s">
        <v>127</v>
      </c>
      <c r="F48" s="482" t="s">
        <v>284</v>
      </c>
      <c r="G48" s="483">
        <v>4.7746000000000013</v>
      </c>
      <c r="H48" s="478">
        <v>1</v>
      </c>
    </row>
    <row r="49" spans="2:8" hidden="1" outlineLevel="2">
      <c r="B49" s="477" t="s">
        <v>301</v>
      </c>
      <c r="C49" s="447" t="s">
        <v>301</v>
      </c>
      <c r="D49" s="443" t="s">
        <v>17</v>
      </c>
      <c r="E49" s="448" t="s">
        <v>127</v>
      </c>
      <c r="F49" s="482" t="s">
        <v>31</v>
      </c>
      <c r="G49" s="483">
        <v>4.3640000000000008</v>
      </c>
      <c r="H49" s="478">
        <v>1</v>
      </c>
    </row>
    <row r="50" spans="2:8" hidden="1" outlineLevel="2">
      <c r="B50" s="477" t="s">
        <v>301</v>
      </c>
      <c r="C50" s="447" t="s">
        <v>301</v>
      </c>
      <c r="D50" s="443" t="s">
        <v>17</v>
      </c>
      <c r="E50" s="448" t="s">
        <v>127</v>
      </c>
      <c r="F50" s="482" t="s">
        <v>32</v>
      </c>
      <c r="G50" s="483">
        <v>2.2846500000000005</v>
      </c>
      <c r="H50" s="478">
        <v>1</v>
      </c>
    </row>
    <row r="51" spans="2:8" hidden="1" outlineLevel="2">
      <c r="B51" s="477" t="s">
        <v>301</v>
      </c>
      <c r="C51" s="447" t="s">
        <v>301</v>
      </c>
      <c r="D51" s="443" t="s">
        <v>17</v>
      </c>
      <c r="E51" s="448" t="s">
        <v>127</v>
      </c>
      <c r="F51" s="482" t="s">
        <v>170</v>
      </c>
      <c r="G51" s="483">
        <v>2.3873000000000006</v>
      </c>
      <c r="H51" s="478">
        <v>1</v>
      </c>
    </row>
    <row r="52" spans="2:8" ht="3" customHeight="1">
      <c r="B52" s="372"/>
      <c r="C52" s="372"/>
      <c r="D52" s="372"/>
      <c r="E52" s="372"/>
      <c r="F52" s="468"/>
      <c r="G52" s="474"/>
      <c r="H52" s="474"/>
    </row>
    <row r="53" spans="2:8" s="416" customFormat="1" ht="15.6" collapsed="1">
      <c r="B53" s="470" t="s">
        <v>19</v>
      </c>
      <c r="C53" s="471"/>
      <c r="D53" s="471"/>
      <c r="E53" s="471"/>
      <c r="F53" s="472"/>
      <c r="G53" s="473">
        <f>SUM(G55,G58,G61,G77,G86,G105)</f>
        <v>12.655551378481437</v>
      </c>
      <c r="H53" s="473">
        <f>SUM(H55,H58,H61,H77,H86,H105)</f>
        <v>45</v>
      </c>
    </row>
    <row r="54" spans="2:8" ht="3" hidden="1" customHeight="1" outlineLevel="1">
      <c r="B54" s="372"/>
      <c r="C54" s="372"/>
      <c r="D54" s="372"/>
      <c r="E54" s="372"/>
      <c r="F54" s="468"/>
      <c r="G54" s="474"/>
      <c r="H54" s="474"/>
    </row>
    <row r="55" spans="2:8" hidden="1" outlineLevel="1" collapsed="1">
      <c r="B55" s="475" t="s">
        <v>14</v>
      </c>
      <c r="C55" s="446" t="s">
        <v>18</v>
      </c>
      <c r="D55" s="445" t="s">
        <v>17</v>
      </c>
      <c r="E55" s="446" t="s">
        <v>19</v>
      </c>
      <c r="F55" s="475" t="s">
        <v>1860</v>
      </c>
      <c r="G55" s="476">
        <f>SUM(G56:G57)</f>
        <v>0.31537703586000004</v>
      </c>
      <c r="H55" s="476">
        <f>SUM(H56:H57)</f>
        <v>2</v>
      </c>
    </row>
    <row r="56" spans="2:8" hidden="1" outlineLevel="2">
      <c r="B56" s="477" t="s">
        <v>14</v>
      </c>
      <c r="C56" s="447" t="s">
        <v>18</v>
      </c>
      <c r="D56" s="443" t="s">
        <v>17</v>
      </c>
      <c r="E56" s="447" t="s">
        <v>19</v>
      </c>
      <c r="F56" s="477" t="s">
        <v>20</v>
      </c>
      <c r="G56" s="478">
        <v>0.27</v>
      </c>
      <c r="H56" s="478">
        <v>1</v>
      </c>
    </row>
    <row r="57" spans="2:8" hidden="1" outlineLevel="2">
      <c r="B57" s="477" t="s">
        <v>14</v>
      </c>
      <c r="C57" s="447" t="s">
        <v>18</v>
      </c>
      <c r="D57" s="443" t="s">
        <v>17</v>
      </c>
      <c r="E57" s="447" t="s">
        <v>19</v>
      </c>
      <c r="F57" s="477" t="s">
        <v>21</v>
      </c>
      <c r="G57" s="478">
        <v>4.5377035860000005E-2</v>
      </c>
      <c r="H57" s="478">
        <v>1</v>
      </c>
    </row>
    <row r="58" spans="2:8" hidden="1" outlineLevel="1" collapsed="1">
      <c r="B58" s="475" t="s">
        <v>14</v>
      </c>
      <c r="C58" s="446" t="s">
        <v>22</v>
      </c>
      <c r="D58" s="445" t="s">
        <v>17</v>
      </c>
      <c r="E58" s="446" t="s">
        <v>19</v>
      </c>
      <c r="F58" s="475" t="s">
        <v>1860</v>
      </c>
      <c r="G58" s="476">
        <f>SUM(G59:G60)</f>
        <v>8.1654546317853002E-2</v>
      </c>
      <c r="H58" s="476">
        <f>SUM(H59:H60)</f>
        <v>2</v>
      </c>
    </row>
    <row r="59" spans="2:8" hidden="1" outlineLevel="2">
      <c r="B59" s="477" t="s">
        <v>14</v>
      </c>
      <c r="C59" s="447" t="s">
        <v>22</v>
      </c>
      <c r="D59" s="443" t="s">
        <v>17</v>
      </c>
      <c r="E59" s="447" t="s">
        <v>19</v>
      </c>
      <c r="F59" s="477" t="s">
        <v>23</v>
      </c>
      <c r="G59" s="478">
        <v>4.2238262499999998E-2</v>
      </c>
      <c r="H59" s="478">
        <v>1</v>
      </c>
    </row>
    <row r="60" spans="2:8" hidden="1" outlineLevel="2">
      <c r="B60" s="477" t="s">
        <v>14</v>
      </c>
      <c r="C60" s="447" t="s">
        <v>22</v>
      </c>
      <c r="D60" s="443" t="s">
        <v>17</v>
      </c>
      <c r="E60" s="447" t="s">
        <v>19</v>
      </c>
      <c r="F60" s="477" t="s">
        <v>24</v>
      </c>
      <c r="G60" s="478">
        <v>3.9416283817853004E-2</v>
      </c>
      <c r="H60" s="478">
        <v>1</v>
      </c>
    </row>
    <row r="61" spans="2:8" hidden="1" outlineLevel="1" collapsed="1">
      <c r="B61" s="475" t="s">
        <v>14</v>
      </c>
      <c r="C61" s="446" t="s">
        <v>29</v>
      </c>
      <c r="D61" s="445" t="s">
        <v>17</v>
      </c>
      <c r="E61" s="446" t="s">
        <v>19</v>
      </c>
      <c r="F61" s="475" t="s">
        <v>1860</v>
      </c>
      <c r="G61" s="476">
        <f>SUM(G62:G76)</f>
        <v>1.8087697963035858</v>
      </c>
      <c r="H61" s="476">
        <f>SUM(H62:H76)</f>
        <v>15</v>
      </c>
    </row>
    <row r="62" spans="2:8" hidden="1" outlineLevel="2">
      <c r="B62" s="477" t="s">
        <v>14</v>
      </c>
      <c r="C62" s="447" t="s">
        <v>29</v>
      </c>
      <c r="D62" s="443" t="s">
        <v>17</v>
      </c>
      <c r="E62" s="447" t="s">
        <v>19</v>
      </c>
      <c r="F62" s="468" t="s">
        <v>30</v>
      </c>
      <c r="G62" s="480">
        <v>0.27398366869616486</v>
      </c>
      <c r="H62" s="478">
        <v>1</v>
      </c>
    </row>
    <row r="63" spans="2:8" hidden="1" outlineLevel="2">
      <c r="B63" s="477" t="s">
        <v>14</v>
      </c>
      <c r="C63" s="447" t="s">
        <v>29</v>
      </c>
      <c r="D63" s="443" t="s">
        <v>17</v>
      </c>
      <c r="E63" s="447" t="s">
        <v>19</v>
      </c>
      <c r="F63" s="468" t="s">
        <v>31</v>
      </c>
      <c r="G63" s="480">
        <v>0.27398366869616486</v>
      </c>
      <c r="H63" s="478">
        <v>1</v>
      </c>
    </row>
    <row r="64" spans="2:8" hidden="1" outlineLevel="2">
      <c r="B64" s="477" t="s">
        <v>14</v>
      </c>
      <c r="C64" s="447" t="s">
        <v>29</v>
      </c>
      <c r="D64" s="443" t="s">
        <v>17</v>
      </c>
      <c r="E64" s="447" t="s">
        <v>19</v>
      </c>
      <c r="F64" s="468" t="s">
        <v>32</v>
      </c>
      <c r="G64" s="480">
        <v>0.13699183434808243</v>
      </c>
      <c r="H64" s="478">
        <v>1</v>
      </c>
    </row>
    <row r="65" spans="2:8" hidden="1" outlineLevel="2">
      <c r="B65" s="477" t="s">
        <v>14</v>
      </c>
      <c r="C65" s="447" t="s">
        <v>29</v>
      </c>
      <c r="D65" s="443" t="s">
        <v>17</v>
      </c>
      <c r="E65" s="447" t="s">
        <v>19</v>
      </c>
      <c r="F65" s="468" t="s">
        <v>33</v>
      </c>
      <c r="G65" s="480">
        <v>0.27398366869616486</v>
      </c>
      <c r="H65" s="478">
        <v>1</v>
      </c>
    </row>
    <row r="66" spans="2:8" hidden="1" outlineLevel="2">
      <c r="B66" s="477" t="s">
        <v>14</v>
      </c>
      <c r="C66" s="447" t="s">
        <v>29</v>
      </c>
      <c r="D66" s="443" t="s">
        <v>17</v>
      </c>
      <c r="E66" s="447" t="s">
        <v>19</v>
      </c>
      <c r="F66" s="468" t="s">
        <v>34</v>
      </c>
      <c r="G66" s="480">
        <v>0.36</v>
      </c>
      <c r="H66" s="478">
        <v>1</v>
      </c>
    </row>
    <row r="67" spans="2:8" hidden="1" outlineLevel="2">
      <c r="B67" s="477" t="s">
        <v>14</v>
      </c>
      <c r="C67" s="447" t="s">
        <v>29</v>
      </c>
      <c r="D67" s="443" t="s">
        <v>17</v>
      </c>
      <c r="E67" s="447" t="s">
        <v>19</v>
      </c>
      <c r="F67" s="468" t="s">
        <v>35</v>
      </c>
      <c r="G67" s="480">
        <v>4.3982695586700871E-2</v>
      </c>
      <c r="H67" s="478">
        <v>1</v>
      </c>
    </row>
    <row r="68" spans="2:8" hidden="1" outlineLevel="2">
      <c r="B68" s="477" t="s">
        <v>14</v>
      </c>
      <c r="C68" s="447" t="s">
        <v>29</v>
      </c>
      <c r="D68" s="443" t="s">
        <v>17</v>
      </c>
      <c r="E68" s="447" t="s">
        <v>19</v>
      </c>
      <c r="F68" s="468" t="s">
        <v>36</v>
      </c>
      <c r="G68" s="480">
        <v>4.3982695586700871E-2</v>
      </c>
      <c r="H68" s="478">
        <v>1</v>
      </c>
    </row>
    <row r="69" spans="2:8" hidden="1" outlineLevel="2">
      <c r="B69" s="477" t="s">
        <v>14</v>
      </c>
      <c r="C69" s="447" t="s">
        <v>29</v>
      </c>
      <c r="D69" s="443" t="s">
        <v>17</v>
      </c>
      <c r="E69" s="447" t="s">
        <v>19</v>
      </c>
      <c r="F69" s="468" t="s">
        <v>37</v>
      </c>
      <c r="G69" s="480">
        <v>6.5974043380051306E-2</v>
      </c>
      <c r="H69" s="478">
        <v>1</v>
      </c>
    </row>
    <row r="70" spans="2:8" hidden="1" outlineLevel="2">
      <c r="B70" s="477" t="s">
        <v>14</v>
      </c>
      <c r="C70" s="447" t="s">
        <v>29</v>
      </c>
      <c r="D70" s="443" t="s">
        <v>17</v>
      </c>
      <c r="E70" s="447" t="s">
        <v>19</v>
      </c>
      <c r="F70" s="468" t="s">
        <v>38</v>
      </c>
      <c r="G70" s="480">
        <v>6.5974043380051306E-2</v>
      </c>
      <c r="H70" s="478">
        <v>1</v>
      </c>
    </row>
    <row r="71" spans="2:8" hidden="1" outlineLevel="2">
      <c r="B71" s="477" t="s">
        <v>14</v>
      </c>
      <c r="C71" s="447" t="s">
        <v>29</v>
      </c>
      <c r="D71" s="443" t="s">
        <v>17</v>
      </c>
      <c r="E71" s="447" t="s">
        <v>19</v>
      </c>
      <c r="F71" s="468" t="s">
        <v>39</v>
      </c>
      <c r="G71" s="480">
        <v>6.5974043380051306E-2</v>
      </c>
      <c r="H71" s="478">
        <v>1</v>
      </c>
    </row>
    <row r="72" spans="2:8" hidden="1" outlineLevel="2">
      <c r="B72" s="477" t="s">
        <v>14</v>
      </c>
      <c r="C72" s="447" t="s">
        <v>29</v>
      </c>
      <c r="D72" s="443" t="s">
        <v>17</v>
      </c>
      <c r="E72" s="447" t="s">
        <v>19</v>
      </c>
      <c r="F72" s="468" t="s">
        <v>40</v>
      </c>
      <c r="G72" s="480">
        <v>6.5974043380051306E-2</v>
      </c>
      <c r="H72" s="478">
        <v>1</v>
      </c>
    </row>
    <row r="73" spans="2:8" hidden="1" outlineLevel="2">
      <c r="B73" s="477" t="s">
        <v>14</v>
      </c>
      <c r="C73" s="447" t="s">
        <v>29</v>
      </c>
      <c r="D73" s="443" t="s">
        <v>17</v>
      </c>
      <c r="E73" s="447" t="s">
        <v>19</v>
      </c>
      <c r="F73" s="468" t="s">
        <v>41</v>
      </c>
      <c r="G73" s="480">
        <v>1.466089852890029E-2</v>
      </c>
      <c r="H73" s="478">
        <v>1</v>
      </c>
    </row>
    <row r="74" spans="2:8" hidden="1" outlineLevel="2">
      <c r="B74" s="477" t="s">
        <v>14</v>
      </c>
      <c r="C74" s="447" t="s">
        <v>29</v>
      </c>
      <c r="D74" s="443" t="s">
        <v>17</v>
      </c>
      <c r="E74" s="447" t="s">
        <v>19</v>
      </c>
      <c r="F74" s="468" t="s">
        <v>42</v>
      </c>
      <c r="G74" s="480">
        <v>2.932179705780058E-2</v>
      </c>
      <c r="H74" s="478">
        <v>1</v>
      </c>
    </row>
    <row r="75" spans="2:8" hidden="1" outlineLevel="2">
      <c r="B75" s="477" t="s">
        <v>14</v>
      </c>
      <c r="C75" s="447" t="s">
        <v>29</v>
      </c>
      <c r="D75" s="443" t="s">
        <v>17</v>
      </c>
      <c r="E75" s="447" t="s">
        <v>19</v>
      </c>
      <c r="F75" s="468" t="s">
        <v>43</v>
      </c>
      <c r="G75" s="480">
        <v>4.3982695586700871E-2</v>
      </c>
      <c r="H75" s="478">
        <v>1</v>
      </c>
    </row>
    <row r="76" spans="2:8" hidden="1" outlineLevel="2">
      <c r="B76" s="477" t="s">
        <v>14</v>
      </c>
      <c r="C76" s="447" t="s">
        <v>29</v>
      </c>
      <c r="D76" s="443" t="s">
        <v>17</v>
      </c>
      <c r="E76" s="447" t="s">
        <v>19</v>
      </c>
      <c r="F76" s="468" t="s">
        <v>44</v>
      </c>
      <c r="G76" s="480">
        <v>0.05</v>
      </c>
      <c r="H76" s="478">
        <v>1</v>
      </c>
    </row>
    <row r="77" spans="2:8" hidden="1" outlineLevel="1" collapsed="1">
      <c r="B77" s="475" t="s">
        <v>74</v>
      </c>
      <c r="C77" s="446" t="s">
        <v>75</v>
      </c>
      <c r="D77" s="445" t="s">
        <v>17</v>
      </c>
      <c r="E77" s="446" t="s">
        <v>19</v>
      </c>
      <c r="F77" s="475" t="s">
        <v>1861</v>
      </c>
      <c r="G77" s="476">
        <f>SUM(G78:G85)</f>
        <v>3.3658999999999999</v>
      </c>
      <c r="H77" s="476">
        <f>SUM(H78:H85)</f>
        <v>8</v>
      </c>
    </row>
    <row r="78" spans="2:8" hidden="1" outlineLevel="2">
      <c r="B78" s="477" t="s">
        <v>74</v>
      </c>
      <c r="C78" s="447" t="s">
        <v>75</v>
      </c>
      <c r="D78" s="443" t="s">
        <v>17</v>
      </c>
      <c r="E78" s="447" t="s">
        <v>19</v>
      </c>
      <c r="F78" s="477" t="s">
        <v>78</v>
      </c>
      <c r="G78" s="478">
        <v>0.17</v>
      </c>
      <c r="H78" s="478">
        <v>1</v>
      </c>
    </row>
    <row r="79" spans="2:8" hidden="1" outlineLevel="2">
      <c r="B79" s="477" t="s">
        <v>74</v>
      </c>
      <c r="C79" s="447" t="s">
        <v>75</v>
      </c>
      <c r="D79" s="443" t="s">
        <v>17</v>
      </c>
      <c r="E79" s="447" t="s">
        <v>19</v>
      </c>
      <c r="F79" s="477" t="s">
        <v>79</v>
      </c>
      <c r="G79" s="478">
        <v>0.17</v>
      </c>
      <c r="H79" s="478">
        <v>1</v>
      </c>
    </row>
    <row r="80" spans="2:8" hidden="1" outlineLevel="2">
      <c r="B80" s="477" t="s">
        <v>74</v>
      </c>
      <c r="C80" s="447" t="s">
        <v>75</v>
      </c>
      <c r="D80" s="443" t="s">
        <v>17</v>
      </c>
      <c r="E80" s="447" t="s">
        <v>19</v>
      </c>
      <c r="F80" s="477" t="s">
        <v>80</v>
      </c>
      <c r="G80" s="478">
        <v>1.18</v>
      </c>
      <c r="H80" s="478">
        <v>1</v>
      </c>
    </row>
    <row r="81" spans="2:8" hidden="1" outlineLevel="2">
      <c r="B81" s="477" t="s">
        <v>74</v>
      </c>
      <c r="C81" s="447" t="s">
        <v>75</v>
      </c>
      <c r="D81" s="443" t="s">
        <v>17</v>
      </c>
      <c r="E81" s="447" t="s">
        <v>19</v>
      </c>
      <c r="F81" s="477" t="s">
        <v>81</v>
      </c>
      <c r="G81" s="478">
        <v>1.0659000000000001</v>
      </c>
      <c r="H81" s="478">
        <v>1</v>
      </c>
    </row>
    <row r="82" spans="2:8" hidden="1" outlineLevel="2">
      <c r="B82" s="477" t="s">
        <v>74</v>
      </c>
      <c r="C82" s="447" t="s">
        <v>75</v>
      </c>
      <c r="D82" s="443" t="s">
        <v>17</v>
      </c>
      <c r="E82" s="447" t="s">
        <v>19</v>
      </c>
      <c r="F82" s="477" t="s">
        <v>82</v>
      </c>
      <c r="G82" s="478">
        <v>0.45</v>
      </c>
      <c r="H82" s="478">
        <v>1</v>
      </c>
    </row>
    <row r="83" spans="2:8" hidden="1" outlineLevel="2">
      <c r="B83" s="477" t="s">
        <v>74</v>
      </c>
      <c r="C83" s="447" t="s">
        <v>75</v>
      </c>
      <c r="D83" s="443" t="s">
        <v>17</v>
      </c>
      <c r="E83" s="447" t="s">
        <v>19</v>
      </c>
      <c r="F83" s="477" t="s">
        <v>83</v>
      </c>
      <c r="G83" s="478">
        <v>0.15</v>
      </c>
      <c r="H83" s="478">
        <v>1</v>
      </c>
    </row>
    <row r="84" spans="2:8" hidden="1" outlineLevel="2">
      <c r="B84" s="477" t="s">
        <v>74</v>
      </c>
      <c r="C84" s="447" t="s">
        <v>75</v>
      </c>
      <c r="D84" s="443" t="s">
        <v>17</v>
      </c>
      <c r="E84" s="447" t="s">
        <v>19</v>
      </c>
      <c r="F84" s="477" t="s">
        <v>84</v>
      </c>
      <c r="G84" s="478">
        <v>0.15</v>
      </c>
      <c r="H84" s="478">
        <v>1</v>
      </c>
    </row>
    <row r="85" spans="2:8" hidden="1" outlineLevel="2">
      <c r="B85" s="477" t="s">
        <v>74</v>
      </c>
      <c r="C85" s="447" t="s">
        <v>75</v>
      </c>
      <c r="D85" s="443" t="s">
        <v>17</v>
      </c>
      <c r="E85" s="447" t="s">
        <v>19</v>
      </c>
      <c r="F85" s="477" t="s">
        <v>85</v>
      </c>
      <c r="G85" s="478">
        <v>0.03</v>
      </c>
      <c r="H85" s="478">
        <v>1</v>
      </c>
    </row>
    <row r="86" spans="2:8" hidden="1" outlineLevel="1" collapsed="1">
      <c r="B86" s="475" t="s">
        <v>91</v>
      </c>
      <c r="C86" s="446" t="s">
        <v>92</v>
      </c>
      <c r="D86" s="445" t="s">
        <v>17</v>
      </c>
      <c r="E86" s="446" t="s">
        <v>19</v>
      </c>
      <c r="F86" s="475" t="s">
        <v>1862</v>
      </c>
      <c r="G86" s="476">
        <f>SUM(G87:G104)</f>
        <v>7.0838499999999991</v>
      </c>
      <c r="H86" s="476">
        <f>SUM(H87:H104)</f>
        <v>18</v>
      </c>
    </row>
    <row r="87" spans="2:8" hidden="1" outlineLevel="2">
      <c r="B87" s="477" t="s">
        <v>91</v>
      </c>
      <c r="C87" s="447" t="s">
        <v>92</v>
      </c>
      <c r="D87" s="443" t="s">
        <v>17</v>
      </c>
      <c r="E87" s="447" t="s">
        <v>19</v>
      </c>
      <c r="F87" s="477" t="s">
        <v>94</v>
      </c>
      <c r="G87" s="478">
        <v>0.2</v>
      </c>
      <c r="H87" s="478">
        <v>1</v>
      </c>
    </row>
    <row r="88" spans="2:8" hidden="1" outlineLevel="2">
      <c r="B88" s="477" t="s">
        <v>91</v>
      </c>
      <c r="C88" s="447" t="s">
        <v>92</v>
      </c>
      <c r="D88" s="443" t="s">
        <v>17</v>
      </c>
      <c r="E88" s="447" t="s">
        <v>19</v>
      </c>
      <c r="F88" s="477" t="s">
        <v>95</v>
      </c>
      <c r="G88" s="478">
        <v>0.41</v>
      </c>
      <c r="H88" s="478">
        <v>1</v>
      </c>
    </row>
    <row r="89" spans="2:8" hidden="1" outlineLevel="2">
      <c r="B89" s="477" t="s">
        <v>91</v>
      </c>
      <c r="C89" s="447" t="s">
        <v>92</v>
      </c>
      <c r="D89" s="443" t="s">
        <v>17</v>
      </c>
      <c r="E89" s="447" t="s">
        <v>19</v>
      </c>
      <c r="F89" s="477" t="s">
        <v>96</v>
      </c>
      <c r="G89" s="478">
        <v>0.61</v>
      </c>
      <c r="H89" s="478">
        <v>1</v>
      </c>
    </row>
    <row r="90" spans="2:8" hidden="1" outlineLevel="2">
      <c r="B90" s="477" t="s">
        <v>91</v>
      </c>
      <c r="C90" s="447" t="s">
        <v>92</v>
      </c>
      <c r="D90" s="443" t="s">
        <v>17</v>
      </c>
      <c r="E90" s="447" t="s">
        <v>19</v>
      </c>
      <c r="F90" s="477" t="s">
        <v>97</v>
      </c>
      <c r="G90" s="478">
        <v>0.82</v>
      </c>
      <c r="H90" s="478">
        <v>1</v>
      </c>
    </row>
    <row r="91" spans="2:8" hidden="1" outlineLevel="2">
      <c r="B91" s="477" t="s">
        <v>91</v>
      </c>
      <c r="C91" s="447" t="s">
        <v>92</v>
      </c>
      <c r="D91" s="443" t="s">
        <v>17</v>
      </c>
      <c r="E91" s="447" t="s">
        <v>19</v>
      </c>
      <c r="F91" s="477" t="s">
        <v>98</v>
      </c>
      <c r="G91" s="478">
        <v>0.48</v>
      </c>
      <c r="H91" s="478">
        <v>1</v>
      </c>
    </row>
    <row r="92" spans="2:8" hidden="1" outlineLevel="2">
      <c r="B92" s="477" t="s">
        <v>91</v>
      </c>
      <c r="C92" s="447" t="s">
        <v>92</v>
      </c>
      <c r="D92" s="443" t="s">
        <v>17</v>
      </c>
      <c r="E92" s="447" t="s">
        <v>19</v>
      </c>
      <c r="F92" s="477" t="s">
        <v>99</v>
      </c>
      <c r="G92" s="478">
        <v>0.9638500000000001</v>
      </c>
      <c r="H92" s="478">
        <v>1</v>
      </c>
    </row>
    <row r="93" spans="2:8" hidden="1" outlineLevel="2">
      <c r="B93" s="477" t="s">
        <v>91</v>
      </c>
      <c r="C93" s="447" t="s">
        <v>92</v>
      </c>
      <c r="D93" s="443" t="s">
        <v>17</v>
      </c>
      <c r="E93" s="447" t="s">
        <v>19</v>
      </c>
      <c r="F93" s="477" t="s">
        <v>100</v>
      </c>
      <c r="G93" s="478">
        <v>0.52</v>
      </c>
      <c r="H93" s="478">
        <v>1</v>
      </c>
    </row>
    <row r="94" spans="2:8" hidden="1" outlineLevel="2">
      <c r="B94" s="477" t="s">
        <v>91</v>
      </c>
      <c r="C94" s="447" t="s">
        <v>92</v>
      </c>
      <c r="D94" s="443" t="s">
        <v>17</v>
      </c>
      <c r="E94" s="447" t="s">
        <v>19</v>
      </c>
      <c r="F94" s="477" t="s">
        <v>101</v>
      </c>
      <c r="G94" s="478">
        <v>0.52</v>
      </c>
      <c r="H94" s="478">
        <v>1</v>
      </c>
    </row>
    <row r="95" spans="2:8" hidden="1" outlineLevel="2">
      <c r="B95" s="477" t="s">
        <v>91</v>
      </c>
      <c r="C95" s="447" t="s">
        <v>92</v>
      </c>
      <c r="D95" s="443" t="s">
        <v>17</v>
      </c>
      <c r="E95" s="447" t="s">
        <v>19</v>
      </c>
      <c r="F95" s="477" t="s">
        <v>102</v>
      </c>
      <c r="G95" s="478">
        <v>0.52</v>
      </c>
      <c r="H95" s="478">
        <v>1</v>
      </c>
    </row>
    <row r="96" spans="2:8" hidden="1" outlineLevel="2">
      <c r="B96" s="477" t="s">
        <v>91</v>
      </c>
      <c r="C96" s="447" t="s">
        <v>92</v>
      </c>
      <c r="D96" s="443" t="s">
        <v>17</v>
      </c>
      <c r="E96" s="447" t="s">
        <v>19</v>
      </c>
      <c r="F96" s="477" t="s">
        <v>61</v>
      </c>
      <c r="G96" s="478">
        <v>0.17</v>
      </c>
      <c r="H96" s="478">
        <v>1</v>
      </c>
    </row>
    <row r="97" spans="2:8" hidden="1" outlineLevel="2">
      <c r="B97" s="477" t="s">
        <v>91</v>
      </c>
      <c r="C97" s="447" t="s">
        <v>92</v>
      </c>
      <c r="D97" s="443" t="s">
        <v>17</v>
      </c>
      <c r="E97" s="447" t="s">
        <v>19</v>
      </c>
      <c r="F97" s="477" t="s">
        <v>103</v>
      </c>
      <c r="G97" s="478">
        <v>0.48</v>
      </c>
      <c r="H97" s="478">
        <v>1</v>
      </c>
    </row>
    <row r="98" spans="2:8" hidden="1" outlineLevel="2">
      <c r="B98" s="477" t="s">
        <v>91</v>
      </c>
      <c r="C98" s="447" t="s">
        <v>92</v>
      </c>
      <c r="D98" s="443" t="s">
        <v>17</v>
      </c>
      <c r="E98" s="447" t="s">
        <v>19</v>
      </c>
      <c r="F98" s="477" t="s">
        <v>104</v>
      </c>
      <c r="G98" s="478">
        <v>0.24</v>
      </c>
      <c r="H98" s="478">
        <v>1</v>
      </c>
    </row>
    <row r="99" spans="2:8" hidden="1" outlineLevel="2">
      <c r="B99" s="477" t="s">
        <v>91</v>
      </c>
      <c r="C99" s="447" t="s">
        <v>92</v>
      </c>
      <c r="D99" s="443" t="s">
        <v>17</v>
      </c>
      <c r="E99" s="447" t="s">
        <v>19</v>
      </c>
      <c r="F99" s="477" t="s">
        <v>105</v>
      </c>
      <c r="G99" s="478">
        <v>0.96</v>
      </c>
      <c r="H99" s="478">
        <v>1</v>
      </c>
    </row>
    <row r="100" spans="2:8" hidden="1" outlineLevel="2">
      <c r="B100" s="477" t="s">
        <v>91</v>
      </c>
      <c r="C100" s="447" t="s">
        <v>92</v>
      </c>
      <c r="D100" s="443" t="s">
        <v>17</v>
      </c>
      <c r="E100" s="447" t="s">
        <v>19</v>
      </c>
      <c r="F100" s="477" t="s">
        <v>58</v>
      </c>
      <c r="G100" s="478">
        <v>0.03</v>
      </c>
      <c r="H100" s="478">
        <v>1</v>
      </c>
    </row>
    <row r="101" spans="2:8" hidden="1" outlineLevel="2">
      <c r="B101" s="477" t="s">
        <v>91</v>
      </c>
      <c r="C101" s="447" t="s">
        <v>92</v>
      </c>
      <c r="D101" s="443" t="s">
        <v>17</v>
      </c>
      <c r="E101" s="447" t="s">
        <v>19</v>
      </c>
      <c r="F101" s="477" t="s">
        <v>87</v>
      </c>
      <c r="G101" s="478">
        <v>0.03</v>
      </c>
      <c r="H101" s="478">
        <v>1</v>
      </c>
    </row>
    <row r="102" spans="2:8" hidden="1" outlineLevel="2">
      <c r="B102" s="477" t="s">
        <v>91</v>
      </c>
      <c r="C102" s="447" t="s">
        <v>92</v>
      </c>
      <c r="D102" s="443" t="s">
        <v>17</v>
      </c>
      <c r="E102" s="447" t="s">
        <v>19</v>
      </c>
      <c r="F102" s="477" t="s">
        <v>107</v>
      </c>
      <c r="G102" s="478">
        <v>1.4999999999999999E-2</v>
      </c>
      <c r="H102" s="478">
        <v>1</v>
      </c>
    </row>
    <row r="103" spans="2:8" hidden="1" outlineLevel="2">
      <c r="B103" s="477" t="s">
        <v>91</v>
      </c>
      <c r="C103" s="447" t="s">
        <v>92</v>
      </c>
      <c r="D103" s="443" t="s">
        <v>17</v>
      </c>
      <c r="E103" s="447" t="s">
        <v>19</v>
      </c>
      <c r="F103" s="477" t="s">
        <v>108</v>
      </c>
      <c r="G103" s="478">
        <v>1.4999999999999999E-2</v>
      </c>
      <c r="H103" s="478">
        <v>1</v>
      </c>
    </row>
    <row r="104" spans="2:8" hidden="1" outlineLevel="2">
      <c r="B104" s="477" t="s">
        <v>91</v>
      </c>
      <c r="C104" s="447" t="s">
        <v>92</v>
      </c>
      <c r="D104" s="443" t="s">
        <v>17</v>
      </c>
      <c r="E104" s="447" t="s">
        <v>19</v>
      </c>
      <c r="F104" s="477" t="s">
        <v>86</v>
      </c>
      <c r="G104" s="478">
        <v>0.1</v>
      </c>
      <c r="H104" s="478">
        <v>1</v>
      </c>
    </row>
    <row r="105" spans="2:8" hidden="1" outlineLevel="1">
      <c r="B105" s="475" t="s">
        <v>350</v>
      </c>
      <c r="C105" s="446" t="s">
        <v>350</v>
      </c>
      <c r="D105" s="445" t="s">
        <v>17</v>
      </c>
      <c r="E105" s="446" t="s">
        <v>19</v>
      </c>
      <c r="F105" s="475" t="s">
        <v>1863</v>
      </c>
      <c r="G105" s="476">
        <v>0</v>
      </c>
      <c r="H105" s="476">
        <v>0</v>
      </c>
    </row>
    <row r="106" spans="2:8" ht="3" customHeight="1">
      <c r="B106" s="372"/>
      <c r="C106" s="372"/>
      <c r="D106" s="372"/>
      <c r="E106" s="372"/>
      <c r="F106" s="468"/>
      <c r="G106" s="474"/>
      <c r="H106" s="474"/>
    </row>
    <row r="107" spans="2:8" s="416" customFormat="1" ht="15.6" collapsed="1">
      <c r="B107" s="470" t="s">
        <v>64</v>
      </c>
      <c r="C107" s="471"/>
      <c r="D107" s="471"/>
      <c r="E107" s="471"/>
      <c r="F107" s="472"/>
      <c r="G107" s="473">
        <f>SUM(G109,G113,G117,G121,G125,G132,G136)</f>
        <v>23.432420772299601</v>
      </c>
      <c r="H107" s="473">
        <f>SUM(H109,H113,H117,H121,H125,H132,H136)</f>
        <v>24</v>
      </c>
    </row>
    <row r="108" spans="2:8" ht="3" hidden="1" customHeight="1" outlineLevel="1">
      <c r="B108" s="372"/>
      <c r="C108" s="372"/>
      <c r="D108" s="372"/>
      <c r="E108" s="372"/>
      <c r="F108" s="468"/>
      <c r="G108" s="474"/>
      <c r="H108" s="474"/>
    </row>
    <row r="109" spans="2:8" hidden="1" outlineLevel="1" collapsed="1">
      <c r="B109" s="475" t="s">
        <v>62</v>
      </c>
      <c r="C109" s="446" t="s">
        <v>63</v>
      </c>
      <c r="D109" s="445" t="s">
        <v>17</v>
      </c>
      <c r="E109" s="446" t="s">
        <v>64</v>
      </c>
      <c r="F109" s="475" t="s">
        <v>1864</v>
      </c>
      <c r="G109" s="476">
        <v>0.3642147722995997</v>
      </c>
      <c r="H109" s="476">
        <v>3</v>
      </c>
    </row>
    <row r="110" spans="2:8" hidden="1" outlineLevel="2">
      <c r="B110" s="477" t="s">
        <v>62</v>
      </c>
      <c r="C110" s="447" t="s">
        <v>63</v>
      </c>
      <c r="D110" s="443" t="s">
        <v>17</v>
      </c>
      <c r="E110" s="447" t="s">
        <v>64</v>
      </c>
      <c r="F110" s="477" t="s">
        <v>65</v>
      </c>
      <c r="G110" s="480">
        <v>0.13658053961234987</v>
      </c>
      <c r="H110" s="478">
        <v>1</v>
      </c>
    </row>
    <row r="111" spans="2:8" hidden="1" outlineLevel="2">
      <c r="B111" s="477" t="s">
        <v>62</v>
      </c>
      <c r="C111" s="447" t="s">
        <v>63</v>
      </c>
      <c r="D111" s="443" t="s">
        <v>17</v>
      </c>
      <c r="E111" s="447" t="s">
        <v>64</v>
      </c>
      <c r="F111" s="477" t="s">
        <v>23</v>
      </c>
      <c r="G111" s="480">
        <v>0.18210738614979985</v>
      </c>
      <c r="H111" s="478">
        <v>1</v>
      </c>
    </row>
    <row r="112" spans="2:8" hidden="1" outlineLevel="2">
      <c r="B112" s="477" t="s">
        <v>62</v>
      </c>
      <c r="C112" s="447" t="s">
        <v>63</v>
      </c>
      <c r="D112" s="443" t="s">
        <v>17</v>
      </c>
      <c r="E112" s="447" t="s">
        <v>64</v>
      </c>
      <c r="F112" s="477" t="s">
        <v>66</v>
      </c>
      <c r="G112" s="480">
        <v>4.5526846537449962E-2</v>
      </c>
      <c r="H112" s="478">
        <v>1</v>
      </c>
    </row>
    <row r="113" spans="2:8" hidden="1" outlineLevel="1" collapsed="1">
      <c r="B113" s="475" t="s">
        <v>353</v>
      </c>
      <c r="C113" s="446" t="s">
        <v>354</v>
      </c>
      <c r="D113" s="445" t="s">
        <v>17</v>
      </c>
      <c r="E113" s="446" t="s">
        <v>64</v>
      </c>
      <c r="F113" s="475" t="s">
        <v>1865</v>
      </c>
      <c r="G113" s="476">
        <v>1.6099999999999999</v>
      </c>
      <c r="H113" s="476">
        <v>3</v>
      </c>
    </row>
    <row r="114" spans="2:8" hidden="1" outlineLevel="2">
      <c r="B114" s="477" t="s">
        <v>353</v>
      </c>
      <c r="C114" s="447" t="s">
        <v>354</v>
      </c>
      <c r="D114" s="443" t="s">
        <v>17</v>
      </c>
      <c r="E114" s="447" t="s">
        <v>64</v>
      </c>
      <c r="F114" s="477" t="s">
        <v>235</v>
      </c>
      <c r="G114" s="480">
        <v>0.46</v>
      </c>
      <c r="H114" s="478">
        <v>1</v>
      </c>
    </row>
    <row r="115" spans="2:8" hidden="1" outlineLevel="2">
      <c r="B115" s="477" t="s">
        <v>353</v>
      </c>
      <c r="C115" s="447" t="s">
        <v>354</v>
      </c>
      <c r="D115" s="443" t="s">
        <v>17</v>
      </c>
      <c r="E115" s="447" t="s">
        <v>64</v>
      </c>
      <c r="F115" s="477" t="s">
        <v>236</v>
      </c>
      <c r="G115" s="480">
        <v>0.69</v>
      </c>
      <c r="H115" s="478">
        <v>1</v>
      </c>
    </row>
    <row r="116" spans="2:8" hidden="1" outlineLevel="2">
      <c r="B116" s="477" t="s">
        <v>353</v>
      </c>
      <c r="C116" s="447" t="s">
        <v>354</v>
      </c>
      <c r="D116" s="443" t="s">
        <v>17</v>
      </c>
      <c r="E116" s="447" t="s">
        <v>64</v>
      </c>
      <c r="F116" s="477" t="s">
        <v>32</v>
      </c>
      <c r="G116" s="480">
        <v>0.46</v>
      </c>
      <c r="H116" s="478">
        <v>1</v>
      </c>
    </row>
    <row r="117" spans="2:8" hidden="1" outlineLevel="1" collapsed="1">
      <c r="B117" s="475" t="s">
        <v>289</v>
      </c>
      <c r="C117" s="446" t="s">
        <v>29</v>
      </c>
      <c r="D117" s="445" t="s">
        <v>17</v>
      </c>
      <c r="E117" s="446" t="s">
        <v>64</v>
      </c>
      <c r="F117" s="475" t="s">
        <v>1866</v>
      </c>
      <c r="G117" s="476">
        <v>0.61820000000000008</v>
      </c>
      <c r="H117" s="476">
        <v>3</v>
      </c>
    </row>
    <row r="118" spans="2:8" hidden="1" outlineLevel="2">
      <c r="B118" s="477" t="s">
        <v>289</v>
      </c>
      <c r="C118" s="447" t="s">
        <v>29</v>
      </c>
      <c r="D118" s="443" t="s">
        <v>17</v>
      </c>
      <c r="E118" s="447" t="s">
        <v>64</v>
      </c>
      <c r="F118" s="477" t="s">
        <v>284</v>
      </c>
      <c r="G118" s="480">
        <v>0.24728000000000006</v>
      </c>
      <c r="H118" s="478">
        <v>1</v>
      </c>
    </row>
    <row r="119" spans="2:8" hidden="1" outlineLevel="2">
      <c r="B119" s="477" t="s">
        <v>289</v>
      </c>
      <c r="C119" s="447" t="s">
        <v>29</v>
      </c>
      <c r="D119" s="443" t="s">
        <v>17</v>
      </c>
      <c r="E119" s="447" t="s">
        <v>64</v>
      </c>
      <c r="F119" s="477" t="s">
        <v>31</v>
      </c>
      <c r="G119" s="480">
        <v>0.24728000000000006</v>
      </c>
      <c r="H119" s="478">
        <v>1</v>
      </c>
    </row>
    <row r="120" spans="2:8" hidden="1" outlineLevel="2">
      <c r="B120" s="477" t="s">
        <v>289</v>
      </c>
      <c r="C120" s="447" t="s">
        <v>29</v>
      </c>
      <c r="D120" s="443" t="s">
        <v>17</v>
      </c>
      <c r="E120" s="447" t="s">
        <v>64</v>
      </c>
      <c r="F120" s="477" t="s">
        <v>32</v>
      </c>
      <c r="G120" s="480">
        <v>0.12364000000000003</v>
      </c>
      <c r="H120" s="478">
        <v>1</v>
      </c>
    </row>
    <row r="121" spans="2:8" hidden="1" outlineLevel="1" collapsed="1">
      <c r="B121" s="475" t="s">
        <v>312</v>
      </c>
      <c r="C121" s="446" t="s">
        <v>312</v>
      </c>
      <c r="D121" s="445" t="s">
        <v>17</v>
      </c>
      <c r="E121" s="446" t="s">
        <v>64</v>
      </c>
      <c r="F121" s="475" t="s">
        <v>1867</v>
      </c>
      <c r="G121" s="476">
        <v>3.6843765000000004</v>
      </c>
      <c r="H121" s="476">
        <v>3</v>
      </c>
    </row>
    <row r="122" spans="2:8" hidden="1" outlineLevel="2">
      <c r="B122" s="477" t="s">
        <v>312</v>
      </c>
      <c r="C122" s="447" t="s">
        <v>312</v>
      </c>
      <c r="D122" s="443" t="s">
        <v>17</v>
      </c>
      <c r="E122" s="447" t="s">
        <v>64</v>
      </c>
      <c r="F122" s="477" t="s">
        <v>284</v>
      </c>
      <c r="G122" s="483">
        <v>1.2281255000000002</v>
      </c>
      <c r="H122" s="478">
        <v>1</v>
      </c>
    </row>
    <row r="123" spans="2:8" hidden="1" outlineLevel="2">
      <c r="B123" s="477" t="s">
        <v>312</v>
      </c>
      <c r="C123" s="447" t="s">
        <v>312</v>
      </c>
      <c r="D123" s="443" t="s">
        <v>17</v>
      </c>
      <c r="E123" s="447" t="s">
        <v>64</v>
      </c>
      <c r="F123" s="477" t="s">
        <v>31</v>
      </c>
      <c r="G123" s="483">
        <v>1.2281255000000002</v>
      </c>
      <c r="H123" s="478">
        <v>1</v>
      </c>
    </row>
    <row r="124" spans="2:8" hidden="1" outlineLevel="2">
      <c r="B124" s="477" t="s">
        <v>312</v>
      </c>
      <c r="C124" s="447" t="s">
        <v>312</v>
      </c>
      <c r="D124" s="443" t="s">
        <v>17</v>
      </c>
      <c r="E124" s="447" t="s">
        <v>64</v>
      </c>
      <c r="F124" s="477" t="s">
        <v>32</v>
      </c>
      <c r="G124" s="483">
        <v>1.2281255</v>
      </c>
      <c r="H124" s="478">
        <v>1</v>
      </c>
    </row>
    <row r="125" spans="2:8" hidden="1" outlineLevel="1" collapsed="1">
      <c r="B125" s="475" t="s">
        <v>271</v>
      </c>
      <c r="C125" s="446" t="s">
        <v>271</v>
      </c>
      <c r="D125" s="445" t="s">
        <v>17</v>
      </c>
      <c r="E125" s="446" t="s">
        <v>64</v>
      </c>
      <c r="F125" s="475" t="s">
        <v>1868</v>
      </c>
      <c r="G125" s="476">
        <v>2.7524999999999999</v>
      </c>
      <c r="H125" s="476">
        <v>6</v>
      </c>
    </row>
    <row r="126" spans="2:8" hidden="1" outlineLevel="2">
      <c r="B126" s="477" t="s">
        <v>271</v>
      </c>
      <c r="C126" s="447" t="s">
        <v>271</v>
      </c>
      <c r="D126" s="443" t="s">
        <v>175</v>
      </c>
      <c r="E126" s="447" t="s">
        <v>64</v>
      </c>
      <c r="F126" s="477" t="s">
        <v>316</v>
      </c>
      <c r="G126" s="480">
        <v>0.33750000000000002</v>
      </c>
      <c r="H126" s="478">
        <v>1</v>
      </c>
    </row>
    <row r="127" spans="2:8" hidden="1" outlineLevel="2">
      <c r="B127" s="477" t="s">
        <v>271</v>
      </c>
      <c r="C127" s="447" t="s">
        <v>271</v>
      </c>
      <c r="D127" s="443" t="s">
        <v>175</v>
      </c>
      <c r="E127" s="447" t="s">
        <v>64</v>
      </c>
      <c r="F127" s="477" t="s">
        <v>31</v>
      </c>
      <c r="G127" s="480">
        <v>0.58000000000000007</v>
      </c>
      <c r="H127" s="478">
        <v>1</v>
      </c>
    </row>
    <row r="128" spans="2:8" hidden="1" outlineLevel="2">
      <c r="B128" s="477" t="s">
        <v>271</v>
      </c>
      <c r="C128" s="447" t="s">
        <v>271</v>
      </c>
      <c r="D128" s="443" t="s">
        <v>175</v>
      </c>
      <c r="E128" s="447" t="s">
        <v>64</v>
      </c>
      <c r="F128" s="477" t="s">
        <v>317</v>
      </c>
      <c r="G128" s="480">
        <v>0.58000000000000007</v>
      </c>
      <c r="H128" s="478">
        <v>1</v>
      </c>
    </row>
    <row r="129" spans="2:8" hidden="1" outlineLevel="2">
      <c r="B129" s="477" t="s">
        <v>271</v>
      </c>
      <c r="C129" s="447" t="s">
        <v>271</v>
      </c>
      <c r="D129" s="443" t="s">
        <v>175</v>
      </c>
      <c r="E129" s="447" t="s">
        <v>64</v>
      </c>
      <c r="F129" s="477" t="s">
        <v>318</v>
      </c>
      <c r="G129" s="480">
        <v>0.58000000000000007</v>
      </c>
      <c r="H129" s="478">
        <v>1</v>
      </c>
    </row>
    <row r="130" spans="2:8" hidden="1" outlineLevel="2">
      <c r="B130" s="477" t="s">
        <v>271</v>
      </c>
      <c r="C130" s="447" t="s">
        <v>271</v>
      </c>
      <c r="D130" s="443" t="s">
        <v>175</v>
      </c>
      <c r="E130" s="447" t="s">
        <v>64</v>
      </c>
      <c r="F130" s="477" t="s">
        <v>285</v>
      </c>
      <c r="G130" s="480">
        <v>0.33750000000000002</v>
      </c>
      <c r="H130" s="478">
        <v>1</v>
      </c>
    </row>
    <row r="131" spans="2:8" hidden="1" outlineLevel="2">
      <c r="B131" s="477" t="s">
        <v>271</v>
      </c>
      <c r="C131" s="447" t="s">
        <v>271</v>
      </c>
      <c r="D131" s="443" t="s">
        <v>175</v>
      </c>
      <c r="E131" s="447" t="s">
        <v>64</v>
      </c>
      <c r="F131" s="477" t="s">
        <v>319</v>
      </c>
      <c r="G131" s="480">
        <v>0.33750000000000002</v>
      </c>
      <c r="H131" s="478">
        <v>1</v>
      </c>
    </row>
    <row r="132" spans="2:8" hidden="1" outlineLevel="1" collapsed="1">
      <c r="B132" s="475" t="s">
        <v>308</v>
      </c>
      <c r="C132" s="446" t="s">
        <v>308</v>
      </c>
      <c r="D132" s="445" t="s">
        <v>17</v>
      </c>
      <c r="E132" s="446" t="s">
        <v>64</v>
      </c>
      <c r="F132" s="475" t="s">
        <v>1869</v>
      </c>
      <c r="G132" s="476">
        <v>11.053129500000001</v>
      </c>
      <c r="H132" s="476">
        <v>3</v>
      </c>
    </row>
    <row r="133" spans="2:8" hidden="1" outlineLevel="2">
      <c r="B133" s="477" t="s">
        <v>308</v>
      </c>
      <c r="C133" s="447" t="s">
        <v>308</v>
      </c>
      <c r="D133" s="443" t="s">
        <v>17</v>
      </c>
      <c r="E133" s="447" t="s">
        <v>64</v>
      </c>
      <c r="F133" s="477" t="s">
        <v>284</v>
      </c>
      <c r="G133" s="483">
        <v>3.6843765000000008</v>
      </c>
      <c r="H133" s="478">
        <v>1</v>
      </c>
    </row>
    <row r="134" spans="2:8" hidden="1" outlineLevel="2">
      <c r="B134" s="477" t="s">
        <v>308</v>
      </c>
      <c r="C134" s="447" t="s">
        <v>308</v>
      </c>
      <c r="D134" s="443" t="s">
        <v>17</v>
      </c>
      <c r="E134" s="447" t="s">
        <v>64</v>
      </c>
      <c r="F134" s="477" t="s">
        <v>31</v>
      </c>
      <c r="G134" s="483">
        <v>3.6843765000000008</v>
      </c>
      <c r="H134" s="478">
        <v>1</v>
      </c>
    </row>
    <row r="135" spans="2:8" hidden="1" outlineLevel="2">
      <c r="B135" s="477" t="s">
        <v>308</v>
      </c>
      <c r="C135" s="447" t="s">
        <v>308</v>
      </c>
      <c r="D135" s="443" t="s">
        <v>17</v>
      </c>
      <c r="E135" s="447" t="s">
        <v>64</v>
      </c>
      <c r="F135" s="477" t="s">
        <v>32</v>
      </c>
      <c r="G135" s="483">
        <v>3.6843764999999999</v>
      </c>
      <c r="H135" s="478">
        <v>1</v>
      </c>
    </row>
    <row r="136" spans="2:8" hidden="1" outlineLevel="1" collapsed="1">
      <c r="B136" s="475" t="s">
        <v>364</v>
      </c>
      <c r="C136" s="446" t="s">
        <v>365</v>
      </c>
      <c r="D136" s="445" t="s">
        <v>17</v>
      </c>
      <c r="E136" s="446" t="s">
        <v>64</v>
      </c>
      <c r="F136" s="475" t="s">
        <v>1870</v>
      </c>
      <c r="G136" s="476">
        <v>3.35</v>
      </c>
      <c r="H136" s="476">
        <v>3</v>
      </c>
    </row>
    <row r="137" spans="2:8" hidden="1" outlineLevel="2">
      <c r="B137" s="477" t="s">
        <v>364</v>
      </c>
      <c r="C137" s="447" t="s">
        <v>365</v>
      </c>
      <c r="D137" s="443" t="s">
        <v>17</v>
      </c>
      <c r="E137" s="447" t="s">
        <v>64</v>
      </c>
      <c r="F137" s="477" t="s">
        <v>368</v>
      </c>
      <c r="G137" s="480">
        <v>1.34</v>
      </c>
      <c r="H137" s="478">
        <v>1</v>
      </c>
    </row>
    <row r="138" spans="2:8" hidden="1" outlineLevel="2">
      <c r="B138" s="477" t="s">
        <v>364</v>
      </c>
      <c r="C138" s="447" t="s">
        <v>365</v>
      </c>
      <c r="D138" s="443" t="s">
        <v>17</v>
      </c>
      <c r="E138" s="447" t="s">
        <v>64</v>
      </c>
      <c r="F138" s="477" t="s">
        <v>292</v>
      </c>
      <c r="G138" s="480">
        <v>1.34</v>
      </c>
      <c r="H138" s="478">
        <v>1</v>
      </c>
    </row>
    <row r="139" spans="2:8" hidden="1" outlineLevel="2">
      <c r="B139" s="477" t="s">
        <v>364</v>
      </c>
      <c r="C139" s="447" t="s">
        <v>365</v>
      </c>
      <c r="D139" s="443" t="s">
        <v>17</v>
      </c>
      <c r="E139" s="447" t="s">
        <v>64</v>
      </c>
      <c r="F139" s="477" t="s">
        <v>32</v>
      </c>
      <c r="G139" s="480">
        <v>0.67</v>
      </c>
      <c r="H139" s="478">
        <v>1</v>
      </c>
    </row>
    <row r="140" spans="2:8" ht="3" customHeight="1">
      <c r="B140" s="372"/>
      <c r="C140" s="372"/>
      <c r="D140" s="372"/>
      <c r="E140" s="372"/>
      <c r="F140" s="468"/>
      <c r="G140" s="474"/>
      <c r="H140" s="474"/>
    </row>
    <row r="141" spans="2:8" s="416" customFormat="1" ht="15.6" collapsed="1">
      <c r="B141" s="470" t="s">
        <v>177</v>
      </c>
      <c r="C141" s="471"/>
      <c r="D141" s="471"/>
      <c r="E141" s="471"/>
      <c r="F141" s="472"/>
      <c r="G141" s="473">
        <f>SUM(G143,G146,G157,G167,G170,G173,G177,G178,G180,G182,G183,G185,G188)</f>
        <v>10.209466636198616</v>
      </c>
      <c r="H141" s="473">
        <f>SUM(H143,H146,H157,H167,H170,H173,H177,H178,H180,H182,H183,H185,H188)</f>
        <v>35</v>
      </c>
    </row>
    <row r="142" spans="2:8" ht="3" hidden="1" customHeight="1" outlineLevel="1">
      <c r="B142" s="372"/>
      <c r="C142" s="372"/>
      <c r="D142" s="372"/>
      <c r="E142" s="372"/>
      <c r="F142" s="468"/>
      <c r="G142" s="474"/>
      <c r="H142" s="474"/>
    </row>
    <row r="143" spans="2:8" hidden="1" outlineLevel="1" collapsed="1">
      <c r="B143" s="390" t="s">
        <v>173</v>
      </c>
      <c r="C143" s="446" t="s">
        <v>173</v>
      </c>
      <c r="D143" s="445" t="s">
        <v>17</v>
      </c>
      <c r="E143" s="446" t="s">
        <v>177</v>
      </c>
      <c r="F143" s="475" t="s">
        <v>1871</v>
      </c>
      <c r="G143" s="476">
        <f>SUM(G144:G145)</f>
        <v>0.309550952606017</v>
      </c>
      <c r="H143" s="476">
        <f>SUM(H144:H145)</f>
        <v>2</v>
      </c>
    </row>
    <row r="144" spans="2:8" hidden="1" outlineLevel="2">
      <c r="B144" s="373" t="s">
        <v>173</v>
      </c>
      <c r="C144" s="447" t="s">
        <v>173</v>
      </c>
      <c r="D144" s="443" t="s">
        <v>17</v>
      </c>
      <c r="E144" s="447" t="s">
        <v>177</v>
      </c>
      <c r="F144" s="477" t="s">
        <v>107</v>
      </c>
      <c r="G144" s="478">
        <v>0.1547754763030085</v>
      </c>
      <c r="H144" s="478">
        <v>1</v>
      </c>
    </row>
    <row r="145" spans="2:8" hidden="1" outlineLevel="2">
      <c r="B145" s="373" t="s">
        <v>173</v>
      </c>
      <c r="C145" s="447" t="s">
        <v>173</v>
      </c>
      <c r="D145" s="443" t="s">
        <v>17</v>
      </c>
      <c r="E145" s="447" t="s">
        <v>177</v>
      </c>
      <c r="F145" s="477" t="s">
        <v>108</v>
      </c>
      <c r="G145" s="478">
        <v>0.1547754763030085</v>
      </c>
      <c r="H145" s="478">
        <v>1</v>
      </c>
    </row>
    <row r="146" spans="2:8" hidden="1" outlineLevel="1" collapsed="1">
      <c r="B146" s="390" t="s">
        <v>182</v>
      </c>
      <c r="C146" s="446" t="s">
        <v>182</v>
      </c>
      <c r="D146" s="445" t="s">
        <v>17</v>
      </c>
      <c r="E146" s="446" t="s">
        <v>177</v>
      </c>
      <c r="F146" s="475" t="s">
        <v>1872</v>
      </c>
      <c r="G146" s="476">
        <f>SUM(G147:G156)</f>
        <v>5.8780133279200006</v>
      </c>
      <c r="H146" s="476">
        <f>SUM(H147:H156)</f>
        <v>10</v>
      </c>
    </row>
    <row r="147" spans="2:8" hidden="1" outlineLevel="2">
      <c r="B147" s="373" t="s">
        <v>182</v>
      </c>
      <c r="C147" s="447" t="s">
        <v>182</v>
      </c>
      <c r="D147" s="443" t="s">
        <v>17</v>
      </c>
      <c r="E147" s="447" t="s">
        <v>177</v>
      </c>
      <c r="F147" s="468" t="s">
        <v>184</v>
      </c>
      <c r="G147" s="480">
        <v>0.22115071539599998</v>
      </c>
      <c r="H147" s="478">
        <v>1</v>
      </c>
    </row>
    <row r="148" spans="2:8" hidden="1" outlineLevel="2">
      <c r="B148" s="373" t="s">
        <v>182</v>
      </c>
      <c r="C148" s="447" t="s">
        <v>182</v>
      </c>
      <c r="D148" s="443" t="s">
        <v>17</v>
      </c>
      <c r="E148" s="447" t="s">
        <v>177</v>
      </c>
      <c r="F148" s="468" t="s">
        <v>186</v>
      </c>
      <c r="G148" s="480">
        <v>7.3716905132000007E-2</v>
      </c>
      <c r="H148" s="478">
        <v>1</v>
      </c>
    </row>
    <row r="149" spans="2:8" hidden="1" outlineLevel="2">
      <c r="B149" s="373" t="s">
        <v>182</v>
      </c>
      <c r="C149" s="447" t="s">
        <v>182</v>
      </c>
      <c r="D149" s="443" t="s">
        <v>17</v>
      </c>
      <c r="E149" s="447" t="s">
        <v>177</v>
      </c>
      <c r="F149" s="468" t="s">
        <v>187</v>
      </c>
      <c r="G149" s="480">
        <v>7.3716905132000007E-2</v>
      </c>
      <c r="H149" s="478">
        <v>1</v>
      </c>
    </row>
    <row r="150" spans="2:8" hidden="1" outlineLevel="2">
      <c r="B150" s="373" t="s">
        <v>182</v>
      </c>
      <c r="C150" s="447" t="s">
        <v>182</v>
      </c>
      <c r="D150" s="443" t="s">
        <v>17</v>
      </c>
      <c r="E150" s="447" t="s">
        <v>177</v>
      </c>
      <c r="F150" s="468" t="s">
        <v>190</v>
      </c>
      <c r="G150" s="480">
        <v>6.4031962499999998E-2</v>
      </c>
      <c r="H150" s="478">
        <v>1</v>
      </c>
    </row>
    <row r="151" spans="2:8" hidden="1" outlineLevel="2">
      <c r="B151" s="373" t="s">
        <v>182</v>
      </c>
      <c r="C151" s="447" t="s">
        <v>182</v>
      </c>
      <c r="D151" s="443" t="s">
        <v>17</v>
      </c>
      <c r="E151" s="447" t="s">
        <v>177</v>
      </c>
      <c r="F151" s="468" t="s">
        <v>191</v>
      </c>
      <c r="G151" s="480">
        <v>0.54994955184000005</v>
      </c>
      <c r="H151" s="478">
        <v>1</v>
      </c>
    </row>
    <row r="152" spans="2:8" hidden="1" outlineLevel="2">
      <c r="B152" s="373" t="s">
        <v>182</v>
      </c>
      <c r="C152" s="447" t="s">
        <v>182</v>
      </c>
      <c r="D152" s="443" t="s">
        <v>17</v>
      </c>
      <c r="E152" s="447" t="s">
        <v>177</v>
      </c>
      <c r="F152" s="468" t="s">
        <v>192</v>
      </c>
      <c r="G152" s="480">
        <v>0.27497477592000003</v>
      </c>
      <c r="H152" s="478">
        <v>1</v>
      </c>
    </row>
    <row r="153" spans="2:8" hidden="1" outlineLevel="2">
      <c r="B153" s="373" t="s">
        <v>182</v>
      </c>
      <c r="C153" s="447" t="s">
        <v>182</v>
      </c>
      <c r="D153" s="443" t="s">
        <v>17</v>
      </c>
      <c r="E153" s="447" t="s">
        <v>177</v>
      </c>
      <c r="F153" s="468" t="s">
        <v>193</v>
      </c>
      <c r="G153" s="480">
        <v>2.2352362560000003</v>
      </c>
      <c r="H153" s="478">
        <v>1</v>
      </c>
    </row>
    <row r="154" spans="2:8" hidden="1" outlineLevel="2">
      <c r="B154" s="373" t="s">
        <v>182</v>
      </c>
      <c r="C154" s="447" t="s">
        <v>182</v>
      </c>
      <c r="D154" s="443" t="s">
        <v>17</v>
      </c>
      <c r="E154" s="447" t="s">
        <v>177</v>
      </c>
      <c r="F154" s="468" t="s">
        <v>194</v>
      </c>
      <c r="G154" s="480">
        <v>2.2352362560000003</v>
      </c>
      <c r="H154" s="478">
        <v>1</v>
      </c>
    </row>
    <row r="155" spans="2:8" hidden="1" outlineLevel="2">
      <c r="B155" s="373" t="s">
        <v>182</v>
      </c>
      <c r="C155" s="447" t="s">
        <v>182</v>
      </c>
      <c r="D155" s="443" t="s">
        <v>17</v>
      </c>
      <c r="E155" s="447" t="s">
        <v>177</v>
      </c>
      <c r="F155" s="468" t="s">
        <v>195</v>
      </c>
      <c r="G155" s="480">
        <v>0.1125</v>
      </c>
      <c r="H155" s="478">
        <v>1</v>
      </c>
    </row>
    <row r="156" spans="2:8" hidden="1" outlineLevel="2">
      <c r="B156" s="373" t="s">
        <v>182</v>
      </c>
      <c r="C156" s="447" t="s">
        <v>182</v>
      </c>
      <c r="D156" s="443" t="s">
        <v>17</v>
      </c>
      <c r="E156" s="447" t="s">
        <v>177</v>
      </c>
      <c r="F156" s="468" t="s">
        <v>196</v>
      </c>
      <c r="G156" s="480">
        <v>3.7499999999999999E-2</v>
      </c>
      <c r="H156" s="478">
        <v>1</v>
      </c>
    </row>
    <row r="157" spans="2:8" hidden="1" outlineLevel="1" collapsed="1">
      <c r="B157" s="390" t="s">
        <v>222</v>
      </c>
      <c r="C157" s="446" t="s">
        <v>222</v>
      </c>
      <c r="D157" s="445" t="s">
        <v>17</v>
      </c>
      <c r="E157" s="446" t="s">
        <v>177</v>
      </c>
      <c r="F157" s="475" t="s">
        <v>1873</v>
      </c>
      <c r="G157" s="476">
        <f>SUM(G158:G166)</f>
        <v>0.85178143075061052</v>
      </c>
      <c r="H157" s="476">
        <f>SUM(H158:H166)</f>
        <v>9</v>
      </c>
    </row>
    <row r="158" spans="2:8" hidden="1" outlineLevel="2">
      <c r="B158" s="373" t="s">
        <v>222</v>
      </c>
      <c r="C158" s="447" t="s">
        <v>222</v>
      </c>
      <c r="D158" s="443" t="s">
        <v>17</v>
      </c>
      <c r="E158" s="447" t="s">
        <v>177</v>
      </c>
      <c r="F158" s="468" t="s">
        <v>224</v>
      </c>
      <c r="G158" s="480">
        <v>0.25575333042562204</v>
      </c>
      <c r="H158" s="478">
        <v>1</v>
      </c>
    </row>
    <row r="159" spans="2:8" hidden="1" outlineLevel="2">
      <c r="B159" s="373" t="s">
        <v>222</v>
      </c>
      <c r="C159" s="447" t="s">
        <v>222</v>
      </c>
      <c r="D159" s="443" t="s">
        <v>17</v>
      </c>
      <c r="E159" s="447" t="s">
        <v>177</v>
      </c>
      <c r="F159" s="468" t="s">
        <v>178</v>
      </c>
      <c r="G159" s="480">
        <v>8.1564148364617506E-2</v>
      </c>
      <c r="H159" s="478">
        <v>1</v>
      </c>
    </row>
    <row r="160" spans="2:8" hidden="1" outlineLevel="2">
      <c r="B160" s="373" t="s">
        <v>222</v>
      </c>
      <c r="C160" s="447" t="s">
        <v>222</v>
      </c>
      <c r="D160" s="443" t="s">
        <v>17</v>
      </c>
      <c r="E160" s="447" t="s">
        <v>177</v>
      </c>
      <c r="F160" s="468" t="s">
        <v>44</v>
      </c>
      <c r="G160" s="480">
        <v>0.18696938245168926</v>
      </c>
      <c r="H160" s="478">
        <v>1</v>
      </c>
    </row>
    <row r="161" spans="2:8" hidden="1" outlineLevel="2">
      <c r="B161" s="373" t="s">
        <v>222</v>
      </c>
      <c r="C161" s="447" t="s">
        <v>222</v>
      </c>
      <c r="D161" s="443" t="s">
        <v>17</v>
      </c>
      <c r="E161" s="447" t="s">
        <v>177</v>
      </c>
      <c r="F161" s="468" t="s">
        <v>107</v>
      </c>
      <c r="G161" s="480">
        <v>2.7188049454872507E-2</v>
      </c>
      <c r="H161" s="478">
        <v>1</v>
      </c>
    </row>
    <row r="162" spans="2:8" hidden="1" outlineLevel="2">
      <c r="B162" s="373" t="s">
        <v>222</v>
      </c>
      <c r="C162" s="447" t="s">
        <v>222</v>
      </c>
      <c r="D162" s="443" t="s">
        <v>17</v>
      </c>
      <c r="E162" s="447" t="s">
        <v>177</v>
      </c>
      <c r="F162" s="468" t="s">
        <v>65</v>
      </c>
      <c r="G162" s="480">
        <v>0.11218162947101355</v>
      </c>
      <c r="H162" s="478">
        <v>1</v>
      </c>
    </row>
    <row r="163" spans="2:8" hidden="1" outlineLevel="2">
      <c r="B163" s="373" t="s">
        <v>222</v>
      </c>
      <c r="C163" s="447" t="s">
        <v>222</v>
      </c>
      <c r="D163" s="443" t="s">
        <v>17</v>
      </c>
      <c r="E163" s="447" t="s">
        <v>177</v>
      </c>
      <c r="F163" s="468" t="s">
        <v>23</v>
      </c>
      <c r="G163" s="480">
        <v>3.7393876490337853E-2</v>
      </c>
      <c r="H163" s="478">
        <v>1</v>
      </c>
    </row>
    <row r="164" spans="2:8" hidden="1" outlineLevel="2">
      <c r="B164" s="373" t="s">
        <v>222</v>
      </c>
      <c r="C164" s="447" t="s">
        <v>222</v>
      </c>
      <c r="D164" s="443" t="s">
        <v>17</v>
      </c>
      <c r="E164" s="447" t="s">
        <v>177</v>
      </c>
      <c r="F164" s="468" t="s">
        <v>66</v>
      </c>
      <c r="G164" s="480">
        <v>3.7393876490337853E-2</v>
      </c>
      <c r="H164" s="478">
        <v>1</v>
      </c>
    </row>
    <row r="165" spans="2:8" hidden="1" outlineLevel="2">
      <c r="B165" s="373" t="s">
        <v>222</v>
      </c>
      <c r="C165" s="447" t="s">
        <v>222</v>
      </c>
      <c r="D165" s="443" t="s">
        <v>17</v>
      </c>
      <c r="E165" s="447" t="s">
        <v>177</v>
      </c>
      <c r="F165" s="468" t="s">
        <v>24</v>
      </c>
      <c r="G165" s="480">
        <v>2.7188049454872507E-2</v>
      </c>
      <c r="H165" s="478">
        <v>1</v>
      </c>
    </row>
    <row r="166" spans="2:8" hidden="1" outlineLevel="2">
      <c r="B166" s="373" t="s">
        <v>222</v>
      </c>
      <c r="C166" s="447" t="s">
        <v>222</v>
      </c>
      <c r="D166" s="443" t="s">
        <v>17</v>
      </c>
      <c r="E166" s="447" t="s">
        <v>177</v>
      </c>
      <c r="F166" s="468" t="s">
        <v>226</v>
      </c>
      <c r="G166" s="480">
        <v>8.6149088147247421E-2</v>
      </c>
      <c r="H166" s="478">
        <v>1</v>
      </c>
    </row>
    <row r="167" spans="2:8" hidden="1" outlineLevel="1" collapsed="1">
      <c r="B167" s="390" t="s">
        <v>233</v>
      </c>
      <c r="C167" s="446" t="s">
        <v>233</v>
      </c>
      <c r="D167" s="445" t="s">
        <v>17</v>
      </c>
      <c r="E167" s="446" t="s">
        <v>177</v>
      </c>
      <c r="F167" s="475" t="s">
        <v>1874</v>
      </c>
      <c r="G167" s="476">
        <f>SUM(G168:G169)</f>
        <v>0.38041780000000003</v>
      </c>
      <c r="H167" s="476">
        <f>SUM(H168:H169)</f>
        <v>2</v>
      </c>
    </row>
    <row r="168" spans="2:8" hidden="1" outlineLevel="2">
      <c r="B168" s="373" t="s">
        <v>233</v>
      </c>
      <c r="C168" s="447" t="s">
        <v>233</v>
      </c>
      <c r="D168" s="443" t="s">
        <v>17</v>
      </c>
      <c r="E168" s="447" t="s">
        <v>177</v>
      </c>
      <c r="F168" s="468" t="s">
        <v>235</v>
      </c>
      <c r="G168" s="480">
        <v>0.15216712000000002</v>
      </c>
      <c r="H168" s="478">
        <v>1</v>
      </c>
    </row>
    <row r="169" spans="2:8" hidden="1" outlineLevel="2">
      <c r="B169" s="373" t="s">
        <v>233</v>
      </c>
      <c r="C169" s="447" t="s">
        <v>233</v>
      </c>
      <c r="D169" s="443" t="s">
        <v>17</v>
      </c>
      <c r="E169" s="447" t="s">
        <v>177</v>
      </c>
      <c r="F169" s="468" t="s">
        <v>236</v>
      </c>
      <c r="G169" s="480">
        <v>0.22825067999999998</v>
      </c>
      <c r="H169" s="478">
        <v>1</v>
      </c>
    </row>
    <row r="170" spans="2:8" hidden="1" outlineLevel="1" collapsed="1">
      <c r="B170" s="390" t="s">
        <v>301</v>
      </c>
      <c r="C170" s="446" t="s">
        <v>301</v>
      </c>
      <c r="D170" s="445" t="s">
        <v>17</v>
      </c>
      <c r="E170" s="446" t="s">
        <v>177</v>
      </c>
      <c r="F170" s="475" t="s">
        <v>1858</v>
      </c>
      <c r="G170" s="476">
        <f>SUM(G171:G172)</f>
        <v>0.5132500000000001</v>
      </c>
      <c r="H170" s="476">
        <f>SUM(H171:H172)</f>
        <v>2</v>
      </c>
    </row>
    <row r="171" spans="2:8" hidden="1" outlineLevel="2">
      <c r="B171" s="373" t="s">
        <v>301</v>
      </c>
      <c r="C171" s="447" t="s">
        <v>301</v>
      </c>
      <c r="D171" s="443" t="s">
        <v>17</v>
      </c>
      <c r="E171" s="447" t="s">
        <v>177</v>
      </c>
      <c r="F171" s="482" t="s">
        <v>304</v>
      </c>
      <c r="G171" s="483">
        <v>0.41060000000000008</v>
      </c>
      <c r="H171" s="478">
        <v>1</v>
      </c>
    </row>
    <row r="172" spans="2:8" hidden="1" outlineLevel="2">
      <c r="B172" s="373" t="s">
        <v>301</v>
      </c>
      <c r="C172" s="447" t="s">
        <v>301</v>
      </c>
      <c r="D172" s="443" t="s">
        <v>17</v>
      </c>
      <c r="E172" s="447" t="s">
        <v>177</v>
      </c>
      <c r="F172" s="482" t="s">
        <v>305</v>
      </c>
      <c r="G172" s="483">
        <v>0.10265000000000002</v>
      </c>
      <c r="H172" s="478">
        <v>1</v>
      </c>
    </row>
    <row r="173" spans="2:8" hidden="1" outlineLevel="1" collapsed="1">
      <c r="B173" s="390" t="s">
        <v>271</v>
      </c>
      <c r="C173" s="446" t="s">
        <v>271</v>
      </c>
      <c r="D173" s="445" t="s">
        <v>17</v>
      </c>
      <c r="E173" s="446" t="s">
        <v>177</v>
      </c>
      <c r="F173" s="475" t="s">
        <v>1868</v>
      </c>
      <c r="G173" s="476">
        <f>SUM(G174:G176)</f>
        <v>0.28500000000000003</v>
      </c>
      <c r="H173" s="476">
        <f>SUM(H174:H176)</f>
        <v>3</v>
      </c>
    </row>
    <row r="174" spans="2:8" hidden="1" outlineLevel="2">
      <c r="B174" s="373" t="s">
        <v>271</v>
      </c>
      <c r="C174" s="447" t="s">
        <v>271</v>
      </c>
      <c r="D174" s="443" t="s">
        <v>17</v>
      </c>
      <c r="E174" s="447" t="s">
        <v>177</v>
      </c>
      <c r="F174" s="406" t="s">
        <v>286</v>
      </c>
      <c r="G174" s="480">
        <v>9.5000000000000015E-2</v>
      </c>
      <c r="H174" s="478">
        <v>1</v>
      </c>
    </row>
    <row r="175" spans="2:8" hidden="1" outlineLevel="2">
      <c r="B175" s="373" t="s">
        <v>271</v>
      </c>
      <c r="C175" s="447" t="s">
        <v>271</v>
      </c>
      <c r="D175" s="443" t="s">
        <v>17</v>
      </c>
      <c r="E175" s="447" t="s">
        <v>177</v>
      </c>
      <c r="F175" s="406" t="s">
        <v>287</v>
      </c>
      <c r="G175" s="480">
        <v>9.5000000000000015E-2</v>
      </c>
      <c r="H175" s="478">
        <v>1</v>
      </c>
    </row>
    <row r="176" spans="2:8" hidden="1" outlineLevel="2">
      <c r="B176" s="373" t="s">
        <v>271</v>
      </c>
      <c r="C176" s="447" t="s">
        <v>271</v>
      </c>
      <c r="D176" s="443" t="s">
        <v>17</v>
      </c>
      <c r="E176" s="447" t="s">
        <v>177</v>
      </c>
      <c r="F176" s="406" t="s">
        <v>324</v>
      </c>
      <c r="G176" s="480">
        <v>9.5000000000000015E-2</v>
      </c>
      <c r="H176" s="478">
        <v>1</v>
      </c>
    </row>
    <row r="177" spans="2:8" hidden="1" outlineLevel="1">
      <c r="B177" s="390" t="s">
        <v>328</v>
      </c>
      <c r="C177" s="446" t="s">
        <v>121</v>
      </c>
      <c r="D177" s="445" t="s">
        <v>17</v>
      </c>
      <c r="E177" s="446" t="s">
        <v>177</v>
      </c>
      <c r="F177" s="475" t="s">
        <v>1875</v>
      </c>
      <c r="G177" s="476">
        <v>0</v>
      </c>
      <c r="H177" s="476">
        <v>0</v>
      </c>
    </row>
    <row r="178" spans="2:8" hidden="1" outlineLevel="1" collapsed="1">
      <c r="B178" s="390" t="s">
        <v>332</v>
      </c>
      <c r="C178" s="446" t="s">
        <v>121</v>
      </c>
      <c r="D178" s="445" t="s">
        <v>17</v>
      </c>
      <c r="E178" s="446" t="s">
        <v>177</v>
      </c>
      <c r="F178" s="475" t="s">
        <v>1876</v>
      </c>
      <c r="G178" s="476">
        <f>SUM(G179)</f>
        <v>8.9136273921988848E-2</v>
      </c>
      <c r="H178" s="476">
        <f>SUM(H179)</f>
        <v>1</v>
      </c>
    </row>
    <row r="179" spans="2:8" hidden="1" outlineLevel="2">
      <c r="B179" s="373" t="s">
        <v>332</v>
      </c>
      <c r="C179" s="447" t="s">
        <v>121</v>
      </c>
      <c r="D179" s="443" t="s">
        <v>17</v>
      </c>
      <c r="E179" s="447" t="s">
        <v>177</v>
      </c>
      <c r="F179" s="468" t="s">
        <v>31</v>
      </c>
      <c r="G179" s="480">
        <v>8.9136273921988848E-2</v>
      </c>
      <c r="H179" s="478">
        <v>1</v>
      </c>
    </row>
    <row r="180" spans="2:8" hidden="1" outlineLevel="1" collapsed="1">
      <c r="B180" s="390" t="s">
        <v>335</v>
      </c>
      <c r="C180" s="446" t="s">
        <v>121</v>
      </c>
      <c r="D180" s="445" t="s">
        <v>17</v>
      </c>
      <c r="E180" s="446" t="s">
        <v>177</v>
      </c>
      <c r="F180" s="475" t="s">
        <v>1877</v>
      </c>
      <c r="G180" s="476">
        <f>SUM(G181)</f>
        <v>5.8216850999999993E-2</v>
      </c>
      <c r="H180" s="476">
        <f>SUM(H181)</f>
        <v>1</v>
      </c>
    </row>
    <row r="181" spans="2:8" hidden="1" outlineLevel="2">
      <c r="B181" s="373" t="s">
        <v>335</v>
      </c>
      <c r="C181" s="447" t="s">
        <v>121</v>
      </c>
      <c r="D181" s="443" t="s">
        <v>17</v>
      </c>
      <c r="E181" s="447" t="s">
        <v>177</v>
      </c>
      <c r="F181" s="468" t="s">
        <v>31</v>
      </c>
      <c r="G181" s="480">
        <v>5.8216850999999993E-2</v>
      </c>
      <c r="H181" s="478">
        <v>1</v>
      </c>
    </row>
    <row r="182" spans="2:8" hidden="1" outlineLevel="1">
      <c r="B182" s="390" t="s">
        <v>340</v>
      </c>
      <c r="C182" s="446" t="s">
        <v>121</v>
      </c>
      <c r="D182" s="445" t="s">
        <v>17</v>
      </c>
      <c r="E182" s="446" t="s">
        <v>177</v>
      </c>
      <c r="F182" s="475" t="s">
        <v>1878</v>
      </c>
      <c r="G182" s="476">
        <v>0</v>
      </c>
      <c r="H182" s="476">
        <v>0</v>
      </c>
    </row>
    <row r="183" spans="2:8" hidden="1" outlineLevel="1" collapsed="1">
      <c r="B183" s="390" t="s">
        <v>344</v>
      </c>
      <c r="C183" s="446" t="s">
        <v>344</v>
      </c>
      <c r="D183" s="445" t="s">
        <v>17</v>
      </c>
      <c r="E183" s="446" t="s">
        <v>177</v>
      </c>
      <c r="F183" s="475" t="s">
        <v>1879</v>
      </c>
      <c r="G183" s="476">
        <f>SUM(G184)</f>
        <v>1.6141000000000003</v>
      </c>
      <c r="H183" s="476">
        <f>SUM(H184)</f>
        <v>1</v>
      </c>
    </row>
    <row r="184" spans="2:8" hidden="1" outlineLevel="2">
      <c r="B184" s="373" t="s">
        <v>344</v>
      </c>
      <c r="C184" s="447" t="s">
        <v>344</v>
      </c>
      <c r="D184" s="443" t="s">
        <v>17</v>
      </c>
      <c r="E184" s="447" t="s">
        <v>177</v>
      </c>
      <c r="F184" s="468" t="s">
        <v>284</v>
      </c>
      <c r="G184" s="480">
        <v>1.6141000000000003</v>
      </c>
      <c r="H184" s="478">
        <v>1</v>
      </c>
    </row>
    <row r="185" spans="2:8" hidden="1" outlineLevel="1" collapsed="1">
      <c r="B185" s="390" t="s">
        <v>281</v>
      </c>
      <c r="C185" s="446" t="s">
        <v>70</v>
      </c>
      <c r="D185" s="445" t="s">
        <v>17</v>
      </c>
      <c r="E185" s="446" t="s">
        <v>177</v>
      </c>
      <c r="F185" s="475" t="s">
        <v>1857</v>
      </c>
      <c r="G185" s="476">
        <f>SUM(G186:G187)</f>
        <v>0.16999999999999998</v>
      </c>
      <c r="H185" s="476">
        <f>SUM(H186:H187)</f>
        <v>2</v>
      </c>
    </row>
    <row r="186" spans="2:8" hidden="1" outlineLevel="2">
      <c r="B186" s="373" t="s">
        <v>281</v>
      </c>
      <c r="C186" s="447" t="s">
        <v>70</v>
      </c>
      <c r="D186" s="443" t="s">
        <v>17</v>
      </c>
      <c r="E186" s="447" t="s">
        <v>177</v>
      </c>
      <c r="F186" s="468" t="s">
        <v>286</v>
      </c>
      <c r="G186" s="480">
        <v>0.11</v>
      </c>
      <c r="H186" s="478">
        <v>1</v>
      </c>
    </row>
    <row r="187" spans="2:8" hidden="1" outlineLevel="2">
      <c r="B187" s="373" t="s">
        <v>281</v>
      </c>
      <c r="C187" s="447" t="s">
        <v>70</v>
      </c>
      <c r="D187" s="443" t="s">
        <v>17</v>
      </c>
      <c r="E187" s="447" t="s">
        <v>177</v>
      </c>
      <c r="F187" s="468" t="s">
        <v>287</v>
      </c>
      <c r="G187" s="480">
        <v>0.06</v>
      </c>
      <c r="H187" s="478">
        <v>1</v>
      </c>
    </row>
    <row r="188" spans="2:8" hidden="1" outlineLevel="1" collapsed="1">
      <c r="B188" s="390" t="s">
        <v>364</v>
      </c>
      <c r="C188" s="446" t="s">
        <v>365</v>
      </c>
      <c r="D188" s="445" t="s">
        <v>17</v>
      </c>
      <c r="E188" s="446" t="s">
        <v>177</v>
      </c>
      <c r="F188" s="475" t="s">
        <v>1870</v>
      </c>
      <c r="G188" s="476">
        <f>SUM(G189:G190)</f>
        <v>0.06</v>
      </c>
      <c r="H188" s="476">
        <f>SUM(H189:H190)</f>
        <v>2</v>
      </c>
    </row>
    <row r="189" spans="2:8" hidden="1" outlineLevel="2">
      <c r="B189" s="373" t="s">
        <v>364</v>
      </c>
      <c r="C189" s="447" t="s">
        <v>365</v>
      </c>
      <c r="D189" s="443" t="s">
        <v>17</v>
      </c>
      <c r="E189" s="447" t="s">
        <v>177</v>
      </c>
      <c r="F189" s="406" t="s">
        <v>370</v>
      </c>
      <c r="G189" s="480">
        <v>0.03</v>
      </c>
      <c r="H189" s="478">
        <v>1</v>
      </c>
    </row>
    <row r="190" spans="2:8" hidden="1" outlineLevel="2">
      <c r="B190" s="373" t="s">
        <v>364</v>
      </c>
      <c r="C190" s="447" t="s">
        <v>365</v>
      </c>
      <c r="D190" s="443" t="s">
        <v>17</v>
      </c>
      <c r="E190" s="447" t="s">
        <v>177</v>
      </c>
      <c r="F190" s="406" t="s">
        <v>371</v>
      </c>
      <c r="G190" s="480">
        <v>0.03</v>
      </c>
      <c r="H190" s="478">
        <v>1</v>
      </c>
    </row>
    <row r="191" spans="2:8" ht="3" customHeight="1">
      <c r="B191" s="372"/>
      <c r="C191" s="372"/>
      <c r="D191" s="372"/>
      <c r="E191" s="372"/>
      <c r="F191" s="468"/>
      <c r="G191" s="474"/>
      <c r="H191" s="474"/>
    </row>
    <row r="192" spans="2:8" s="416" customFormat="1" ht="15.6">
      <c r="B192" s="470" t="s">
        <v>241</v>
      </c>
      <c r="C192" s="471"/>
      <c r="D192" s="471"/>
      <c r="E192" s="471"/>
      <c r="F192" s="472"/>
      <c r="G192" s="473">
        <f>SUM(G194,G195,G204,G209)</f>
        <v>0.85280446699999979</v>
      </c>
      <c r="H192" s="473">
        <f>SUM(H194,H195,H204,H209)</f>
        <v>15</v>
      </c>
    </row>
    <row r="193" spans="2:8" ht="3" customHeight="1" outlineLevel="1"/>
    <row r="194" spans="2:8" outlineLevel="1">
      <c r="B194" s="390" t="s">
        <v>240</v>
      </c>
      <c r="C194" s="446" t="s">
        <v>240</v>
      </c>
      <c r="D194" s="445" t="s">
        <v>17</v>
      </c>
      <c r="E194" s="446" t="s">
        <v>241</v>
      </c>
      <c r="F194" s="475" t="s">
        <v>1880</v>
      </c>
      <c r="G194" s="476">
        <v>0</v>
      </c>
      <c r="H194" s="476">
        <v>0</v>
      </c>
    </row>
    <row r="195" spans="2:8" outlineLevel="1" collapsed="1">
      <c r="B195" s="390" t="s">
        <v>243</v>
      </c>
      <c r="C195" s="446" t="s">
        <v>243</v>
      </c>
      <c r="D195" s="445" t="s">
        <v>17</v>
      </c>
      <c r="E195" s="446" t="s">
        <v>241</v>
      </c>
      <c r="F195" s="475" t="s">
        <v>1883</v>
      </c>
      <c r="G195" s="476">
        <f>SUM(G196:G203)</f>
        <v>0.69534587499999978</v>
      </c>
      <c r="H195" s="476">
        <f>SUM(H196:H203)</f>
        <v>8</v>
      </c>
    </row>
    <row r="196" spans="2:8" hidden="1" outlineLevel="2">
      <c r="B196" s="373" t="s">
        <v>243</v>
      </c>
      <c r="C196" s="447" t="s">
        <v>243</v>
      </c>
      <c r="D196" s="443" t="s">
        <v>17</v>
      </c>
      <c r="E196" s="447" t="s">
        <v>241</v>
      </c>
      <c r="F196" s="477" t="s">
        <v>235</v>
      </c>
      <c r="G196" s="478">
        <v>0.15625749999999999</v>
      </c>
      <c r="H196" s="478">
        <v>1</v>
      </c>
    </row>
    <row r="197" spans="2:8" hidden="1" outlineLevel="2">
      <c r="B197" s="373" t="s">
        <v>243</v>
      </c>
      <c r="C197" s="447" t="s">
        <v>243</v>
      </c>
      <c r="D197" s="443" t="s">
        <v>17</v>
      </c>
      <c r="E197" s="447" t="s">
        <v>241</v>
      </c>
      <c r="F197" s="477" t="s">
        <v>236</v>
      </c>
      <c r="G197" s="478">
        <v>0.23438624999999996</v>
      </c>
      <c r="H197" s="478">
        <v>1</v>
      </c>
    </row>
    <row r="198" spans="2:8" hidden="1" outlineLevel="2">
      <c r="B198" s="373" t="s">
        <v>243</v>
      </c>
      <c r="C198" s="447" t="s">
        <v>243</v>
      </c>
      <c r="D198" s="443" t="s">
        <v>17</v>
      </c>
      <c r="E198" s="447" t="s">
        <v>241</v>
      </c>
      <c r="F198" s="477" t="s">
        <v>32</v>
      </c>
      <c r="G198" s="478">
        <v>0.15625749999999999</v>
      </c>
      <c r="H198" s="478">
        <v>1</v>
      </c>
    </row>
    <row r="199" spans="2:8" hidden="1" outlineLevel="2">
      <c r="B199" s="439" t="s">
        <v>243</v>
      </c>
      <c r="C199" s="484" t="s">
        <v>243</v>
      </c>
      <c r="D199" s="485" t="s">
        <v>17</v>
      </c>
      <c r="E199" s="484" t="s">
        <v>241</v>
      </c>
      <c r="F199" s="486" t="s">
        <v>236</v>
      </c>
      <c r="G199" s="487">
        <v>7.1431999999999995E-2</v>
      </c>
      <c r="H199" s="487">
        <v>1</v>
      </c>
    </row>
    <row r="200" spans="2:8" hidden="1" outlineLevel="2">
      <c r="B200" s="439" t="s">
        <v>243</v>
      </c>
      <c r="C200" s="484" t="s">
        <v>243</v>
      </c>
      <c r="D200" s="485" t="s">
        <v>17</v>
      </c>
      <c r="E200" s="484" t="s">
        <v>241</v>
      </c>
      <c r="F200" s="486" t="s">
        <v>236</v>
      </c>
      <c r="G200" s="487">
        <v>2.009025E-2</v>
      </c>
      <c r="H200" s="487">
        <v>1</v>
      </c>
    </row>
    <row r="201" spans="2:8" hidden="1" outlineLevel="2">
      <c r="B201" s="439" t="s">
        <v>243</v>
      </c>
      <c r="C201" s="484" t="s">
        <v>243</v>
      </c>
      <c r="D201" s="485" t="s">
        <v>17</v>
      </c>
      <c r="E201" s="484" t="s">
        <v>241</v>
      </c>
      <c r="F201" s="486" t="s">
        <v>32</v>
      </c>
      <c r="G201" s="487">
        <v>2.009025E-2</v>
      </c>
      <c r="H201" s="487">
        <v>1</v>
      </c>
    </row>
    <row r="202" spans="2:8" hidden="1" outlineLevel="2">
      <c r="B202" s="439" t="s">
        <v>243</v>
      </c>
      <c r="C202" s="484" t="s">
        <v>243</v>
      </c>
      <c r="D202" s="485" t="s">
        <v>17</v>
      </c>
      <c r="E202" s="484" t="s">
        <v>241</v>
      </c>
      <c r="F202" s="486" t="s">
        <v>236</v>
      </c>
      <c r="G202" s="487">
        <v>1.6741875E-2</v>
      </c>
      <c r="H202" s="487">
        <v>1</v>
      </c>
    </row>
    <row r="203" spans="2:8" hidden="1" outlineLevel="2">
      <c r="B203" s="439" t="s">
        <v>243</v>
      </c>
      <c r="C203" s="484" t="s">
        <v>243</v>
      </c>
      <c r="D203" s="485" t="s">
        <v>17</v>
      </c>
      <c r="E203" s="484" t="s">
        <v>241</v>
      </c>
      <c r="F203" s="486" t="s">
        <v>32</v>
      </c>
      <c r="G203" s="487">
        <v>2.009025E-2</v>
      </c>
      <c r="H203" s="487">
        <v>1</v>
      </c>
    </row>
    <row r="204" spans="2:8" outlineLevel="1">
      <c r="B204" s="390" t="s">
        <v>251</v>
      </c>
      <c r="C204" s="446" t="s">
        <v>251</v>
      </c>
      <c r="D204" s="445" t="s">
        <v>17</v>
      </c>
      <c r="E204" s="446" t="s">
        <v>241</v>
      </c>
      <c r="F204" s="475" t="s">
        <v>1890</v>
      </c>
      <c r="G204" s="476">
        <f>SUM(G205:G208)</f>
        <v>4.0000000000000001E-3</v>
      </c>
      <c r="H204" s="476">
        <f>SUM(H205:H208)</f>
        <v>4</v>
      </c>
    </row>
    <row r="205" spans="2:8" outlineLevel="2">
      <c r="B205" s="373" t="s">
        <v>251</v>
      </c>
      <c r="C205" s="447" t="s">
        <v>251</v>
      </c>
      <c r="D205" s="443" t="s">
        <v>17</v>
      </c>
      <c r="E205" s="447" t="s">
        <v>241</v>
      </c>
      <c r="F205" s="477" t="s">
        <v>253</v>
      </c>
      <c r="G205" s="478">
        <v>2.0999999999999999E-3</v>
      </c>
      <c r="H205" s="478">
        <v>1</v>
      </c>
    </row>
    <row r="206" spans="2:8" outlineLevel="2">
      <c r="B206" s="373" t="s">
        <v>251</v>
      </c>
      <c r="C206" s="447" t="s">
        <v>251</v>
      </c>
      <c r="D206" s="443" t="s">
        <v>17</v>
      </c>
      <c r="E206" s="447" t="s">
        <v>241</v>
      </c>
      <c r="F206" s="477" t="s">
        <v>254</v>
      </c>
      <c r="G206" s="478">
        <v>8.7500000000000002E-4</v>
      </c>
      <c r="H206" s="478">
        <v>1</v>
      </c>
    </row>
    <row r="207" spans="2:8" outlineLevel="2">
      <c r="B207" s="373" t="s">
        <v>251</v>
      </c>
      <c r="C207" s="447" t="s">
        <v>251</v>
      </c>
      <c r="D207" s="443" t="s">
        <v>17</v>
      </c>
      <c r="E207" s="447" t="s">
        <v>241</v>
      </c>
      <c r="F207" s="477" t="s">
        <v>255</v>
      </c>
      <c r="G207" s="478">
        <v>5.2499999999999997E-4</v>
      </c>
      <c r="H207" s="478">
        <v>1</v>
      </c>
    </row>
    <row r="208" spans="2:8" outlineLevel="2">
      <c r="B208" s="373" t="s">
        <v>251</v>
      </c>
      <c r="C208" s="447" t="s">
        <v>251</v>
      </c>
      <c r="D208" s="443" t="s">
        <v>17</v>
      </c>
      <c r="E208" s="447" t="s">
        <v>241</v>
      </c>
      <c r="F208" s="477" t="s">
        <v>256</v>
      </c>
      <c r="G208" s="478">
        <v>5.0000000000000001E-4</v>
      </c>
      <c r="H208" s="478">
        <v>1</v>
      </c>
    </row>
    <row r="209" spans="2:8" outlineLevel="1" collapsed="1">
      <c r="B209" s="390" t="s">
        <v>356</v>
      </c>
      <c r="C209" s="446" t="s">
        <v>356</v>
      </c>
      <c r="D209" s="445" t="s">
        <v>17</v>
      </c>
      <c r="E209" s="446" t="s">
        <v>241</v>
      </c>
      <c r="F209" s="475" t="s">
        <v>1892</v>
      </c>
      <c r="G209" s="476">
        <f>SUM(G210:G212)</f>
        <v>0.153458592</v>
      </c>
      <c r="H209" s="476">
        <f>SUM(H210:H212)</f>
        <v>3</v>
      </c>
    </row>
    <row r="210" spans="2:8" hidden="1" outlineLevel="2">
      <c r="B210" s="373" t="s">
        <v>356</v>
      </c>
      <c r="C210" s="447" t="s">
        <v>356</v>
      </c>
      <c r="D210" s="443" t="s">
        <v>17</v>
      </c>
      <c r="E210" s="447" t="s">
        <v>241</v>
      </c>
      <c r="F210" s="488" t="s">
        <v>235</v>
      </c>
      <c r="G210" s="489">
        <v>4.3845312000000004E-2</v>
      </c>
      <c r="H210" s="489">
        <v>1</v>
      </c>
    </row>
    <row r="211" spans="2:8" hidden="1" outlineLevel="2">
      <c r="B211" s="373" t="s">
        <v>356</v>
      </c>
      <c r="C211" s="447" t="s">
        <v>356</v>
      </c>
      <c r="D211" s="443" t="s">
        <v>17</v>
      </c>
      <c r="E211" s="447" t="s">
        <v>241</v>
      </c>
      <c r="F211" s="488" t="s">
        <v>236</v>
      </c>
      <c r="G211" s="489">
        <v>6.576796800000001E-2</v>
      </c>
      <c r="H211" s="489">
        <v>1</v>
      </c>
    </row>
    <row r="212" spans="2:8" hidden="1" outlineLevel="2">
      <c r="B212" s="373" t="s">
        <v>356</v>
      </c>
      <c r="C212" s="447" t="s">
        <v>356</v>
      </c>
      <c r="D212" s="443" t="s">
        <v>17</v>
      </c>
      <c r="E212" s="447" t="s">
        <v>241</v>
      </c>
      <c r="F212" s="488" t="s">
        <v>32</v>
      </c>
      <c r="G212" s="489">
        <v>4.3845312000000004E-2</v>
      </c>
      <c r="H212" s="489">
        <v>1</v>
      </c>
    </row>
    <row r="213" spans="2:8" ht="3" customHeight="1">
      <c r="B213" s="372"/>
      <c r="C213" s="372"/>
      <c r="D213" s="372"/>
      <c r="E213" s="372"/>
      <c r="F213" s="468"/>
      <c r="G213" s="474"/>
      <c r="H213" s="474"/>
    </row>
    <row r="214" spans="2:8" s="416" customFormat="1" ht="15.6" collapsed="1">
      <c r="B214" s="470" t="s">
        <v>444</v>
      </c>
      <c r="C214" s="471"/>
      <c r="D214" s="471"/>
      <c r="E214" s="471"/>
      <c r="F214" s="472"/>
      <c r="G214" s="473">
        <f>SUM(G216:G220)</f>
        <v>0</v>
      </c>
      <c r="H214" s="473">
        <f>SUM(H216:H220)</f>
        <v>11</v>
      </c>
    </row>
    <row r="215" spans="2:8" ht="3" hidden="1" customHeight="1" outlineLevel="1">
      <c r="B215" s="372"/>
      <c r="C215" s="372"/>
      <c r="D215" s="372"/>
      <c r="E215" s="372"/>
      <c r="F215" s="468"/>
      <c r="G215" s="474"/>
      <c r="H215" s="474"/>
    </row>
    <row r="216" spans="2:8" hidden="1" outlineLevel="1">
      <c r="B216" s="373" t="s">
        <v>173</v>
      </c>
      <c r="C216" s="447" t="s">
        <v>261</v>
      </c>
      <c r="D216" s="443" t="s">
        <v>17</v>
      </c>
      <c r="E216" s="447" t="s">
        <v>444</v>
      </c>
      <c r="F216" s="477" t="s">
        <v>264</v>
      </c>
      <c r="G216" s="478"/>
      <c r="H216" s="478">
        <v>3</v>
      </c>
    </row>
    <row r="217" spans="2:8" hidden="1" outlineLevel="1">
      <c r="B217" s="373" t="s">
        <v>265</v>
      </c>
      <c r="C217" s="447" t="s">
        <v>261</v>
      </c>
      <c r="D217" s="443" t="s">
        <v>17</v>
      </c>
      <c r="E217" s="447" t="s">
        <v>444</v>
      </c>
      <c r="F217" s="477" t="s">
        <v>266</v>
      </c>
      <c r="G217" s="478"/>
      <c r="H217" s="478">
        <v>3</v>
      </c>
    </row>
    <row r="218" spans="2:8" hidden="1" outlineLevel="1">
      <c r="B218" s="373" t="s">
        <v>267</v>
      </c>
      <c r="C218" s="447" t="s">
        <v>261</v>
      </c>
      <c r="D218" s="443" t="s">
        <v>17</v>
      </c>
      <c r="E218" s="447" t="s">
        <v>444</v>
      </c>
      <c r="F218" s="477" t="s">
        <v>268</v>
      </c>
      <c r="G218" s="478"/>
      <c r="H218" s="478">
        <v>2</v>
      </c>
    </row>
    <row r="219" spans="2:8" hidden="1" outlineLevel="1">
      <c r="B219" s="373" t="s">
        <v>269</v>
      </c>
      <c r="C219" s="447" t="s">
        <v>261</v>
      </c>
      <c r="D219" s="443" t="s">
        <v>17</v>
      </c>
      <c r="E219" s="447" t="s">
        <v>444</v>
      </c>
      <c r="F219" s="477" t="s">
        <v>270</v>
      </c>
      <c r="G219" s="478"/>
      <c r="H219" s="478">
        <v>1</v>
      </c>
    </row>
    <row r="220" spans="2:8" hidden="1" outlineLevel="1">
      <c r="B220" s="373" t="s">
        <v>271</v>
      </c>
      <c r="C220" s="447" t="s">
        <v>261</v>
      </c>
      <c r="D220" s="443" t="s">
        <v>17</v>
      </c>
      <c r="E220" s="447" t="s">
        <v>444</v>
      </c>
      <c r="F220" s="477" t="s">
        <v>272</v>
      </c>
      <c r="G220" s="478"/>
      <c r="H220" s="478">
        <v>2</v>
      </c>
    </row>
    <row r="221" spans="2:8" ht="3" customHeight="1">
      <c r="B221" s="372"/>
      <c r="C221" s="372"/>
      <c r="D221" s="372"/>
      <c r="E221" s="372"/>
      <c r="F221" s="468"/>
      <c r="G221" s="474"/>
      <c r="H221" s="474"/>
    </row>
    <row r="222" spans="2:8" s="416" customFormat="1" ht="15.6" collapsed="1">
      <c r="B222" s="470" t="s">
        <v>26</v>
      </c>
      <c r="C222" s="471"/>
      <c r="D222" s="471"/>
      <c r="E222" s="471"/>
      <c r="F222" s="472"/>
      <c r="G222" s="473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473">
        <f>SUM(H224,H226,H229,H245,H250,H254,H263,H267,H271,H283,H288,H291,H292,H298,H303,H305,H321,H328,H329,H330,H331,H333,H337,H338,H340,H342,H344,H346,H349,H351,H353,H357,H360,H362,H367,H368,H369,H370,H372,H374)</f>
        <v>113</v>
      </c>
    </row>
    <row r="223" spans="2:8" ht="3" hidden="1" customHeight="1" outlineLevel="1">
      <c r="B223" s="372"/>
      <c r="C223" s="372"/>
      <c r="D223" s="372"/>
      <c r="E223" s="372"/>
      <c r="F223" s="468"/>
      <c r="G223" s="474"/>
      <c r="H223" s="474"/>
    </row>
    <row r="224" spans="2:8" hidden="1" outlineLevel="1" collapsed="1">
      <c r="B224" s="390" t="s">
        <v>14</v>
      </c>
      <c r="C224" s="390" t="s">
        <v>18</v>
      </c>
      <c r="D224" s="390" t="s">
        <v>25</v>
      </c>
      <c r="E224" s="390" t="s">
        <v>26</v>
      </c>
      <c r="F224" s="475" t="s">
        <v>1860</v>
      </c>
      <c r="G224" s="490">
        <f>SUM(G225)</f>
        <v>5.2867302539999998E-3</v>
      </c>
      <c r="H224" s="490">
        <f>SUM(H225)</f>
        <v>1</v>
      </c>
    </row>
    <row r="225" spans="2:8" ht="26.4" hidden="1" outlineLevel="2">
      <c r="B225" s="373" t="s">
        <v>14</v>
      </c>
      <c r="C225" s="373" t="s">
        <v>18</v>
      </c>
      <c r="D225" s="373" t="s">
        <v>25</v>
      </c>
      <c r="E225" s="373" t="s">
        <v>26</v>
      </c>
      <c r="F225" s="491" t="s">
        <v>21</v>
      </c>
      <c r="G225" s="492">
        <v>5.2867302539999998E-3</v>
      </c>
      <c r="H225" s="492">
        <v>1</v>
      </c>
    </row>
    <row r="226" spans="2:8" hidden="1" outlineLevel="1" collapsed="1">
      <c r="B226" s="390" t="s">
        <v>14</v>
      </c>
      <c r="C226" s="390" t="s">
        <v>22</v>
      </c>
      <c r="D226" s="390" t="s">
        <v>25</v>
      </c>
      <c r="E226" s="390" t="s">
        <v>26</v>
      </c>
      <c r="F226" s="475" t="s">
        <v>1860</v>
      </c>
      <c r="G226" s="490">
        <f>SUM(G227:G228)</f>
        <v>1.6064216963956598E-2</v>
      </c>
      <c r="H226" s="490">
        <f>SUM(H227:H228)</f>
        <v>2</v>
      </c>
    </row>
    <row r="227" spans="2:8" hidden="1" outlineLevel="2">
      <c r="B227" s="373" t="s">
        <v>14</v>
      </c>
      <c r="C227" s="373" t="s">
        <v>22</v>
      </c>
      <c r="D227" s="373" t="s">
        <v>25</v>
      </c>
      <c r="E227" s="373" t="s">
        <v>26</v>
      </c>
      <c r="F227" s="491" t="s">
        <v>23</v>
      </c>
      <c r="G227" s="492">
        <v>1.0861267500000001E-2</v>
      </c>
      <c r="H227" s="492">
        <v>1</v>
      </c>
    </row>
    <row r="228" spans="2:8" hidden="1" outlineLevel="2">
      <c r="B228" s="373" t="s">
        <v>14</v>
      </c>
      <c r="C228" s="373" t="s">
        <v>22</v>
      </c>
      <c r="D228" s="373" t="s">
        <v>25</v>
      </c>
      <c r="E228" s="373" t="s">
        <v>26</v>
      </c>
      <c r="F228" s="491" t="s">
        <v>24</v>
      </c>
      <c r="G228" s="492">
        <v>5.2029494639565963E-3</v>
      </c>
      <c r="H228" s="492">
        <v>1</v>
      </c>
    </row>
    <row r="229" spans="2:8" hidden="1" outlineLevel="1" collapsed="1">
      <c r="B229" s="390" t="s">
        <v>14</v>
      </c>
      <c r="C229" s="390" t="s">
        <v>29</v>
      </c>
      <c r="D229" s="390" t="s">
        <v>25</v>
      </c>
      <c r="E229" s="390" t="s">
        <v>26</v>
      </c>
      <c r="F229" s="475" t="s">
        <v>1860</v>
      </c>
      <c r="G229" s="490">
        <f>SUM(G230:G244)</f>
        <v>0.35597209492231208</v>
      </c>
      <c r="H229" s="490">
        <f>SUM(H230:H244)</f>
        <v>15</v>
      </c>
    </row>
    <row r="230" spans="2:8" hidden="1" outlineLevel="2">
      <c r="B230" s="373" t="s">
        <v>14</v>
      </c>
      <c r="C230" s="373" t="s">
        <v>29</v>
      </c>
      <c r="D230" s="373" t="s">
        <v>25</v>
      </c>
      <c r="E230" s="373" t="s">
        <v>26</v>
      </c>
      <c r="F230" s="491" t="s">
        <v>31</v>
      </c>
      <c r="G230" s="492">
        <v>9.3421603890201377E-2</v>
      </c>
      <c r="H230" s="492">
        <v>1</v>
      </c>
    </row>
    <row r="231" spans="2:8" hidden="1" outlineLevel="2">
      <c r="B231" s="373" t="s">
        <v>14</v>
      </c>
      <c r="C231" s="373" t="s">
        <v>29</v>
      </c>
      <c r="D231" s="373" t="s">
        <v>25</v>
      </c>
      <c r="E231" s="373" t="s">
        <v>26</v>
      </c>
      <c r="F231" s="491" t="s">
        <v>33</v>
      </c>
      <c r="G231" s="492">
        <v>9.3421603890201377E-2</v>
      </c>
      <c r="H231" s="492">
        <v>1</v>
      </c>
    </row>
    <row r="232" spans="2:8" hidden="1" outlineLevel="2">
      <c r="B232" s="373" t="s">
        <v>14</v>
      </c>
      <c r="C232" s="373" t="s">
        <v>29</v>
      </c>
      <c r="D232" s="373" t="s">
        <v>25</v>
      </c>
      <c r="E232" s="373" t="s">
        <v>26</v>
      </c>
      <c r="F232" s="491" t="s">
        <v>46</v>
      </c>
      <c r="G232" s="492">
        <v>2.1106865436972901E-2</v>
      </c>
      <c r="H232" s="492">
        <v>1</v>
      </c>
    </row>
    <row r="233" spans="2:8" hidden="1" outlineLevel="2">
      <c r="B233" s="373" t="s">
        <v>14</v>
      </c>
      <c r="C233" s="373" t="s">
        <v>29</v>
      </c>
      <c r="D233" s="373" t="s">
        <v>25</v>
      </c>
      <c r="E233" s="373" t="s">
        <v>26</v>
      </c>
      <c r="F233" s="491" t="s">
        <v>47</v>
      </c>
      <c r="G233" s="492">
        <v>3.166029815545935E-2</v>
      </c>
      <c r="H233" s="492">
        <v>1</v>
      </c>
    </row>
    <row r="234" spans="2:8" hidden="1" outlineLevel="2">
      <c r="B234" s="373" t="s">
        <v>14</v>
      </c>
      <c r="C234" s="373" t="s">
        <v>29</v>
      </c>
      <c r="D234" s="373" t="s">
        <v>25</v>
      </c>
      <c r="E234" s="373" t="s">
        <v>26</v>
      </c>
      <c r="F234" s="491" t="s">
        <v>38</v>
      </c>
      <c r="G234" s="492">
        <v>5.2767163592432253E-3</v>
      </c>
      <c r="H234" s="492">
        <v>1</v>
      </c>
    </row>
    <row r="235" spans="2:8" hidden="1" outlineLevel="2">
      <c r="B235" s="373" t="s">
        <v>14</v>
      </c>
      <c r="C235" s="373" t="s">
        <v>29</v>
      </c>
      <c r="D235" s="373" t="s">
        <v>25</v>
      </c>
      <c r="E235" s="373" t="s">
        <v>26</v>
      </c>
      <c r="F235" s="491" t="s">
        <v>48</v>
      </c>
      <c r="G235" s="492">
        <v>2.1106865436972901E-2</v>
      </c>
      <c r="H235" s="492">
        <v>1</v>
      </c>
    </row>
    <row r="236" spans="2:8" hidden="1" outlineLevel="2">
      <c r="B236" s="373" t="s">
        <v>14</v>
      </c>
      <c r="C236" s="373" t="s">
        <v>29</v>
      </c>
      <c r="D236" s="373" t="s">
        <v>25</v>
      </c>
      <c r="E236" s="373" t="s">
        <v>26</v>
      </c>
      <c r="F236" s="491" t="s">
        <v>49</v>
      </c>
      <c r="G236" s="492">
        <v>3.166029815545935E-2</v>
      </c>
      <c r="H236" s="492">
        <v>1</v>
      </c>
    </row>
    <row r="237" spans="2:8" hidden="1" outlineLevel="2">
      <c r="B237" s="373" t="s">
        <v>14</v>
      </c>
      <c r="C237" s="373" t="s">
        <v>29</v>
      </c>
      <c r="D237" s="373" t="s">
        <v>25</v>
      </c>
      <c r="E237" s="373" t="s">
        <v>26</v>
      </c>
      <c r="F237" s="491" t="s">
        <v>40</v>
      </c>
      <c r="G237" s="492">
        <v>5.2767163592432253E-3</v>
      </c>
      <c r="H237" s="492">
        <v>1</v>
      </c>
    </row>
    <row r="238" spans="2:8" hidden="1" outlineLevel="2">
      <c r="B238" s="373" t="s">
        <v>14</v>
      </c>
      <c r="C238" s="373" t="s">
        <v>29</v>
      </c>
      <c r="D238" s="373" t="s">
        <v>25</v>
      </c>
      <c r="E238" s="373" t="s">
        <v>26</v>
      </c>
      <c r="F238" s="491" t="s">
        <v>50</v>
      </c>
      <c r="G238" s="492">
        <v>4.0000000000000001E-3</v>
      </c>
      <c r="H238" s="492">
        <v>1</v>
      </c>
    </row>
    <row r="239" spans="2:8" hidden="1" outlineLevel="2">
      <c r="B239" s="373" t="s">
        <v>14</v>
      </c>
      <c r="C239" s="373" t="s">
        <v>29</v>
      </c>
      <c r="D239" s="373" t="s">
        <v>25</v>
      </c>
      <c r="E239" s="373" t="s">
        <v>26</v>
      </c>
      <c r="F239" s="491" t="s">
        <v>51</v>
      </c>
      <c r="G239" s="492">
        <v>7.0000000000000001E-3</v>
      </c>
      <c r="H239" s="492">
        <v>1</v>
      </c>
    </row>
    <row r="240" spans="2:8" hidden="1" outlineLevel="2">
      <c r="B240" s="373" t="s">
        <v>14</v>
      </c>
      <c r="C240" s="373" t="s">
        <v>29</v>
      </c>
      <c r="D240" s="373" t="s">
        <v>25</v>
      </c>
      <c r="E240" s="373" t="s">
        <v>26</v>
      </c>
      <c r="F240" s="491" t="s">
        <v>41</v>
      </c>
      <c r="G240" s="492">
        <v>1E-3</v>
      </c>
      <c r="H240" s="492">
        <v>1</v>
      </c>
    </row>
    <row r="241" spans="2:8" hidden="1" outlineLevel="2">
      <c r="B241" s="373" t="s">
        <v>14</v>
      </c>
      <c r="C241" s="373" t="s">
        <v>29</v>
      </c>
      <c r="D241" s="373" t="s">
        <v>25</v>
      </c>
      <c r="E241" s="373" t="s">
        <v>26</v>
      </c>
      <c r="F241" s="491" t="s">
        <v>42</v>
      </c>
      <c r="G241" s="492">
        <v>2.3452072707747665E-3</v>
      </c>
      <c r="H241" s="492">
        <v>1</v>
      </c>
    </row>
    <row r="242" spans="2:8" hidden="1" outlineLevel="2">
      <c r="B242" s="373" t="s">
        <v>14</v>
      </c>
      <c r="C242" s="373" t="s">
        <v>29</v>
      </c>
      <c r="D242" s="373" t="s">
        <v>25</v>
      </c>
      <c r="E242" s="373" t="s">
        <v>26</v>
      </c>
      <c r="F242" s="491" t="s">
        <v>52</v>
      </c>
      <c r="G242" s="492">
        <v>1.4071243624648597E-2</v>
      </c>
      <c r="H242" s="492">
        <v>1</v>
      </c>
    </row>
    <row r="243" spans="2:8" hidden="1" outlineLevel="2">
      <c r="B243" s="373" t="s">
        <v>14</v>
      </c>
      <c r="C243" s="373" t="s">
        <v>29</v>
      </c>
      <c r="D243" s="373" t="s">
        <v>25</v>
      </c>
      <c r="E243" s="373" t="s">
        <v>26</v>
      </c>
      <c r="F243" s="491" t="s">
        <v>53</v>
      </c>
      <c r="G243" s="492">
        <v>2.1106865436972894E-2</v>
      </c>
      <c r="H243" s="492">
        <v>1</v>
      </c>
    </row>
    <row r="244" spans="2:8" hidden="1" outlineLevel="2">
      <c r="B244" s="373" t="s">
        <v>14</v>
      </c>
      <c r="C244" s="373" t="s">
        <v>29</v>
      </c>
      <c r="D244" s="373" t="s">
        <v>25</v>
      </c>
      <c r="E244" s="373" t="s">
        <v>26</v>
      </c>
      <c r="F244" s="491" t="s">
        <v>43</v>
      </c>
      <c r="G244" s="492">
        <v>3.5178109061621493E-3</v>
      </c>
      <c r="H244" s="492">
        <v>1</v>
      </c>
    </row>
    <row r="245" spans="2:8" hidden="1" outlineLevel="1" collapsed="1">
      <c r="B245" s="390" t="s">
        <v>62</v>
      </c>
      <c r="C245" s="390" t="s">
        <v>63</v>
      </c>
      <c r="D245" s="390" t="s">
        <v>25</v>
      </c>
      <c r="E245" s="390" t="s">
        <v>26</v>
      </c>
      <c r="F245" s="475" t="s">
        <v>1864</v>
      </c>
      <c r="G245" s="490">
        <f>SUM(G246:G249)</f>
        <v>0.41389850293631264</v>
      </c>
      <c r="H245" s="490">
        <f>SUM(H246:H249)</f>
        <v>4</v>
      </c>
    </row>
    <row r="246" spans="2:8" hidden="1" outlineLevel="2">
      <c r="B246" s="373" t="s">
        <v>62</v>
      </c>
      <c r="C246" s="373" t="s">
        <v>63</v>
      </c>
      <c r="D246" s="373" t="s">
        <v>25</v>
      </c>
      <c r="E246" s="373" t="s">
        <v>26</v>
      </c>
      <c r="F246" s="491" t="s">
        <v>67</v>
      </c>
      <c r="G246" s="492">
        <v>0.12911355532138755</v>
      </c>
      <c r="H246" s="492">
        <v>1</v>
      </c>
    </row>
    <row r="247" spans="2:8" hidden="1" outlineLevel="2">
      <c r="B247" s="373" t="s">
        <v>62</v>
      </c>
      <c r="C247" s="373" t="s">
        <v>63</v>
      </c>
      <c r="D247" s="373" t="s">
        <v>25</v>
      </c>
      <c r="E247" s="373" t="s">
        <v>26</v>
      </c>
      <c r="F247" s="491" t="s">
        <v>68</v>
      </c>
      <c r="G247" s="492">
        <v>0.25822711064277509</v>
      </c>
      <c r="H247" s="492">
        <v>1</v>
      </c>
    </row>
    <row r="248" spans="2:8" hidden="1" outlineLevel="2">
      <c r="B248" s="373" t="s">
        <v>62</v>
      </c>
      <c r="C248" s="373" t="s">
        <v>63</v>
      </c>
      <c r="D248" s="373" t="s">
        <v>25</v>
      </c>
      <c r="E248" s="373" t="s">
        <v>26</v>
      </c>
      <c r="F248" s="491" t="s">
        <v>65</v>
      </c>
      <c r="G248" s="492">
        <v>1.4486092893899998E-2</v>
      </c>
      <c r="H248" s="492">
        <v>1</v>
      </c>
    </row>
    <row r="249" spans="2:8" hidden="1" outlineLevel="2">
      <c r="B249" s="373" t="s">
        <v>62</v>
      </c>
      <c r="C249" s="373" t="s">
        <v>63</v>
      </c>
      <c r="D249" s="373" t="s">
        <v>25</v>
      </c>
      <c r="E249" s="373" t="s">
        <v>26</v>
      </c>
      <c r="F249" s="491" t="s">
        <v>23</v>
      </c>
      <c r="G249" s="492">
        <v>1.2071744078249999E-2</v>
      </c>
      <c r="H249" s="492">
        <v>1</v>
      </c>
    </row>
    <row r="250" spans="2:8" hidden="1" outlineLevel="1" collapsed="1">
      <c r="B250" s="390" t="s">
        <v>74</v>
      </c>
      <c r="C250" s="390" t="s">
        <v>75</v>
      </c>
      <c r="D250" s="390" t="s">
        <v>25</v>
      </c>
      <c r="E250" s="390" t="s">
        <v>26</v>
      </c>
      <c r="F250" s="475" t="s">
        <v>1861</v>
      </c>
      <c r="G250" s="490">
        <f>SUM(G251:G253)</f>
        <v>0.36</v>
      </c>
      <c r="H250" s="490">
        <f>SUM(H251:H253)</f>
        <v>3</v>
      </c>
    </row>
    <row r="251" spans="2:8" hidden="1" outlineLevel="2">
      <c r="B251" s="373" t="s">
        <v>74</v>
      </c>
      <c r="C251" s="373" t="s">
        <v>75</v>
      </c>
      <c r="D251" s="373" t="s">
        <v>25</v>
      </c>
      <c r="E251" s="373" t="s">
        <v>26</v>
      </c>
      <c r="F251" s="491" t="s">
        <v>86</v>
      </c>
      <c r="G251" s="492">
        <v>0.19</v>
      </c>
      <c r="H251" s="492">
        <v>1</v>
      </c>
    </row>
    <row r="252" spans="2:8" hidden="1" outlineLevel="2">
      <c r="B252" s="373" t="s">
        <v>74</v>
      </c>
      <c r="C252" s="373" t="s">
        <v>75</v>
      </c>
      <c r="D252" s="373" t="s">
        <v>25</v>
      </c>
      <c r="E252" s="373" t="s">
        <v>26</v>
      </c>
      <c r="F252" s="491" t="s">
        <v>87</v>
      </c>
      <c r="G252" s="492">
        <v>0.16</v>
      </c>
      <c r="H252" s="492">
        <v>1</v>
      </c>
    </row>
    <row r="253" spans="2:8" hidden="1" outlineLevel="2">
      <c r="B253" s="373" t="s">
        <v>74</v>
      </c>
      <c r="C253" s="373" t="s">
        <v>75</v>
      </c>
      <c r="D253" s="373" t="s">
        <v>25</v>
      </c>
      <c r="E253" s="373" t="s">
        <v>26</v>
      </c>
      <c r="F253" s="491" t="s">
        <v>88</v>
      </c>
      <c r="G253" s="492">
        <v>0.01</v>
      </c>
      <c r="H253" s="492">
        <v>1</v>
      </c>
    </row>
    <row r="254" spans="2:8" hidden="1" outlineLevel="1" collapsed="1">
      <c r="B254" s="390" t="s">
        <v>91</v>
      </c>
      <c r="C254" s="390" t="s">
        <v>92</v>
      </c>
      <c r="D254" s="390" t="s">
        <v>25</v>
      </c>
      <c r="E254" s="390" t="s">
        <v>26</v>
      </c>
      <c r="F254" s="475" t="s">
        <v>1862</v>
      </c>
      <c r="G254" s="490">
        <f>SUM(G255:G262)</f>
        <v>2.1</v>
      </c>
      <c r="H254" s="490">
        <f>SUM(H255:H262)</f>
        <v>8</v>
      </c>
    </row>
    <row r="255" spans="2:8" hidden="1" outlineLevel="2">
      <c r="B255" s="373" t="s">
        <v>91</v>
      </c>
      <c r="C255" s="373" t="s">
        <v>92</v>
      </c>
      <c r="D255" s="373" t="s">
        <v>25</v>
      </c>
      <c r="E255" s="373" t="s">
        <v>26</v>
      </c>
      <c r="F255" s="491" t="s">
        <v>103</v>
      </c>
      <c r="G255" s="492">
        <v>0.2</v>
      </c>
      <c r="H255" s="492">
        <v>1</v>
      </c>
    </row>
    <row r="256" spans="2:8" hidden="1" outlineLevel="2">
      <c r="B256" s="373" t="s">
        <v>91</v>
      </c>
      <c r="C256" s="373" t="s">
        <v>92</v>
      </c>
      <c r="D256" s="373" t="s">
        <v>25</v>
      </c>
      <c r="E256" s="373" t="s">
        <v>26</v>
      </c>
      <c r="F256" s="491" t="s">
        <v>104</v>
      </c>
      <c r="G256" s="492">
        <v>0.4</v>
      </c>
      <c r="H256" s="492">
        <v>1</v>
      </c>
    </row>
    <row r="257" spans="2:8" hidden="1" outlineLevel="2">
      <c r="B257" s="373" t="s">
        <v>91</v>
      </c>
      <c r="C257" s="373" t="s">
        <v>92</v>
      </c>
      <c r="D257" s="373" t="s">
        <v>25</v>
      </c>
      <c r="E257" s="373" t="s">
        <v>26</v>
      </c>
      <c r="F257" s="491" t="s">
        <v>109</v>
      </c>
      <c r="G257" s="492">
        <v>0.32</v>
      </c>
      <c r="H257" s="492">
        <v>1</v>
      </c>
    </row>
    <row r="258" spans="2:8" hidden="1" outlineLevel="2">
      <c r="B258" s="373" t="s">
        <v>91</v>
      </c>
      <c r="C258" s="373" t="s">
        <v>92</v>
      </c>
      <c r="D258" s="373" t="s">
        <v>25</v>
      </c>
      <c r="E258" s="373" t="s">
        <v>26</v>
      </c>
      <c r="F258" s="491" t="s">
        <v>110</v>
      </c>
      <c r="G258" s="492">
        <v>0.32</v>
      </c>
      <c r="H258" s="492">
        <v>1</v>
      </c>
    </row>
    <row r="259" spans="2:8" hidden="1" outlineLevel="2">
      <c r="B259" s="373" t="s">
        <v>91</v>
      </c>
      <c r="C259" s="373" t="s">
        <v>92</v>
      </c>
      <c r="D259" s="373" t="s">
        <v>25</v>
      </c>
      <c r="E259" s="373" t="s">
        <v>26</v>
      </c>
      <c r="F259" s="491" t="s">
        <v>111</v>
      </c>
      <c r="G259" s="492">
        <v>0.43</v>
      </c>
      <c r="H259" s="492">
        <v>1</v>
      </c>
    </row>
    <row r="260" spans="2:8" hidden="1" outlineLevel="2">
      <c r="B260" s="373" t="s">
        <v>91</v>
      </c>
      <c r="C260" s="373" t="s">
        <v>92</v>
      </c>
      <c r="D260" s="373" t="s">
        <v>25</v>
      </c>
      <c r="E260" s="373" t="s">
        <v>26</v>
      </c>
      <c r="F260" s="491" t="s">
        <v>86</v>
      </c>
      <c r="G260" s="492">
        <v>0.02</v>
      </c>
      <c r="H260" s="492">
        <v>1</v>
      </c>
    </row>
    <row r="261" spans="2:8" hidden="1" outlineLevel="2">
      <c r="B261" s="373" t="s">
        <v>91</v>
      </c>
      <c r="C261" s="373" t="s">
        <v>92</v>
      </c>
      <c r="D261" s="373" t="s">
        <v>25</v>
      </c>
      <c r="E261" s="373" t="s">
        <v>26</v>
      </c>
      <c r="F261" s="491" t="s">
        <v>87</v>
      </c>
      <c r="G261" s="492">
        <v>0.01</v>
      </c>
      <c r="H261" s="492">
        <v>1</v>
      </c>
    </row>
    <row r="262" spans="2:8" hidden="1" outlineLevel="2">
      <c r="B262" s="373" t="s">
        <v>91</v>
      </c>
      <c r="C262" s="373" t="s">
        <v>92</v>
      </c>
      <c r="D262" s="373" t="s">
        <v>25</v>
      </c>
      <c r="E262" s="373" t="s">
        <v>26</v>
      </c>
      <c r="F262" s="491" t="s">
        <v>276</v>
      </c>
      <c r="G262" s="492">
        <v>0.4</v>
      </c>
      <c r="H262" s="492">
        <v>1</v>
      </c>
    </row>
    <row r="263" spans="2:8" hidden="1" outlineLevel="1" collapsed="1">
      <c r="B263" s="390" t="s">
        <v>120</v>
      </c>
      <c r="C263" s="390" t="s">
        <v>121</v>
      </c>
      <c r="D263" s="390" t="s">
        <v>25</v>
      </c>
      <c r="E263" s="390" t="s">
        <v>26</v>
      </c>
      <c r="F263" s="475" t="s">
        <v>1848</v>
      </c>
      <c r="G263" s="490">
        <f>SUM(G264:G266)</f>
        <v>8.4072167695988034E-2</v>
      </c>
      <c r="H263" s="490">
        <f>SUM(H264:H266)</f>
        <v>3</v>
      </c>
    </row>
    <row r="264" spans="2:8" hidden="1" outlineLevel="2">
      <c r="B264" s="373" t="s">
        <v>120</v>
      </c>
      <c r="C264" s="373" t="s">
        <v>121</v>
      </c>
      <c r="D264" s="373" t="s">
        <v>25</v>
      </c>
      <c r="E264" s="373" t="s">
        <v>26</v>
      </c>
      <c r="F264" s="491" t="s">
        <v>122</v>
      </c>
      <c r="G264" s="492">
        <v>6.0248605439999423E-2</v>
      </c>
      <c r="H264" s="492">
        <v>1</v>
      </c>
    </row>
    <row r="265" spans="2:8" hidden="1" outlineLevel="2">
      <c r="B265" s="373" t="s">
        <v>120</v>
      </c>
      <c r="C265" s="373" t="s">
        <v>121</v>
      </c>
      <c r="D265" s="373" t="s">
        <v>25</v>
      </c>
      <c r="E265" s="373" t="s">
        <v>26</v>
      </c>
      <c r="F265" s="491" t="s">
        <v>123</v>
      </c>
      <c r="G265" s="492">
        <v>1.1911781127994301E-2</v>
      </c>
      <c r="H265" s="492">
        <v>1</v>
      </c>
    </row>
    <row r="266" spans="2:8" hidden="1" outlineLevel="2">
      <c r="B266" s="373" t="s">
        <v>120</v>
      </c>
      <c r="C266" s="373" t="s">
        <v>121</v>
      </c>
      <c r="D266" s="373" t="s">
        <v>25</v>
      </c>
      <c r="E266" s="373" t="s">
        <v>26</v>
      </c>
      <c r="F266" s="491" t="s">
        <v>124</v>
      </c>
      <c r="G266" s="492">
        <v>1.1911781127994301E-2</v>
      </c>
      <c r="H266" s="492">
        <v>1</v>
      </c>
    </row>
    <row r="267" spans="2:8" hidden="1" outlineLevel="1" collapsed="1">
      <c r="B267" s="390" t="s">
        <v>125</v>
      </c>
      <c r="C267" s="390" t="s">
        <v>126</v>
      </c>
      <c r="D267" s="390" t="s">
        <v>25</v>
      </c>
      <c r="E267" s="390" t="s">
        <v>26</v>
      </c>
      <c r="F267" s="475" t="s">
        <v>1849</v>
      </c>
      <c r="G267" s="490">
        <f>SUM(G268:G270)</f>
        <v>0.16918995130000003</v>
      </c>
      <c r="H267" s="490">
        <f>SUM(H268:H270)</f>
        <v>3</v>
      </c>
    </row>
    <row r="268" spans="2:8" hidden="1" outlineLevel="2">
      <c r="B268" s="373" t="s">
        <v>125</v>
      </c>
      <c r="C268" s="373" t="s">
        <v>126</v>
      </c>
      <c r="D268" s="373" t="s">
        <v>25</v>
      </c>
      <c r="E268" s="373" t="s">
        <v>26</v>
      </c>
      <c r="F268" s="491" t="s">
        <v>128</v>
      </c>
      <c r="G268" s="492">
        <v>7.0000000000000007E-2</v>
      </c>
      <c r="H268" s="492">
        <v>1</v>
      </c>
    </row>
    <row r="269" spans="2:8" hidden="1" outlineLevel="2">
      <c r="B269" s="373" t="s">
        <v>125</v>
      </c>
      <c r="C269" s="373" t="s">
        <v>126</v>
      </c>
      <c r="D269" s="373" t="s">
        <v>25</v>
      </c>
      <c r="E269" s="373" t="s">
        <v>26</v>
      </c>
      <c r="F269" s="491" t="s">
        <v>122</v>
      </c>
      <c r="G269" s="492">
        <v>5.4103609800000001E-2</v>
      </c>
      <c r="H269" s="492">
        <v>1</v>
      </c>
    </row>
    <row r="270" spans="2:8" hidden="1" outlineLevel="2">
      <c r="B270" s="373" t="s">
        <v>125</v>
      </c>
      <c r="C270" s="373" t="s">
        <v>126</v>
      </c>
      <c r="D270" s="373" t="s">
        <v>25</v>
      </c>
      <c r="E270" s="373" t="s">
        <v>26</v>
      </c>
      <c r="F270" s="491" t="s">
        <v>129</v>
      </c>
      <c r="G270" s="492">
        <v>4.5086341500000002E-2</v>
      </c>
      <c r="H270" s="492">
        <v>1</v>
      </c>
    </row>
    <row r="271" spans="2:8" hidden="1" outlineLevel="1" collapsed="1">
      <c r="B271" s="390" t="s">
        <v>130</v>
      </c>
      <c r="C271" s="390" t="s">
        <v>131</v>
      </c>
      <c r="D271" s="390" t="s">
        <v>25</v>
      </c>
      <c r="E271" s="390" t="s">
        <v>26</v>
      </c>
      <c r="F271" s="475" t="s">
        <v>1850</v>
      </c>
      <c r="G271" s="490">
        <f>SUM(G272:G282)</f>
        <v>1.1200000000000001</v>
      </c>
      <c r="H271" s="490">
        <f>SUM(H272:H282)</f>
        <v>11</v>
      </c>
    </row>
    <row r="272" spans="2:8" hidden="1" outlineLevel="2">
      <c r="B272" s="373" t="s">
        <v>130</v>
      </c>
      <c r="C272" s="373" t="s">
        <v>131</v>
      </c>
      <c r="D272" s="373" t="s">
        <v>25</v>
      </c>
      <c r="E272" s="373" t="s">
        <v>26</v>
      </c>
      <c r="F272" s="491" t="s">
        <v>147</v>
      </c>
      <c r="G272" s="492">
        <v>7.0000000000000007E-2</v>
      </c>
      <c r="H272" s="492">
        <v>1</v>
      </c>
    </row>
    <row r="273" spans="2:8" hidden="1" outlineLevel="2">
      <c r="B273" s="373" t="s">
        <v>130</v>
      </c>
      <c r="C273" s="373" t="s">
        <v>131</v>
      </c>
      <c r="D273" s="373" t="s">
        <v>25</v>
      </c>
      <c r="E273" s="373" t="s">
        <v>26</v>
      </c>
      <c r="F273" s="491" t="s">
        <v>148</v>
      </c>
      <c r="G273" s="492">
        <v>7.0000000000000007E-2</v>
      </c>
      <c r="H273" s="492">
        <v>1</v>
      </c>
    </row>
    <row r="274" spans="2:8" hidden="1" outlineLevel="2">
      <c r="B274" s="373" t="s">
        <v>130</v>
      </c>
      <c r="C274" s="373" t="s">
        <v>131</v>
      </c>
      <c r="D274" s="373" t="s">
        <v>25</v>
      </c>
      <c r="E274" s="373" t="s">
        <v>26</v>
      </c>
      <c r="F274" s="491" t="s">
        <v>149</v>
      </c>
      <c r="G274" s="492">
        <v>7.0000000000000007E-2</v>
      </c>
      <c r="H274" s="492">
        <v>1</v>
      </c>
    </row>
    <row r="275" spans="2:8" hidden="1" outlineLevel="2">
      <c r="B275" s="373" t="s">
        <v>130</v>
      </c>
      <c r="C275" s="373" t="s">
        <v>131</v>
      </c>
      <c r="D275" s="373" t="s">
        <v>25</v>
      </c>
      <c r="E275" s="373" t="s">
        <v>26</v>
      </c>
      <c r="F275" s="491" t="s">
        <v>150</v>
      </c>
      <c r="G275" s="492">
        <v>7.0000000000000007E-2</v>
      </c>
      <c r="H275" s="492">
        <v>1</v>
      </c>
    </row>
    <row r="276" spans="2:8" hidden="1" outlineLevel="2">
      <c r="B276" s="373" t="s">
        <v>130</v>
      </c>
      <c r="C276" s="373" t="s">
        <v>131</v>
      </c>
      <c r="D276" s="373" t="s">
        <v>25</v>
      </c>
      <c r="E276" s="373" t="s">
        <v>26</v>
      </c>
      <c r="F276" s="491" t="s">
        <v>151</v>
      </c>
      <c r="G276" s="492">
        <v>7.0000000000000007E-2</v>
      </c>
      <c r="H276" s="492">
        <v>1</v>
      </c>
    </row>
    <row r="277" spans="2:8" hidden="1" outlineLevel="2">
      <c r="B277" s="373" t="s">
        <v>130</v>
      </c>
      <c r="C277" s="373" t="s">
        <v>131</v>
      </c>
      <c r="D277" s="373" t="s">
        <v>25</v>
      </c>
      <c r="E277" s="373" t="s">
        <v>26</v>
      </c>
      <c r="F277" s="491" t="s">
        <v>152</v>
      </c>
      <c r="G277" s="492">
        <v>7.0000000000000007E-2</v>
      </c>
      <c r="H277" s="492">
        <v>1</v>
      </c>
    </row>
    <row r="278" spans="2:8" hidden="1" outlineLevel="2">
      <c r="B278" s="373" t="s">
        <v>130</v>
      </c>
      <c r="C278" s="373" t="s">
        <v>131</v>
      </c>
      <c r="D278" s="373" t="s">
        <v>25</v>
      </c>
      <c r="E278" s="373" t="s">
        <v>26</v>
      </c>
      <c r="F278" s="491" t="s">
        <v>153</v>
      </c>
      <c r="G278" s="492">
        <v>0.13</v>
      </c>
      <c r="H278" s="492">
        <v>1</v>
      </c>
    </row>
    <row r="279" spans="2:8" hidden="1" outlineLevel="2">
      <c r="B279" s="373" t="s">
        <v>130</v>
      </c>
      <c r="C279" s="373" t="s">
        <v>131</v>
      </c>
      <c r="D279" s="373" t="s">
        <v>25</v>
      </c>
      <c r="E279" s="373" t="s">
        <v>26</v>
      </c>
      <c r="F279" s="491" t="s">
        <v>154</v>
      </c>
      <c r="G279" s="492">
        <v>0.18</v>
      </c>
      <c r="H279" s="492">
        <v>1</v>
      </c>
    </row>
    <row r="280" spans="2:8" hidden="1" outlineLevel="2">
      <c r="B280" s="373" t="s">
        <v>130</v>
      </c>
      <c r="C280" s="373" t="s">
        <v>131</v>
      </c>
      <c r="D280" s="373" t="s">
        <v>25</v>
      </c>
      <c r="E280" s="373" t="s">
        <v>26</v>
      </c>
      <c r="F280" s="491" t="s">
        <v>155</v>
      </c>
      <c r="G280" s="492">
        <v>0.13</v>
      </c>
      <c r="H280" s="492">
        <v>1</v>
      </c>
    </row>
    <row r="281" spans="2:8" hidden="1" outlineLevel="2">
      <c r="B281" s="373" t="s">
        <v>130</v>
      </c>
      <c r="C281" s="373" t="s">
        <v>131</v>
      </c>
      <c r="D281" s="373" t="s">
        <v>25</v>
      </c>
      <c r="E281" s="373" t="s">
        <v>26</v>
      </c>
      <c r="F281" s="491" t="s">
        <v>156</v>
      </c>
      <c r="G281" s="492">
        <v>0.13</v>
      </c>
      <c r="H281" s="492">
        <v>1</v>
      </c>
    </row>
    <row r="282" spans="2:8" hidden="1" outlineLevel="2">
      <c r="B282" s="373" t="s">
        <v>130</v>
      </c>
      <c r="C282" s="373" t="s">
        <v>131</v>
      </c>
      <c r="D282" s="373" t="s">
        <v>25</v>
      </c>
      <c r="E282" s="373" t="s">
        <v>26</v>
      </c>
      <c r="F282" s="491" t="s">
        <v>143</v>
      </c>
      <c r="G282" s="492">
        <v>0.13</v>
      </c>
      <c r="H282" s="492">
        <v>1</v>
      </c>
    </row>
    <row r="283" spans="2:8" hidden="1" outlineLevel="1" collapsed="1">
      <c r="B283" s="390" t="s">
        <v>160</v>
      </c>
      <c r="C283" s="390" t="s">
        <v>22</v>
      </c>
      <c r="D283" s="390" t="s">
        <v>25</v>
      </c>
      <c r="E283" s="390" t="s">
        <v>26</v>
      </c>
      <c r="F283" s="475" t="s">
        <v>1851</v>
      </c>
      <c r="G283" s="490">
        <f>SUM(G284:G287)</f>
        <v>0.28480034280014982</v>
      </c>
      <c r="H283" s="490">
        <f>SUM(H284:H287)</f>
        <v>4</v>
      </c>
    </row>
    <row r="284" spans="2:8" hidden="1" outlineLevel="2">
      <c r="B284" s="373" t="s">
        <v>160</v>
      </c>
      <c r="C284" s="373" t="s">
        <v>22</v>
      </c>
      <c r="D284" s="373" t="s">
        <v>25</v>
      </c>
      <c r="E284" s="373" t="s">
        <v>26</v>
      </c>
      <c r="F284" s="491" t="s">
        <v>166</v>
      </c>
      <c r="G284" s="492">
        <v>9.7617811500000009E-3</v>
      </c>
      <c r="H284" s="492">
        <v>1</v>
      </c>
    </row>
    <row r="285" spans="2:8" hidden="1" outlineLevel="2">
      <c r="B285" s="373" t="s">
        <v>160</v>
      </c>
      <c r="C285" s="373" t="s">
        <v>22</v>
      </c>
      <c r="D285" s="373" t="s">
        <v>25</v>
      </c>
      <c r="E285" s="373" t="s">
        <v>26</v>
      </c>
      <c r="F285" s="491" t="s">
        <v>163</v>
      </c>
      <c r="G285" s="492">
        <v>3.9047124600000004E-2</v>
      </c>
      <c r="H285" s="492">
        <v>1</v>
      </c>
    </row>
    <row r="286" spans="2:8" hidden="1" outlineLevel="2">
      <c r="B286" s="373" t="s">
        <v>160</v>
      </c>
      <c r="C286" s="373" t="s">
        <v>22</v>
      </c>
      <c r="D286" s="373" t="s">
        <v>25</v>
      </c>
      <c r="E286" s="373" t="s">
        <v>26</v>
      </c>
      <c r="F286" s="491" t="s">
        <v>164</v>
      </c>
      <c r="G286" s="492">
        <v>0.11799571852507491</v>
      </c>
      <c r="H286" s="492">
        <v>1</v>
      </c>
    </row>
    <row r="287" spans="2:8" hidden="1" outlineLevel="2">
      <c r="B287" s="373" t="s">
        <v>160</v>
      </c>
      <c r="C287" s="373" t="s">
        <v>22</v>
      </c>
      <c r="D287" s="373" t="s">
        <v>25</v>
      </c>
      <c r="E287" s="373" t="s">
        <v>26</v>
      </c>
      <c r="F287" s="491" t="s">
        <v>165</v>
      </c>
      <c r="G287" s="492">
        <v>0.11799571852507491</v>
      </c>
      <c r="H287" s="492">
        <v>1</v>
      </c>
    </row>
    <row r="288" spans="2:8" hidden="1" outlineLevel="1" collapsed="1">
      <c r="B288" s="390" t="s">
        <v>296</v>
      </c>
      <c r="C288" s="390" t="s">
        <v>297</v>
      </c>
      <c r="D288" s="390" t="s">
        <v>25</v>
      </c>
      <c r="E288" s="390" t="s">
        <v>26</v>
      </c>
      <c r="F288" s="475" t="s">
        <v>1852</v>
      </c>
      <c r="G288" s="490">
        <f>SUM(G289:G291)</f>
        <v>3.257897459827789</v>
      </c>
      <c r="H288" s="490">
        <f>SUM(H289:H291)</f>
        <v>2</v>
      </c>
    </row>
    <row r="289" spans="2:8" hidden="1" outlineLevel="2">
      <c r="B289" s="373" t="s">
        <v>296</v>
      </c>
      <c r="C289" s="373" t="s">
        <v>297</v>
      </c>
      <c r="D289" s="373" t="s">
        <v>25</v>
      </c>
      <c r="E289" s="373" t="s">
        <v>26</v>
      </c>
      <c r="F289" s="491" t="s">
        <v>31</v>
      </c>
      <c r="G289" s="492">
        <v>1.3962417684976238</v>
      </c>
      <c r="H289" s="492">
        <v>1</v>
      </c>
    </row>
    <row r="290" spans="2:8" hidden="1" outlineLevel="2">
      <c r="B290" s="373" t="s">
        <v>296</v>
      </c>
      <c r="C290" s="373" t="s">
        <v>297</v>
      </c>
      <c r="D290" s="373" t="s">
        <v>25</v>
      </c>
      <c r="E290" s="373" t="s">
        <v>26</v>
      </c>
      <c r="F290" s="491" t="s">
        <v>33</v>
      </c>
      <c r="G290" s="492">
        <v>1.8616556913301652</v>
      </c>
      <c r="H290" s="492">
        <v>1</v>
      </c>
    </row>
    <row r="291" spans="2:8" hidden="1" outlineLevel="1">
      <c r="B291" s="373" t="s">
        <v>278</v>
      </c>
      <c r="C291" s="373" t="s">
        <v>279</v>
      </c>
      <c r="D291" s="373" t="s">
        <v>25</v>
      </c>
      <c r="E291" s="373" t="s">
        <v>26</v>
      </c>
      <c r="F291" s="475" t="s">
        <v>1934</v>
      </c>
      <c r="G291" s="492">
        <v>0</v>
      </c>
      <c r="H291" s="492">
        <v>0</v>
      </c>
    </row>
    <row r="292" spans="2:8" hidden="1" outlineLevel="1" collapsed="1">
      <c r="B292" s="390" t="s">
        <v>167</v>
      </c>
      <c r="C292" s="390" t="s">
        <v>121</v>
      </c>
      <c r="D292" s="390" t="s">
        <v>25</v>
      </c>
      <c r="E292" s="390" t="s">
        <v>26</v>
      </c>
      <c r="F292" s="475" t="s">
        <v>1853</v>
      </c>
      <c r="G292" s="490">
        <f>SUM(G293:G297)</f>
        <v>0.38000000000000006</v>
      </c>
      <c r="H292" s="490">
        <f>SUM(H293:H297)</f>
        <v>5</v>
      </c>
    </row>
    <row r="293" spans="2:8" hidden="1" outlineLevel="2">
      <c r="B293" s="373" t="s">
        <v>167</v>
      </c>
      <c r="C293" s="373" t="s">
        <v>121</v>
      </c>
      <c r="D293" s="373" t="s">
        <v>25</v>
      </c>
      <c r="E293" s="373" t="s">
        <v>26</v>
      </c>
      <c r="F293" s="491" t="s">
        <v>170</v>
      </c>
      <c r="G293" s="492">
        <v>0.08</v>
      </c>
      <c r="H293" s="492">
        <v>1</v>
      </c>
    </row>
    <row r="294" spans="2:8" hidden="1" outlineLevel="2">
      <c r="B294" s="373" t="s">
        <v>167</v>
      </c>
      <c r="C294" s="373" t="s">
        <v>121</v>
      </c>
      <c r="D294" s="373" t="s">
        <v>25</v>
      </c>
      <c r="E294" s="373" t="s">
        <v>26</v>
      </c>
      <c r="F294" s="491" t="s">
        <v>171</v>
      </c>
      <c r="G294" s="492">
        <v>0.17</v>
      </c>
      <c r="H294" s="492">
        <v>1</v>
      </c>
    </row>
    <row r="295" spans="2:8" hidden="1" outlineLevel="2">
      <c r="B295" s="373" t="s">
        <v>167</v>
      </c>
      <c r="C295" s="373" t="s">
        <v>121</v>
      </c>
      <c r="D295" s="373" t="s">
        <v>25</v>
      </c>
      <c r="E295" s="373" t="s">
        <v>26</v>
      </c>
      <c r="F295" s="491" t="s">
        <v>122</v>
      </c>
      <c r="G295" s="492">
        <v>0.03</v>
      </c>
      <c r="H295" s="492">
        <v>1</v>
      </c>
    </row>
    <row r="296" spans="2:8" hidden="1" outlineLevel="2">
      <c r="B296" s="373" t="s">
        <v>167</v>
      </c>
      <c r="C296" s="373" t="s">
        <v>121</v>
      </c>
      <c r="D296" s="373" t="s">
        <v>25</v>
      </c>
      <c r="E296" s="373" t="s">
        <v>26</v>
      </c>
      <c r="F296" s="491" t="s">
        <v>129</v>
      </c>
      <c r="G296" s="492">
        <v>0.03</v>
      </c>
      <c r="H296" s="492">
        <v>1</v>
      </c>
    </row>
    <row r="297" spans="2:8" hidden="1" outlineLevel="2">
      <c r="B297" s="373" t="s">
        <v>167</v>
      </c>
      <c r="C297" s="373" t="s">
        <v>121</v>
      </c>
      <c r="D297" s="373" t="s">
        <v>25</v>
      </c>
      <c r="E297" s="373" t="s">
        <v>26</v>
      </c>
      <c r="F297" s="491" t="s">
        <v>172</v>
      </c>
      <c r="G297" s="492">
        <v>7.0000000000000007E-2</v>
      </c>
      <c r="H297" s="492">
        <v>1</v>
      </c>
    </row>
    <row r="298" spans="2:8" hidden="1" outlineLevel="1" collapsed="1">
      <c r="B298" s="390" t="s">
        <v>173</v>
      </c>
      <c r="C298" s="390" t="s">
        <v>173</v>
      </c>
      <c r="D298" s="390" t="s">
        <v>25</v>
      </c>
      <c r="E298" s="390" t="s">
        <v>26</v>
      </c>
      <c r="F298" s="475" t="s">
        <v>1871</v>
      </c>
      <c r="G298" s="490">
        <f>SUM(G299:G302)</f>
        <v>0.80072687637712625</v>
      </c>
      <c r="H298" s="490">
        <f>SUM(H299:H302)</f>
        <v>4</v>
      </c>
    </row>
    <row r="299" spans="2:8" hidden="1" outlineLevel="2">
      <c r="B299" s="373" t="s">
        <v>173</v>
      </c>
      <c r="C299" s="373" t="s">
        <v>173</v>
      </c>
      <c r="D299" s="373" t="s">
        <v>25</v>
      </c>
      <c r="E299" s="373" t="s">
        <v>26</v>
      </c>
      <c r="F299" s="491" t="s">
        <v>86</v>
      </c>
      <c r="G299" s="492">
        <v>0.40295193575893268</v>
      </c>
      <c r="H299" s="492">
        <v>1</v>
      </c>
    </row>
    <row r="300" spans="2:8" hidden="1" outlineLevel="2">
      <c r="B300" s="373" t="s">
        <v>173</v>
      </c>
      <c r="C300" s="373" t="s">
        <v>173</v>
      </c>
      <c r="D300" s="373" t="s">
        <v>25</v>
      </c>
      <c r="E300" s="373" t="s">
        <v>26</v>
      </c>
      <c r="F300" s="491" t="s">
        <v>87</v>
      </c>
      <c r="G300" s="492">
        <v>0.33579327979911056</v>
      </c>
      <c r="H300" s="492">
        <v>1</v>
      </c>
    </row>
    <row r="301" spans="2:8" hidden="1" outlineLevel="2">
      <c r="B301" s="373" t="s">
        <v>173</v>
      </c>
      <c r="C301" s="373" t="s">
        <v>173</v>
      </c>
      <c r="D301" s="373" t="s">
        <v>25</v>
      </c>
      <c r="E301" s="373" t="s">
        <v>26</v>
      </c>
      <c r="F301" s="491" t="s">
        <v>107</v>
      </c>
      <c r="G301" s="492">
        <v>3.0990830409541533E-2</v>
      </c>
      <c r="H301" s="492">
        <v>1</v>
      </c>
    </row>
    <row r="302" spans="2:8" hidden="1" outlineLevel="2">
      <c r="B302" s="373" t="s">
        <v>173</v>
      </c>
      <c r="C302" s="373" t="s">
        <v>173</v>
      </c>
      <c r="D302" s="373" t="s">
        <v>25</v>
      </c>
      <c r="E302" s="373" t="s">
        <v>26</v>
      </c>
      <c r="F302" s="491" t="s">
        <v>108</v>
      </c>
      <c r="G302" s="492">
        <v>3.0990830409541533E-2</v>
      </c>
      <c r="H302" s="492">
        <v>1</v>
      </c>
    </row>
    <row r="303" spans="2:8" hidden="1" outlineLevel="1" collapsed="1">
      <c r="B303" s="390" t="s">
        <v>179</v>
      </c>
      <c r="C303" s="390" t="s">
        <v>70</v>
      </c>
      <c r="D303" s="390" t="s">
        <v>25</v>
      </c>
      <c r="E303" s="390" t="s">
        <v>26</v>
      </c>
      <c r="F303" s="475" t="s">
        <v>1935</v>
      </c>
      <c r="G303" s="490">
        <f>SUM(G304)</f>
        <v>0.03</v>
      </c>
      <c r="H303" s="490">
        <f>SUM(H304)</f>
        <v>1</v>
      </c>
    </row>
    <row r="304" spans="2:8" hidden="1" outlineLevel="2">
      <c r="B304" s="373" t="s">
        <v>179</v>
      </c>
      <c r="C304" s="373" t="s">
        <v>70</v>
      </c>
      <c r="D304" s="373" t="s">
        <v>25</v>
      </c>
      <c r="E304" s="373" t="s">
        <v>26</v>
      </c>
      <c r="F304" s="491" t="s">
        <v>181</v>
      </c>
      <c r="G304" s="492">
        <v>0.03</v>
      </c>
      <c r="H304" s="492">
        <v>1</v>
      </c>
    </row>
    <row r="305" spans="2:8" hidden="1" outlineLevel="1" collapsed="1">
      <c r="B305" s="390" t="s">
        <v>182</v>
      </c>
      <c r="C305" s="390" t="s">
        <v>182</v>
      </c>
      <c r="D305" s="390" t="s">
        <v>25</v>
      </c>
      <c r="E305" s="390" t="s">
        <v>26</v>
      </c>
      <c r="F305" s="475" t="s">
        <v>1872</v>
      </c>
      <c r="G305" s="490">
        <f>SUM(G306:G320)</f>
        <v>3.6357532598400004</v>
      </c>
      <c r="H305" s="490">
        <f>SUM(H306:H320)</f>
        <v>15</v>
      </c>
    </row>
    <row r="306" spans="2:8" hidden="1" outlineLevel="2">
      <c r="B306" s="373" t="s">
        <v>182</v>
      </c>
      <c r="C306" s="373" t="s">
        <v>182</v>
      </c>
      <c r="D306" s="373" t="s">
        <v>25</v>
      </c>
      <c r="E306" s="373" t="s">
        <v>26</v>
      </c>
      <c r="F306" s="491" t="s">
        <v>197</v>
      </c>
      <c r="G306" s="492">
        <v>2.25123394992</v>
      </c>
      <c r="H306" s="492">
        <v>1</v>
      </c>
    </row>
    <row r="307" spans="2:8" hidden="1" outlineLevel="2">
      <c r="B307" s="373" t="s">
        <v>182</v>
      </c>
      <c r="C307" s="373" t="s">
        <v>182</v>
      </c>
      <c r="D307" s="373" t="s">
        <v>25</v>
      </c>
      <c r="E307" s="373" t="s">
        <v>26</v>
      </c>
      <c r="F307" s="491" t="s">
        <v>191</v>
      </c>
      <c r="G307" s="492">
        <v>0.5295810499200001</v>
      </c>
      <c r="H307" s="492">
        <v>1</v>
      </c>
    </row>
    <row r="308" spans="2:8" hidden="1" outlineLevel="2">
      <c r="B308" s="373" t="s">
        <v>182</v>
      </c>
      <c r="C308" s="373" t="s">
        <v>182</v>
      </c>
      <c r="D308" s="373" t="s">
        <v>25</v>
      </c>
      <c r="E308" s="373" t="s">
        <v>26</v>
      </c>
      <c r="F308" s="491" t="s">
        <v>198</v>
      </c>
      <c r="G308" s="492">
        <v>2.5612785000000002E-2</v>
      </c>
      <c r="H308" s="492">
        <v>1</v>
      </c>
    </row>
    <row r="309" spans="2:8" hidden="1" outlineLevel="2">
      <c r="B309" s="373" t="s">
        <v>182</v>
      </c>
      <c r="C309" s="373" t="s">
        <v>182</v>
      </c>
      <c r="D309" s="373" t="s">
        <v>25</v>
      </c>
      <c r="E309" s="373" t="s">
        <v>26</v>
      </c>
      <c r="F309" s="491" t="s">
        <v>200</v>
      </c>
      <c r="G309" s="492">
        <v>0.10833933000000003</v>
      </c>
      <c r="H309" s="492">
        <v>1</v>
      </c>
    </row>
    <row r="310" spans="2:8" hidden="1" outlineLevel="2">
      <c r="B310" s="373" t="s">
        <v>182</v>
      </c>
      <c r="C310" s="373" t="s">
        <v>182</v>
      </c>
      <c r="D310" s="373" t="s">
        <v>25</v>
      </c>
      <c r="E310" s="373" t="s">
        <v>26</v>
      </c>
      <c r="F310" s="491" t="s">
        <v>201</v>
      </c>
      <c r="G310" s="492">
        <v>5.4169665000000013E-2</v>
      </c>
      <c r="H310" s="492">
        <v>1</v>
      </c>
    </row>
    <row r="311" spans="2:8" hidden="1" outlineLevel="2">
      <c r="B311" s="373" t="s">
        <v>182</v>
      </c>
      <c r="C311" s="373" t="s">
        <v>182</v>
      </c>
      <c r="D311" s="373" t="s">
        <v>25</v>
      </c>
      <c r="E311" s="373" t="s">
        <v>26</v>
      </c>
      <c r="F311" s="491" t="s">
        <v>203</v>
      </c>
      <c r="G311" s="492">
        <v>0.10833933000000003</v>
      </c>
      <c r="H311" s="492">
        <v>1</v>
      </c>
    </row>
    <row r="312" spans="2:8" hidden="1" outlineLevel="2">
      <c r="B312" s="373" t="s">
        <v>182</v>
      </c>
      <c r="C312" s="373" t="s">
        <v>182</v>
      </c>
      <c r="D312" s="373" t="s">
        <v>25</v>
      </c>
      <c r="E312" s="373" t="s">
        <v>26</v>
      </c>
      <c r="F312" s="491" t="s">
        <v>205</v>
      </c>
      <c r="G312" s="492">
        <v>5.4169665000000013E-2</v>
      </c>
      <c r="H312" s="492">
        <v>1</v>
      </c>
    </row>
    <row r="313" spans="2:8" hidden="1" outlineLevel="2">
      <c r="B313" s="373" t="s">
        <v>182</v>
      </c>
      <c r="C313" s="373" t="s">
        <v>182</v>
      </c>
      <c r="D313" s="373" t="s">
        <v>25</v>
      </c>
      <c r="E313" s="373" t="s">
        <v>26</v>
      </c>
      <c r="F313" s="491" t="s">
        <v>207</v>
      </c>
      <c r="G313" s="492">
        <v>0.10833933000000003</v>
      </c>
      <c r="H313" s="492">
        <v>1</v>
      </c>
    </row>
    <row r="314" spans="2:8" hidden="1" outlineLevel="2">
      <c r="B314" s="373" t="s">
        <v>182</v>
      </c>
      <c r="C314" s="373" t="s">
        <v>182</v>
      </c>
      <c r="D314" s="373" t="s">
        <v>25</v>
      </c>
      <c r="E314" s="373" t="s">
        <v>26</v>
      </c>
      <c r="F314" s="491" t="s">
        <v>208</v>
      </c>
      <c r="G314" s="492">
        <v>5.4169665000000013E-2</v>
      </c>
      <c r="H314" s="492">
        <v>1</v>
      </c>
    </row>
    <row r="315" spans="2:8" hidden="1" outlineLevel="2">
      <c r="B315" s="373" t="s">
        <v>182</v>
      </c>
      <c r="C315" s="373" t="s">
        <v>182</v>
      </c>
      <c r="D315" s="373" t="s">
        <v>25</v>
      </c>
      <c r="E315" s="373" t="s">
        <v>26</v>
      </c>
      <c r="F315" s="491" t="s">
        <v>211</v>
      </c>
      <c r="G315" s="492">
        <v>0.10833933000000003</v>
      </c>
      <c r="H315" s="492">
        <v>1</v>
      </c>
    </row>
    <row r="316" spans="2:8" hidden="1" outlineLevel="2">
      <c r="B316" s="373" t="s">
        <v>182</v>
      </c>
      <c r="C316" s="373" t="s">
        <v>182</v>
      </c>
      <c r="D316" s="373" t="s">
        <v>25</v>
      </c>
      <c r="E316" s="373" t="s">
        <v>26</v>
      </c>
      <c r="F316" s="491" t="s">
        <v>212</v>
      </c>
      <c r="G316" s="492">
        <v>5.4169665000000013E-2</v>
      </c>
      <c r="H316" s="492">
        <v>1</v>
      </c>
    </row>
    <row r="317" spans="2:8" hidden="1" outlineLevel="2">
      <c r="B317" s="373" t="s">
        <v>182</v>
      </c>
      <c r="C317" s="373" t="s">
        <v>182</v>
      </c>
      <c r="D317" s="373" t="s">
        <v>25</v>
      </c>
      <c r="E317" s="373" t="s">
        <v>26</v>
      </c>
      <c r="F317" s="491" t="s">
        <v>214</v>
      </c>
      <c r="G317" s="492">
        <v>5.1225570000000005E-2</v>
      </c>
      <c r="H317" s="492">
        <v>1</v>
      </c>
    </row>
    <row r="318" spans="2:8" hidden="1" outlineLevel="2">
      <c r="B318" s="373" t="s">
        <v>182</v>
      </c>
      <c r="C318" s="373" t="s">
        <v>182</v>
      </c>
      <c r="D318" s="373" t="s">
        <v>25</v>
      </c>
      <c r="E318" s="373" t="s">
        <v>26</v>
      </c>
      <c r="F318" s="491" t="s">
        <v>215</v>
      </c>
      <c r="G318" s="492">
        <v>5.1225570000000005E-2</v>
      </c>
      <c r="H318" s="492">
        <v>1</v>
      </c>
    </row>
    <row r="319" spans="2:8" hidden="1" outlineLevel="2">
      <c r="B319" s="373" t="s">
        <v>182</v>
      </c>
      <c r="C319" s="373" t="s">
        <v>182</v>
      </c>
      <c r="D319" s="373" t="s">
        <v>25</v>
      </c>
      <c r="E319" s="373" t="s">
        <v>26</v>
      </c>
      <c r="F319" s="491" t="s">
        <v>216</v>
      </c>
      <c r="G319" s="492">
        <v>5.1225570000000005E-2</v>
      </c>
      <c r="H319" s="492">
        <v>1</v>
      </c>
    </row>
    <row r="320" spans="2:8" hidden="1" outlineLevel="2">
      <c r="B320" s="373" t="s">
        <v>182</v>
      </c>
      <c r="C320" s="373" t="s">
        <v>182</v>
      </c>
      <c r="D320" s="373" t="s">
        <v>25</v>
      </c>
      <c r="E320" s="373" t="s">
        <v>26</v>
      </c>
      <c r="F320" s="491" t="s">
        <v>217</v>
      </c>
      <c r="G320" s="492">
        <v>2.5612785000000002E-2</v>
      </c>
      <c r="H320" s="492">
        <v>1</v>
      </c>
    </row>
    <row r="321" spans="2:8" hidden="1" outlineLevel="1" collapsed="1">
      <c r="B321" s="390" t="s">
        <v>222</v>
      </c>
      <c r="C321" s="390" t="s">
        <v>222</v>
      </c>
      <c r="D321" s="390" t="s">
        <v>25</v>
      </c>
      <c r="E321" s="390" t="s">
        <v>26</v>
      </c>
      <c r="F321" s="475" t="s">
        <v>1873</v>
      </c>
      <c r="G321" s="490">
        <f>SUM(G322:G327)</f>
        <v>0.34545700083561953</v>
      </c>
      <c r="H321" s="490">
        <f>SUM(H322:H327)</f>
        <v>6</v>
      </c>
    </row>
    <row r="322" spans="2:8" hidden="1" outlineLevel="2">
      <c r="B322" s="373" t="s">
        <v>222</v>
      </c>
      <c r="C322" s="373" t="s">
        <v>222</v>
      </c>
      <c r="D322" s="373" t="s">
        <v>25</v>
      </c>
      <c r="E322" s="373" t="s">
        <v>26</v>
      </c>
      <c r="F322" s="491" t="s">
        <v>228</v>
      </c>
      <c r="G322" s="492">
        <v>0.20115878538561949</v>
      </c>
      <c r="H322" s="492">
        <v>1</v>
      </c>
    </row>
    <row r="323" spans="2:8" hidden="1" outlineLevel="2">
      <c r="B323" s="373" t="s">
        <v>222</v>
      </c>
      <c r="C323" s="373" t="s">
        <v>222</v>
      </c>
      <c r="D323" s="373" t="s">
        <v>25</v>
      </c>
      <c r="E323" s="373" t="s">
        <v>26</v>
      </c>
      <c r="F323" s="491" t="s">
        <v>65</v>
      </c>
      <c r="G323" s="492">
        <v>5.8456730700000001E-2</v>
      </c>
      <c r="H323" s="492">
        <v>1</v>
      </c>
    </row>
    <row r="324" spans="2:8" hidden="1" outlineLevel="2">
      <c r="B324" s="373" t="s">
        <v>222</v>
      </c>
      <c r="C324" s="373" t="s">
        <v>222</v>
      </c>
      <c r="D324" s="373" t="s">
        <v>25</v>
      </c>
      <c r="E324" s="373" t="s">
        <v>26</v>
      </c>
      <c r="F324" s="491" t="s">
        <v>23</v>
      </c>
      <c r="G324" s="492">
        <v>4.8713942250000003E-2</v>
      </c>
      <c r="H324" s="492">
        <v>1</v>
      </c>
    </row>
    <row r="325" spans="2:8" hidden="1" outlineLevel="2">
      <c r="B325" s="373" t="s">
        <v>222</v>
      </c>
      <c r="C325" s="373" t="s">
        <v>222</v>
      </c>
      <c r="D325" s="373" t="s">
        <v>25</v>
      </c>
      <c r="E325" s="373" t="s">
        <v>26</v>
      </c>
      <c r="F325" s="491" t="s">
        <v>178</v>
      </c>
      <c r="G325" s="492">
        <v>2.5989279749999997E-2</v>
      </c>
      <c r="H325" s="492">
        <v>1</v>
      </c>
    </row>
    <row r="326" spans="2:8" hidden="1" outlineLevel="2">
      <c r="B326" s="373" t="s">
        <v>222</v>
      </c>
      <c r="C326" s="373" t="s">
        <v>222</v>
      </c>
      <c r="D326" s="373" t="s">
        <v>25</v>
      </c>
      <c r="E326" s="373" t="s">
        <v>26</v>
      </c>
      <c r="F326" s="491" t="s">
        <v>107</v>
      </c>
      <c r="G326" s="492">
        <v>3.7127542499999998E-3</v>
      </c>
      <c r="H326" s="492">
        <v>1</v>
      </c>
    </row>
    <row r="327" spans="2:8" hidden="1" outlineLevel="2">
      <c r="B327" s="373" t="s">
        <v>222</v>
      </c>
      <c r="C327" s="373" t="s">
        <v>222</v>
      </c>
      <c r="D327" s="373" t="s">
        <v>25</v>
      </c>
      <c r="E327" s="373" t="s">
        <v>26</v>
      </c>
      <c r="F327" s="491" t="s">
        <v>230</v>
      </c>
      <c r="G327" s="492">
        <v>7.4255085000000005E-3</v>
      </c>
      <c r="H327" s="492">
        <v>1</v>
      </c>
    </row>
    <row r="328" spans="2:8" hidden="1" outlineLevel="1">
      <c r="B328" s="390" t="s">
        <v>233</v>
      </c>
      <c r="C328" s="390" t="s">
        <v>233</v>
      </c>
      <c r="D328" s="390" t="s">
        <v>25</v>
      </c>
      <c r="E328" s="390" t="s">
        <v>26</v>
      </c>
      <c r="F328" s="475" t="s">
        <v>1874</v>
      </c>
      <c r="G328" s="490">
        <v>0</v>
      </c>
      <c r="H328" s="490">
        <v>0</v>
      </c>
    </row>
    <row r="329" spans="2:8" hidden="1" outlineLevel="1">
      <c r="B329" s="390" t="s">
        <v>240</v>
      </c>
      <c r="C329" s="390" t="s">
        <v>240</v>
      </c>
      <c r="D329" s="390" t="s">
        <v>25</v>
      </c>
      <c r="E329" s="390" t="s">
        <v>26</v>
      </c>
      <c r="F329" s="475" t="s">
        <v>1880</v>
      </c>
      <c r="G329" s="490">
        <v>0</v>
      </c>
      <c r="H329" s="490">
        <v>0</v>
      </c>
    </row>
    <row r="330" spans="2:8" hidden="1" outlineLevel="1">
      <c r="B330" s="390" t="s">
        <v>243</v>
      </c>
      <c r="C330" s="390" t="s">
        <v>243</v>
      </c>
      <c r="D330" s="390" t="s">
        <v>25</v>
      </c>
      <c r="E330" s="390" t="s">
        <v>26</v>
      </c>
      <c r="F330" s="475" t="s">
        <v>1883</v>
      </c>
      <c r="G330" s="490">
        <v>0</v>
      </c>
      <c r="H330" s="490">
        <v>0</v>
      </c>
    </row>
    <row r="331" spans="2:8" hidden="1" outlineLevel="1" collapsed="1">
      <c r="B331" s="390" t="s">
        <v>245</v>
      </c>
      <c r="C331" s="390" t="s">
        <v>246</v>
      </c>
      <c r="D331" s="390" t="s">
        <v>25</v>
      </c>
      <c r="E331" s="390" t="s">
        <v>26</v>
      </c>
      <c r="F331" s="475" t="s">
        <v>1854</v>
      </c>
      <c r="G331" s="490">
        <f>SUM(G332)</f>
        <v>1.9200000000000002E-2</v>
      </c>
      <c r="H331" s="490">
        <f>SUM(H332)</f>
        <v>1</v>
      </c>
    </row>
    <row r="332" spans="2:8" hidden="1" outlineLevel="2">
      <c r="B332" s="373" t="s">
        <v>245</v>
      </c>
      <c r="C332" s="373" t="s">
        <v>246</v>
      </c>
      <c r="D332" s="373" t="s">
        <v>25</v>
      </c>
      <c r="E332" s="373" t="s">
        <v>26</v>
      </c>
      <c r="F332" s="491" t="s">
        <v>236</v>
      </c>
      <c r="G332" s="492">
        <v>1.9200000000000002E-2</v>
      </c>
      <c r="H332" s="492">
        <v>1</v>
      </c>
    </row>
    <row r="333" spans="2:8" hidden="1" outlineLevel="1" collapsed="1">
      <c r="B333" s="390" t="s">
        <v>248</v>
      </c>
      <c r="C333" s="390" t="s">
        <v>249</v>
      </c>
      <c r="D333" s="390" t="s">
        <v>25</v>
      </c>
      <c r="E333" s="390" t="s">
        <v>26</v>
      </c>
      <c r="F333" s="475" t="s">
        <v>1855</v>
      </c>
      <c r="G333" s="490">
        <f>SUM(G334:G336)</f>
        <v>0.22284000000000001</v>
      </c>
      <c r="H333" s="490">
        <f>SUM(H334:H336)</f>
        <v>3</v>
      </c>
    </row>
    <row r="334" spans="2:8" hidden="1" outlineLevel="2">
      <c r="B334" s="373" t="s">
        <v>248</v>
      </c>
      <c r="C334" s="373" t="s">
        <v>249</v>
      </c>
      <c r="D334" s="373" t="s">
        <v>25</v>
      </c>
      <c r="E334" s="373" t="s">
        <v>26</v>
      </c>
      <c r="F334" s="491" t="s">
        <v>237</v>
      </c>
      <c r="G334" s="492">
        <v>5.9424000000000005E-2</v>
      </c>
      <c r="H334" s="492">
        <v>1</v>
      </c>
    </row>
    <row r="335" spans="2:8" hidden="1" outlineLevel="2">
      <c r="B335" s="373" t="s">
        <v>248</v>
      </c>
      <c r="C335" s="373" t="s">
        <v>249</v>
      </c>
      <c r="D335" s="373" t="s">
        <v>25</v>
      </c>
      <c r="E335" s="373" t="s">
        <v>26</v>
      </c>
      <c r="F335" s="491" t="s">
        <v>238</v>
      </c>
      <c r="G335" s="492">
        <v>0.14856</v>
      </c>
      <c r="H335" s="492">
        <v>1</v>
      </c>
    </row>
    <row r="336" spans="2:8" hidden="1" outlineLevel="2">
      <c r="B336" s="373" t="s">
        <v>248</v>
      </c>
      <c r="C336" s="373" t="s">
        <v>249</v>
      </c>
      <c r="D336" s="373" t="s">
        <v>25</v>
      </c>
      <c r="E336" s="373" t="s">
        <v>26</v>
      </c>
      <c r="F336" s="491" t="s">
        <v>242</v>
      </c>
      <c r="G336" s="492">
        <v>1.4856000000000001E-2</v>
      </c>
      <c r="H336" s="492">
        <v>1</v>
      </c>
    </row>
    <row r="337" spans="2:8" hidden="1" outlineLevel="1">
      <c r="B337" s="390" t="s">
        <v>258</v>
      </c>
      <c r="C337" s="390" t="s">
        <v>259</v>
      </c>
      <c r="D337" s="390" t="s">
        <v>25</v>
      </c>
      <c r="E337" s="390" t="s">
        <v>26</v>
      </c>
      <c r="F337" s="475" t="s">
        <v>1856</v>
      </c>
      <c r="G337" s="490">
        <v>0</v>
      </c>
      <c r="H337" s="490">
        <v>0</v>
      </c>
    </row>
    <row r="338" spans="2:8" hidden="1" outlineLevel="1" collapsed="1">
      <c r="B338" s="390" t="s">
        <v>351</v>
      </c>
      <c r="C338" s="390" t="s">
        <v>351</v>
      </c>
      <c r="D338" s="390" t="s">
        <v>25</v>
      </c>
      <c r="E338" s="390" t="s">
        <v>26</v>
      </c>
      <c r="F338" s="475" t="s">
        <v>1937</v>
      </c>
      <c r="G338" s="490">
        <f>SUM(G339)</f>
        <v>0</v>
      </c>
      <c r="H338" s="490">
        <f>SUM(H339)</f>
        <v>1</v>
      </c>
    </row>
    <row r="339" spans="2:8" hidden="1" outlineLevel="2">
      <c r="B339" s="373" t="s">
        <v>351</v>
      </c>
      <c r="C339" s="373" t="s">
        <v>351</v>
      </c>
      <c r="D339" s="373" t="s">
        <v>25</v>
      </c>
      <c r="E339" s="373" t="s">
        <v>26</v>
      </c>
      <c r="F339" s="491" t="s">
        <v>236</v>
      </c>
      <c r="G339" s="492"/>
      <c r="H339" s="492">
        <v>1</v>
      </c>
    </row>
    <row r="340" spans="2:8" hidden="1" outlineLevel="1" collapsed="1">
      <c r="B340" s="390" t="s">
        <v>353</v>
      </c>
      <c r="C340" s="390" t="s">
        <v>354</v>
      </c>
      <c r="D340" s="390" t="s">
        <v>25</v>
      </c>
      <c r="E340" s="390" t="s">
        <v>26</v>
      </c>
      <c r="F340" s="475" t="s">
        <v>1865</v>
      </c>
      <c r="G340" s="490">
        <f>SUM(G341)</f>
        <v>0.19</v>
      </c>
      <c r="H340" s="490">
        <f>SUM(H341)</f>
        <v>1</v>
      </c>
    </row>
    <row r="341" spans="2:8" hidden="1" outlineLevel="2">
      <c r="B341" s="373" t="s">
        <v>353</v>
      </c>
      <c r="C341" s="373" t="s">
        <v>354</v>
      </c>
      <c r="D341" s="373" t="s">
        <v>25</v>
      </c>
      <c r="E341" s="373" t="s">
        <v>26</v>
      </c>
      <c r="F341" s="491" t="s">
        <v>236</v>
      </c>
      <c r="G341" s="492">
        <v>0.19</v>
      </c>
      <c r="H341" s="492">
        <v>1</v>
      </c>
    </row>
    <row r="342" spans="2:8" hidden="1" outlineLevel="1" collapsed="1">
      <c r="B342" s="390" t="s">
        <v>281</v>
      </c>
      <c r="C342" s="390" t="s">
        <v>70</v>
      </c>
      <c r="D342" s="390" t="s">
        <v>25</v>
      </c>
      <c r="E342" s="390" t="s">
        <v>26</v>
      </c>
      <c r="F342" s="475" t="s">
        <v>1857</v>
      </c>
      <c r="G342" s="490">
        <f>SUM(G343)</f>
        <v>0.17172000000000001</v>
      </c>
      <c r="H342" s="490">
        <f>SUM(H343)</f>
        <v>1</v>
      </c>
    </row>
    <row r="343" spans="2:8" hidden="1" outlineLevel="2">
      <c r="B343" s="373" t="s">
        <v>281</v>
      </c>
      <c r="C343" s="373" t="s">
        <v>70</v>
      </c>
      <c r="D343" s="373" t="s">
        <v>25</v>
      </c>
      <c r="E343" s="373" t="s">
        <v>26</v>
      </c>
      <c r="F343" s="491" t="s">
        <v>31</v>
      </c>
      <c r="G343" s="492">
        <v>0.17172000000000001</v>
      </c>
      <c r="H343" s="492">
        <v>1</v>
      </c>
    </row>
    <row r="344" spans="2:8" hidden="1" outlineLevel="1" collapsed="1">
      <c r="B344" s="390" t="s">
        <v>289</v>
      </c>
      <c r="C344" s="390" t="s">
        <v>29</v>
      </c>
      <c r="D344" s="390" t="s">
        <v>25</v>
      </c>
      <c r="E344" s="390" t="s">
        <v>26</v>
      </c>
      <c r="F344" s="475" t="s">
        <v>1866</v>
      </c>
      <c r="G344" s="490">
        <f>SUM(G345)</f>
        <v>7.8635040000000003E-2</v>
      </c>
      <c r="H344" s="490">
        <f>SUM(H345)</f>
        <v>1</v>
      </c>
    </row>
    <row r="345" spans="2:8" hidden="1" outlineLevel="2">
      <c r="B345" s="373" t="s">
        <v>289</v>
      </c>
      <c r="C345" s="373" t="s">
        <v>29</v>
      </c>
      <c r="D345" s="373" t="s">
        <v>25</v>
      </c>
      <c r="E345" s="373" t="s">
        <v>26</v>
      </c>
      <c r="F345" s="491" t="s">
        <v>31</v>
      </c>
      <c r="G345" s="492">
        <v>7.8635040000000003E-2</v>
      </c>
      <c r="H345" s="492">
        <v>1</v>
      </c>
    </row>
    <row r="346" spans="2:8" hidden="1" outlineLevel="1" collapsed="1">
      <c r="B346" s="390" t="s">
        <v>301</v>
      </c>
      <c r="C346" s="390" t="s">
        <v>301</v>
      </c>
      <c r="D346" s="390" t="s">
        <v>25</v>
      </c>
      <c r="E346" s="390" t="s">
        <v>26</v>
      </c>
      <c r="F346" s="475" t="s">
        <v>1858</v>
      </c>
      <c r="G346" s="490">
        <f>SUM(G347:G348)</f>
        <v>2.0244304000000004</v>
      </c>
      <c r="H346" s="490">
        <f>SUM(H347:H348)</f>
        <v>2</v>
      </c>
    </row>
    <row r="347" spans="2:8" hidden="1" outlineLevel="2">
      <c r="B347" s="373" t="s">
        <v>301</v>
      </c>
      <c r="C347" s="373" t="s">
        <v>301</v>
      </c>
      <c r="D347" s="373" t="s">
        <v>25</v>
      </c>
      <c r="E347" s="373" t="s">
        <v>26</v>
      </c>
      <c r="F347" s="491" t="s">
        <v>31</v>
      </c>
      <c r="G347" s="492">
        <v>1.5183228000000002</v>
      </c>
      <c r="H347" s="492">
        <v>1</v>
      </c>
    </row>
    <row r="348" spans="2:8" hidden="1" outlineLevel="2">
      <c r="B348" s="373" t="s">
        <v>301</v>
      </c>
      <c r="C348" s="373" t="s">
        <v>301</v>
      </c>
      <c r="D348" s="373" t="s">
        <v>25</v>
      </c>
      <c r="E348" s="373" t="s">
        <v>26</v>
      </c>
      <c r="F348" s="491" t="s">
        <v>170</v>
      </c>
      <c r="G348" s="492">
        <v>0.5061076000000001</v>
      </c>
      <c r="H348" s="492">
        <v>1</v>
      </c>
    </row>
    <row r="349" spans="2:8" hidden="1" outlineLevel="1" collapsed="1">
      <c r="B349" s="390" t="s">
        <v>308</v>
      </c>
      <c r="C349" s="390" t="s">
        <v>308</v>
      </c>
      <c r="D349" s="390" t="s">
        <v>25</v>
      </c>
      <c r="E349" s="390" t="s">
        <v>26</v>
      </c>
      <c r="F349" s="475" t="s">
        <v>1869</v>
      </c>
      <c r="G349" s="490">
        <f>SUM(G350)</f>
        <v>1.5621756360000001</v>
      </c>
      <c r="H349" s="490">
        <f>SUM(H350)</f>
        <v>1</v>
      </c>
    </row>
    <row r="350" spans="2:8" hidden="1" outlineLevel="2">
      <c r="B350" s="373" t="s">
        <v>308</v>
      </c>
      <c r="C350" s="373" t="s">
        <v>308</v>
      </c>
      <c r="D350" s="373" t="s">
        <v>25</v>
      </c>
      <c r="E350" s="373" t="s">
        <v>26</v>
      </c>
      <c r="F350" s="491" t="s">
        <v>31</v>
      </c>
      <c r="G350" s="492">
        <v>1.5621756360000001</v>
      </c>
      <c r="H350" s="492">
        <v>1</v>
      </c>
    </row>
    <row r="351" spans="2:8" hidden="1" outlineLevel="1" collapsed="1">
      <c r="B351" s="390" t="s">
        <v>312</v>
      </c>
      <c r="C351" s="390" t="s">
        <v>312</v>
      </c>
      <c r="D351" s="390" t="s">
        <v>25</v>
      </c>
      <c r="E351" s="390" t="s">
        <v>26</v>
      </c>
      <c r="F351" s="475" t="s">
        <v>1867</v>
      </c>
      <c r="G351" s="490">
        <f>SUM(G352)</f>
        <v>0.52072521199999999</v>
      </c>
      <c r="H351" s="490">
        <f>SUM(H352)</f>
        <v>1</v>
      </c>
    </row>
    <row r="352" spans="2:8" hidden="1" outlineLevel="2">
      <c r="B352" s="373" t="s">
        <v>312</v>
      </c>
      <c r="C352" s="373" t="s">
        <v>312</v>
      </c>
      <c r="D352" s="373" t="s">
        <v>25</v>
      </c>
      <c r="E352" s="373" t="s">
        <v>26</v>
      </c>
      <c r="F352" s="491" t="s">
        <v>31</v>
      </c>
      <c r="G352" s="492">
        <v>0.52072521199999999</v>
      </c>
      <c r="H352" s="492">
        <v>1</v>
      </c>
    </row>
    <row r="353" spans="2:8" hidden="1" outlineLevel="1" collapsed="1">
      <c r="B353" s="390" t="s">
        <v>271</v>
      </c>
      <c r="C353" s="390" t="s">
        <v>271</v>
      </c>
      <c r="D353" s="390" t="s">
        <v>25</v>
      </c>
      <c r="E353" s="390" t="s">
        <v>26</v>
      </c>
      <c r="F353" s="475" t="s">
        <v>1868</v>
      </c>
      <c r="G353" s="490">
        <f>SUM(G354:G356)</f>
        <v>0.57240000000000002</v>
      </c>
      <c r="H353" s="490">
        <f>SUM(H354:H356)</f>
        <v>3</v>
      </c>
    </row>
    <row r="354" spans="2:8" hidden="1" outlineLevel="2">
      <c r="B354" s="373" t="s">
        <v>271</v>
      </c>
      <c r="C354" s="373" t="s">
        <v>271</v>
      </c>
      <c r="D354" s="373" t="s">
        <v>25</v>
      </c>
      <c r="E354" s="373" t="s">
        <v>26</v>
      </c>
      <c r="F354" s="491" t="s">
        <v>31</v>
      </c>
      <c r="G354" s="492">
        <v>0.1431</v>
      </c>
      <c r="H354" s="492">
        <v>1</v>
      </c>
    </row>
    <row r="355" spans="2:8" hidden="1" outlineLevel="2">
      <c r="B355" s="373" t="s">
        <v>271</v>
      </c>
      <c r="C355" s="373" t="s">
        <v>271</v>
      </c>
      <c r="D355" s="373" t="s">
        <v>25</v>
      </c>
      <c r="E355" s="373" t="s">
        <v>26</v>
      </c>
      <c r="F355" s="491" t="s">
        <v>33</v>
      </c>
      <c r="G355" s="492">
        <v>0.28620000000000001</v>
      </c>
      <c r="H355" s="492">
        <v>1</v>
      </c>
    </row>
    <row r="356" spans="2:8" hidden="1" outlineLevel="2">
      <c r="B356" s="373" t="s">
        <v>271</v>
      </c>
      <c r="C356" s="373" t="s">
        <v>271</v>
      </c>
      <c r="D356" s="373" t="s">
        <v>25</v>
      </c>
      <c r="E356" s="373" t="s">
        <v>26</v>
      </c>
      <c r="F356" s="491" t="s">
        <v>326</v>
      </c>
      <c r="G356" s="492">
        <v>0.1431</v>
      </c>
      <c r="H356" s="492">
        <v>1</v>
      </c>
    </row>
    <row r="357" spans="2:8" hidden="1" outlineLevel="1" collapsed="1">
      <c r="B357" s="390" t="s">
        <v>328</v>
      </c>
      <c r="C357" s="390" t="s">
        <v>121</v>
      </c>
      <c r="D357" s="390" t="s">
        <v>25</v>
      </c>
      <c r="E357" s="390" t="s">
        <v>26</v>
      </c>
      <c r="F357" s="475" t="s">
        <v>1875</v>
      </c>
      <c r="G357" s="490">
        <f>SUM(G358:G359)</f>
        <v>0.72504000000000002</v>
      </c>
      <c r="H357" s="490">
        <f>SUM(H358:H359)</f>
        <v>2</v>
      </c>
    </row>
    <row r="358" spans="2:8" hidden="1" outlineLevel="2">
      <c r="B358" s="373" t="s">
        <v>328</v>
      </c>
      <c r="C358" s="373" t="s">
        <v>121</v>
      </c>
      <c r="D358" s="373" t="s">
        <v>25</v>
      </c>
      <c r="E358" s="373" t="s">
        <v>26</v>
      </c>
      <c r="F358" s="491" t="s">
        <v>31</v>
      </c>
      <c r="G358" s="492">
        <v>0.36252000000000001</v>
      </c>
      <c r="H358" s="492">
        <v>1</v>
      </c>
    </row>
    <row r="359" spans="2:8" hidden="1" outlineLevel="2">
      <c r="B359" s="373" t="s">
        <v>328</v>
      </c>
      <c r="C359" s="373" t="s">
        <v>121</v>
      </c>
      <c r="D359" s="373" t="s">
        <v>25</v>
      </c>
      <c r="E359" s="373" t="s">
        <v>26</v>
      </c>
      <c r="F359" s="491" t="s">
        <v>326</v>
      </c>
      <c r="G359" s="492">
        <v>0.36252000000000001</v>
      </c>
      <c r="H359" s="492">
        <v>1</v>
      </c>
    </row>
    <row r="360" spans="2:8" hidden="1" outlineLevel="1" collapsed="1">
      <c r="B360" s="390" t="s">
        <v>332</v>
      </c>
      <c r="C360" s="390" t="s">
        <v>121</v>
      </c>
      <c r="D360" s="390" t="s">
        <v>25</v>
      </c>
      <c r="E360" s="390" t="s">
        <v>26</v>
      </c>
      <c r="F360" s="475" t="s">
        <v>1876</v>
      </c>
      <c r="G360" s="490">
        <f>SUM(G361)</f>
        <v>0.20033977216751808</v>
      </c>
      <c r="H360" s="490">
        <f>SUM(H361)</f>
        <v>1</v>
      </c>
    </row>
    <row r="361" spans="2:8" hidden="1" outlineLevel="2">
      <c r="B361" s="373" t="s">
        <v>332</v>
      </c>
      <c r="C361" s="373" t="s">
        <v>121</v>
      </c>
      <c r="D361" s="373" t="s">
        <v>25</v>
      </c>
      <c r="E361" s="373" t="s">
        <v>26</v>
      </c>
      <c r="F361" s="491" t="s">
        <v>31</v>
      </c>
      <c r="G361" s="492">
        <v>0.20033977216751808</v>
      </c>
      <c r="H361" s="492">
        <v>1</v>
      </c>
    </row>
    <row r="362" spans="2:8" hidden="1" outlineLevel="1" collapsed="1">
      <c r="B362" s="390" t="s">
        <v>335</v>
      </c>
      <c r="C362" s="390" t="s">
        <v>121</v>
      </c>
      <c r="D362" s="390" t="s">
        <v>25</v>
      </c>
      <c r="E362" s="390" t="s">
        <v>26</v>
      </c>
      <c r="F362" s="475" t="s">
        <v>1877</v>
      </c>
      <c r="G362" s="490">
        <f>SUM(G363:G366)</f>
        <v>0.5747066038098001</v>
      </c>
      <c r="H362" s="490">
        <f>SUM(H363:H366)</f>
        <v>4</v>
      </c>
    </row>
    <row r="363" spans="2:8" hidden="1" outlineLevel="2">
      <c r="B363" s="373" t="s">
        <v>335</v>
      </c>
      <c r="C363" s="373" t="s">
        <v>121</v>
      </c>
      <c r="D363" s="373" t="s">
        <v>25</v>
      </c>
      <c r="E363" s="373" t="s">
        <v>26</v>
      </c>
      <c r="F363" s="491" t="s">
        <v>31</v>
      </c>
      <c r="G363" s="492">
        <v>0.12908390889240001</v>
      </c>
      <c r="H363" s="492">
        <v>1</v>
      </c>
    </row>
    <row r="364" spans="2:8" hidden="1" outlineLevel="2">
      <c r="B364" s="373" t="s">
        <v>335</v>
      </c>
      <c r="C364" s="373" t="s">
        <v>121</v>
      </c>
      <c r="D364" s="373" t="s">
        <v>25</v>
      </c>
      <c r="E364" s="373" t="s">
        <v>26</v>
      </c>
      <c r="F364" s="491" t="s">
        <v>33</v>
      </c>
      <c r="G364" s="492">
        <v>0.25816781778480002</v>
      </c>
      <c r="H364" s="492">
        <v>1</v>
      </c>
    </row>
    <row r="365" spans="2:8" hidden="1" outlineLevel="2">
      <c r="B365" s="373" t="s">
        <v>335</v>
      </c>
      <c r="C365" s="373" t="s">
        <v>121</v>
      </c>
      <c r="D365" s="373" t="s">
        <v>25</v>
      </c>
      <c r="E365" s="373" t="s">
        <v>26</v>
      </c>
      <c r="F365" s="491" t="s">
        <v>326</v>
      </c>
      <c r="G365" s="492">
        <v>0.12908390889240001</v>
      </c>
      <c r="H365" s="492">
        <v>1</v>
      </c>
    </row>
    <row r="366" spans="2:8" hidden="1" outlineLevel="2">
      <c r="B366" s="373" t="s">
        <v>335</v>
      </c>
      <c r="C366" s="373" t="s">
        <v>121</v>
      </c>
      <c r="D366" s="373" t="s">
        <v>25</v>
      </c>
      <c r="E366" s="373" t="s">
        <v>26</v>
      </c>
      <c r="F366" s="491" t="s">
        <v>338</v>
      </c>
      <c r="G366" s="492">
        <v>5.8370968240200008E-2</v>
      </c>
      <c r="H366" s="492">
        <v>1</v>
      </c>
    </row>
    <row r="367" spans="2:8" hidden="1" outlineLevel="1">
      <c r="B367" s="390" t="s">
        <v>340</v>
      </c>
      <c r="C367" s="390" t="s">
        <v>121</v>
      </c>
      <c r="D367" s="390" t="s">
        <v>25</v>
      </c>
      <c r="E367" s="390" t="s">
        <v>26</v>
      </c>
      <c r="F367" s="475" t="s">
        <v>1878</v>
      </c>
      <c r="G367" s="490">
        <v>0</v>
      </c>
      <c r="H367" s="490">
        <v>0</v>
      </c>
    </row>
    <row r="368" spans="2:8" hidden="1" outlineLevel="1">
      <c r="B368" s="390" t="s">
        <v>344</v>
      </c>
      <c r="C368" s="390" t="s">
        <v>344</v>
      </c>
      <c r="D368" s="390" t="s">
        <v>25</v>
      </c>
      <c r="E368" s="390" t="s">
        <v>26</v>
      </c>
      <c r="F368" s="475" t="s">
        <v>1879</v>
      </c>
      <c r="G368" s="490">
        <v>0</v>
      </c>
      <c r="H368" s="490">
        <v>0</v>
      </c>
    </row>
    <row r="369" spans="2:8" hidden="1" outlineLevel="1">
      <c r="B369" s="390" t="s">
        <v>350</v>
      </c>
      <c r="C369" s="390" t="s">
        <v>350</v>
      </c>
      <c r="D369" s="390" t="s">
        <v>25</v>
      </c>
      <c r="E369" s="390" t="s">
        <v>26</v>
      </c>
      <c r="F369" s="475" t="s">
        <v>1863</v>
      </c>
      <c r="G369" s="490">
        <v>0</v>
      </c>
      <c r="H369" s="490">
        <v>0</v>
      </c>
    </row>
    <row r="370" spans="2:8" hidden="1" outlineLevel="1" collapsed="1">
      <c r="B370" s="390" t="s">
        <v>251</v>
      </c>
      <c r="C370" s="390" t="s">
        <v>252</v>
      </c>
      <c r="D370" s="390" t="s">
        <v>25</v>
      </c>
      <c r="E370" s="390" t="s">
        <v>26</v>
      </c>
      <c r="F370" s="475" t="s">
        <v>1890</v>
      </c>
      <c r="G370" s="490">
        <f>SUM(G371)</f>
        <v>8.0000000000000004E-4</v>
      </c>
      <c r="H370" s="490">
        <f>SUM(H371)</f>
        <v>1</v>
      </c>
    </row>
    <row r="371" spans="2:8" hidden="1" outlineLevel="2">
      <c r="B371" s="373" t="s">
        <v>251</v>
      </c>
      <c r="C371" s="373" t="s">
        <v>252</v>
      </c>
      <c r="D371" s="373" t="s">
        <v>25</v>
      </c>
      <c r="E371" s="373" t="s">
        <v>26</v>
      </c>
      <c r="F371" s="491" t="s">
        <v>256</v>
      </c>
      <c r="G371" s="492">
        <v>8.0000000000000004E-4</v>
      </c>
      <c r="H371" s="492">
        <v>1</v>
      </c>
    </row>
    <row r="372" spans="2:8" hidden="1" outlineLevel="1" collapsed="1">
      <c r="B372" s="390" t="s">
        <v>356</v>
      </c>
      <c r="C372" s="390" t="s">
        <v>356</v>
      </c>
      <c r="D372" s="390" t="s">
        <v>25</v>
      </c>
      <c r="E372" s="390" t="s">
        <v>26</v>
      </c>
      <c r="F372" s="475" t="s">
        <v>1892</v>
      </c>
      <c r="G372" s="490">
        <f>SUM(G373)</f>
        <v>2.0043571200000002E-2</v>
      </c>
      <c r="H372" s="490">
        <f>SUM(H373)</f>
        <v>1</v>
      </c>
    </row>
    <row r="373" spans="2:8" hidden="1" outlineLevel="2">
      <c r="B373" s="373" t="s">
        <v>356</v>
      </c>
      <c r="C373" s="373" t="s">
        <v>356</v>
      </c>
      <c r="D373" s="373" t="s">
        <v>25</v>
      </c>
      <c r="E373" s="373" t="s">
        <v>26</v>
      </c>
      <c r="F373" s="491" t="s">
        <v>236</v>
      </c>
      <c r="G373" s="492">
        <v>2.0043571200000002E-2</v>
      </c>
      <c r="H373" s="492">
        <v>1</v>
      </c>
    </row>
    <row r="374" spans="2:8" hidden="1" outlineLevel="1" collapsed="1">
      <c r="B374" s="390" t="s">
        <v>364</v>
      </c>
      <c r="C374" s="390" t="s">
        <v>365</v>
      </c>
      <c r="D374" s="390" t="s">
        <v>25</v>
      </c>
      <c r="E374" s="390" t="s">
        <v>26</v>
      </c>
      <c r="F374" s="475" t="s">
        <v>1870</v>
      </c>
      <c r="G374" s="490">
        <f>SUM(G375:G376)</f>
        <v>0.62984501100000001</v>
      </c>
      <c r="H374" s="490">
        <f>SUM(H375:H376)</f>
        <v>2</v>
      </c>
    </row>
    <row r="375" spans="2:8" hidden="1" outlineLevel="2">
      <c r="B375" s="373" t="s">
        <v>364</v>
      </c>
      <c r="C375" s="373" t="s">
        <v>365</v>
      </c>
      <c r="D375" s="373" t="s">
        <v>25</v>
      </c>
      <c r="E375" s="373" t="s">
        <v>26</v>
      </c>
      <c r="F375" s="491" t="s">
        <v>368</v>
      </c>
      <c r="G375" s="492">
        <v>0.26984501099999997</v>
      </c>
      <c r="H375" s="492">
        <v>1</v>
      </c>
    </row>
    <row r="376" spans="2:8" hidden="1" outlineLevel="2">
      <c r="B376" s="373" t="s">
        <v>364</v>
      </c>
      <c r="C376" s="373" t="s">
        <v>365</v>
      </c>
      <c r="D376" s="373" t="s">
        <v>25</v>
      </c>
      <c r="E376" s="373" t="s">
        <v>26</v>
      </c>
      <c r="F376" s="491" t="s">
        <v>292</v>
      </c>
      <c r="G376" s="492">
        <v>0.36</v>
      </c>
      <c r="H376" s="492">
        <v>1</v>
      </c>
    </row>
    <row r="377" spans="2:8" ht="3" customHeight="1">
      <c r="B377" s="372"/>
      <c r="C377" s="372"/>
      <c r="D377" s="372"/>
      <c r="E377" s="372"/>
      <c r="F377" s="372"/>
      <c r="G377" s="474"/>
      <c r="H377" s="474"/>
    </row>
    <row r="378" spans="2:8" s="416" customFormat="1" ht="15.6" collapsed="1">
      <c r="B378" s="470" t="s">
        <v>498</v>
      </c>
      <c r="C378" s="471"/>
      <c r="D378" s="471"/>
      <c r="E378" s="471"/>
      <c r="F378" s="471"/>
      <c r="G378" s="473">
        <f>SUM(G380,G382,G395,G398,G403,G407,G410,G413,G419,G421,G426,G428,G431,G432,G433,G434,G447,G438,G449,G450,G458,G462,G467,G472,G478,G481,G484,G492,G503,G511,G528,G529,G530,G531,G536)</f>
        <v>18.674600815481217</v>
      </c>
      <c r="H378" s="473">
        <f>SUM(H380,H382,H395,H398,H403,H407,H410,H413,H419,H421,H426,H428,H431,H432,H433,H434,H438,H447,H449,H450,H458,H462,H467,H472,H478,H481,H484,H492,H503,H511,H528,H529,H530,H531,H536)</f>
        <v>127</v>
      </c>
    </row>
    <row r="379" spans="2:8" ht="3" hidden="1" customHeight="1" outlineLevel="1">
      <c r="B379" s="372"/>
      <c r="C379" s="372"/>
      <c r="D379" s="372"/>
      <c r="E379" s="372"/>
      <c r="F379" s="372"/>
      <c r="G379" s="474"/>
      <c r="H379" s="474"/>
    </row>
    <row r="380" spans="2:8" hidden="1" outlineLevel="1" collapsed="1">
      <c r="B380" s="390" t="s">
        <v>14</v>
      </c>
      <c r="C380" s="390" t="s">
        <v>22</v>
      </c>
      <c r="D380" s="385" t="s">
        <v>27</v>
      </c>
      <c r="E380" s="390" t="s">
        <v>498</v>
      </c>
      <c r="F380" s="475" t="s">
        <v>1860</v>
      </c>
      <c r="G380" s="490">
        <f>SUM(G381)</f>
        <v>1.4336873100000001E-2</v>
      </c>
      <c r="H380" s="490">
        <f>SUM(H381)</f>
        <v>1</v>
      </c>
    </row>
    <row r="381" spans="2:8" hidden="1" outlineLevel="2">
      <c r="B381" s="373" t="s">
        <v>14</v>
      </c>
      <c r="C381" s="390" t="s">
        <v>22</v>
      </c>
      <c r="D381" s="372" t="s">
        <v>27</v>
      </c>
      <c r="E381" s="373" t="s">
        <v>498</v>
      </c>
      <c r="F381" s="468" t="s">
        <v>23</v>
      </c>
      <c r="G381" s="480">
        <v>1.4336873100000001E-2</v>
      </c>
      <c r="H381" s="480">
        <v>1</v>
      </c>
    </row>
    <row r="382" spans="2:8" hidden="1" outlineLevel="1" collapsed="1">
      <c r="B382" s="390" t="s">
        <v>14</v>
      </c>
      <c r="C382" s="390" t="s">
        <v>29</v>
      </c>
      <c r="D382" s="390"/>
      <c r="E382" s="390" t="s">
        <v>498</v>
      </c>
      <c r="F382" s="475" t="s">
        <v>1860</v>
      </c>
      <c r="G382" s="490">
        <f>SUM(G383:G394)</f>
        <v>0.36573175713220468</v>
      </c>
      <c r="H382" s="490">
        <f>SUM(H383:H394)</f>
        <v>12</v>
      </c>
    </row>
    <row r="383" spans="2:8" hidden="1" outlineLevel="2">
      <c r="B383" s="373" t="s">
        <v>14</v>
      </c>
      <c r="C383" s="373" t="s">
        <v>29</v>
      </c>
      <c r="D383" s="372" t="s">
        <v>27</v>
      </c>
      <c r="E383" s="373" t="s">
        <v>498</v>
      </c>
      <c r="F383" s="491" t="s">
        <v>54</v>
      </c>
      <c r="G383" s="493">
        <v>2.1499694035440806E-2</v>
      </c>
      <c r="H383" s="493">
        <v>1</v>
      </c>
    </row>
    <row r="384" spans="2:8" hidden="1" outlineLevel="2">
      <c r="B384" s="373" t="s">
        <v>14</v>
      </c>
      <c r="C384" s="373" t="s">
        <v>29</v>
      </c>
      <c r="D384" s="372" t="s">
        <v>27</v>
      </c>
      <c r="E384" s="373" t="s">
        <v>498</v>
      </c>
      <c r="F384" s="491" t="s">
        <v>55</v>
      </c>
      <c r="G384" s="493">
        <v>2.1499694035440806E-2</v>
      </c>
      <c r="H384" s="493">
        <v>1</v>
      </c>
    </row>
    <row r="385" spans="2:8" hidden="1" outlineLevel="2">
      <c r="B385" s="373" t="s">
        <v>14</v>
      </c>
      <c r="C385" s="373" t="s">
        <v>29</v>
      </c>
      <c r="D385" s="372" t="s">
        <v>27</v>
      </c>
      <c r="E385" s="373" t="s">
        <v>498</v>
      </c>
      <c r="F385" s="491" t="s">
        <v>56</v>
      </c>
      <c r="G385" s="493">
        <v>9.4245302543668119E-4</v>
      </c>
      <c r="H385" s="493">
        <v>1</v>
      </c>
    </row>
    <row r="386" spans="2:8" hidden="1" outlineLevel="2">
      <c r="B386" s="373" t="s">
        <v>14</v>
      </c>
      <c r="C386" s="373" t="s">
        <v>29</v>
      </c>
      <c r="D386" s="372" t="s">
        <v>27</v>
      </c>
      <c r="E386" s="373" t="s">
        <v>498</v>
      </c>
      <c r="F386" s="491" t="s">
        <v>57</v>
      </c>
      <c r="G386" s="493">
        <v>1.8849060508733624E-3</v>
      </c>
      <c r="H386" s="493">
        <v>1</v>
      </c>
    </row>
    <row r="387" spans="2:8" hidden="1" outlineLevel="2">
      <c r="B387" s="373" t="s">
        <v>14</v>
      </c>
      <c r="C387" s="373" t="s">
        <v>29</v>
      </c>
      <c r="D387" s="372" t="s">
        <v>27</v>
      </c>
      <c r="E387" s="373" t="s">
        <v>498</v>
      </c>
      <c r="F387" s="491" t="s">
        <v>36</v>
      </c>
      <c r="G387" s="493">
        <v>2.8273590763100436E-3</v>
      </c>
      <c r="H387" s="493">
        <v>1</v>
      </c>
    </row>
    <row r="388" spans="2:8" hidden="1" outlineLevel="2">
      <c r="B388" s="373" t="s">
        <v>14</v>
      </c>
      <c r="C388" s="373" t="s">
        <v>29</v>
      </c>
      <c r="D388" s="372" t="s">
        <v>27</v>
      </c>
      <c r="E388" s="373" t="s">
        <v>498</v>
      </c>
      <c r="F388" s="491" t="s">
        <v>34</v>
      </c>
      <c r="G388" s="493">
        <v>0.10494596538461541</v>
      </c>
      <c r="H388" s="493">
        <v>1</v>
      </c>
    </row>
    <row r="389" spans="2:8" hidden="1" outlineLevel="2">
      <c r="B389" s="373" t="s">
        <v>14</v>
      </c>
      <c r="C389" s="373" t="s">
        <v>29</v>
      </c>
      <c r="D389" s="372" t="s">
        <v>27</v>
      </c>
      <c r="E389" s="373" t="s">
        <v>498</v>
      </c>
      <c r="F389" s="491" t="s">
        <v>44</v>
      </c>
      <c r="G389" s="493">
        <v>0.04</v>
      </c>
      <c r="H389" s="493">
        <v>1</v>
      </c>
    </row>
    <row r="390" spans="2:8" hidden="1" outlineLevel="2">
      <c r="B390" s="373" t="s">
        <v>14</v>
      </c>
      <c r="C390" s="373" t="s">
        <v>29</v>
      </c>
      <c r="D390" s="372" t="s">
        <v>58</v>
      </c>
      <c r="E390" s="373" t="s">
        <v>498</v>
      </c>
      <c r="F390" s="491" t="s">
        <v>31</v>
      </c>
      <c r="G390" s="493">
        <v>4.7863519954722676E-2</v>
      </c>
      <c r="H390" s="493">
        <v>1</v>
      </c>
    </row>
    <row r="391" spans="2:8" hidden="1" outlineLevel="2">
      <c r="B391" s="373" t="s">
        <v>14</v>
      </c>
      <c r="C391" s="373" t="s">
        <v>29</v>
      </c>
      <c r="D391" s="372" t="s">
        <v>58</v>
      </c>
      <c r="E391" s="373" t="s">
        <v>498</v>
      </c>
      <c r="F391" s="491" t="s">
        <v>59</v>
      </c>
      <c r="G391" s="493">
        <v>4.7863519954722676E-2</v>
      </c>
      <c r="H391" s="493">
        <v>1</v>
      </c>
    </row>
    <row r="392" spans="2:8" hidden="1" outlineLevel="2">
      <c r="B392" s="373" t="s">
        <v>14</v>
      </c>
      <c r="C392" s="373" t="s">
        <v>29</v>
      </c>
      <c r="D392" s="372" t="s">
        <v>58</v>
      </c>
      <c r="E392" s="373" t="s">
        <v>498</v>
      </c>
      <c r="F392" s="491" t="s">
        <v>60</v>
      </c>
      <c r="G392" s="493">
        <v>4.6404645614642186E-2</v>
      </c>
      <c r="H392" s="493">
        <v>1</v>
      </c>
    </row>
    <row r="393" spans="2:8" hidden="1" outlineLevel="2">
      <c r="B393" s="373" t="s">
        <v>14</v>
      </c>
      <c r="C393" s="373" t="s">
        <v>29</v>
      </c>
      <c r="D393" s="372" t="s">
        <v>58</v>
      </c>
      <c r="E393" s="373" t="s">
        <v>498</v>
      </c>
      <c r="F393" s="491" t="s">
        <v>61</v>
      </c>
      <c r="G393" s="493">
        <v>0.02</v>
      </c>
      <c r="H393" s="493">
        <v>1</v>
      </c>
    </row>
    <row r="394" spans="2:8" hidden="1" outlineLevel="2">
      <c r="B394" s="373" t="s">
        <v>14</v>
      </c>
      <c r="C394" s="373" t="s">
        <v>29</v>
      </c>
      <c r="D394" s="372" t="s">
        <v>58</v>
      </c>
      <c r="E394" s="373" t="s">
        <v>498</v>
      </c>
      <c r="F394" s="491" t="s">
        <v>45</v>
      </c>
      <c r="G394" s="493">
        <v>0.01</v>
      </c>
      <c r="H394" s="493">
        <v>1</v>
      </c>
    </row>
    <row r="395" spans="2:8" hidden="1" outlineLevel="1" collapsed="1">
      <c r="B395" s="390" t="s">
        <v>62</v>
      </c>
      <c r="C395" s="390" t="s">
        <v>63</v>
      </c>
      <c r="D395" s="390"/>
      <c r="E395" s="390" t="s">
        <v>498</v>
      </c>
      <c r="F395" s="475" t="s">
        <v>1864</v>
      </c>
      <c r="G395" s="490">
        <f>SUM(G396:G397)</f>
        <v>0.16750548359999998</v>
      </c>
      <c r="H395" s="490">
        <f>SUM(H396:H397)</f>
        <v>2</v>
      </c>
    </row>
    <row r="396" spans="2:8" hidden="1" outlineLevel="2">
      <c r="B396" s="373" t="s">
        <v>62</v>
      </c>
      <c r="C396" s="373" t="s">
        <v>63</v>
      </c>
      <c r="D396" s="372" t="s">
        <v>27</v>
      </c>
      <c r="E396" s="373" t="s">
        <v>498</v>
      </c>
      <c r="F396" s="491" t="s">
        <v>44</v>
      </c>
      <c r="G396" s="493">
        <v>3.8655111599999993E-2</v>
      </c>
      <c r="H396" s="493">
        <v>1</v>
      </c>
    </row>
    <row r="397" spans="2:8" hidden="1" outlineLevel="2">
      <c r="B397" s="373" t="s">
        <v>62</v>
      </c>
      <c r="C397" s="373" t="s">
        <v>63</v>
      </c>
      <c r="D397" s="372" t="s">
        <v>27</v>
      </c>
      <c r="E397" s="373" t="s">
        <v>498</v>
      </c>
      <c r="F397" s="491" t="s">
        <v>23</v>
      </c>
      <c r="G397" s="493">
        <v>0.12885037199999999</v>
      </c>
      <c r="H397" s="493">
        <v>1</v>
      </c>
    </row>
    <row r="398" spans="2:8" hidden="1" outlineLevel="1" collapsed="1">
      <c r="B398" s="390" t="s">
        <v>74</v>
      </c>
      <c r="C398" s="390" t="s">
        <v>75</v>
      </c>
      <c r="D398" s="390"/>
      <c r="E398" s="390" t="s">
        <v>498</v>
      </c>
      <c r="F398" s="475" t="s">
        <v>1861</v>
      </c>
      <c r="G398" s="490">
        <f>SUM(G399:G402)</f>
        <v>0.40327449999999998</v>
      </c>
      <c r="H398" s="490">
        <f>SUM(H399:H402)</f>
        <v>4</v>
      </c>
    </row>
    <row r="399" spans="2:8" hidden="1" outlineLevel="2">
      <c r="B399" s="373" t="s">
        <v>74</v>
      </c>
      <c r="C399" s="373" t="s">
        <v>75</v>
      </c>
      <c r="D399" s="372" t="s">
        <v>27</v>
      </c>
      <c r="E399" s="373" t="s">
        <v>498</v>
      </c>
      <c r="F399" s="491" t="s">
        <v>87</v>
      </c>
      <c r="G399" s="493">
        <v>0.36</v>
      </c>
      <c r="H399" s="493">
        <v>1</v>
      </c>
    </row>
    <row r="400" spans="2:8" hidden="1" outlineLevel="2">
      <c r="B400" s="373" t="s">
        <v>74</v>
      </c>
      <c r="C400" s="373" t="s">
        <v>75</v>
      </c>
      <c r="D400" s="372" t="s">
        <v>27</v>
      </c>
      <c r="E400" s="373" t="s">
        <v>498</v>
      </c>
      <c r="F400" s="491" t="s">
        <v>89</v>
      </c>
      <c r="G400" s="493">
        <v>2.183E-3</v>
      </c>
      <c r="H400" s="493">
        <v>1</v>
      </c>
    </row>
    <row r="401" spans="2:8" hidden="1" outlineLevel="2">
      <c r="B401" s="373" t="s">
        <v>74</v>
      </c>
      <c r="C401" s="373" t="s">
        <v>75</v>
      </c>
      <c r="D401" s="372" t="s">
        <v>27</v>
      </c>
      <c r="E401" s="373" t="s">
        <v>498</v>
      </c>
      <c r="F401" s="491" t="s">
        <v>88</v>
      </c>
      <c r="G401" s="493">
        <v>1.0915E-3</v>
      </c>
      <c r="H401" s="493">
        <v>1</v>
      </c>
    </row>
    <row r="402" spans="2:8" hidden="1" outlineLevel="2">
      <c r="B402" s="373" t="s">
        <v>74</v>
      </c>
      <c r="C402" s="373" t="s">
        <v>75</v>
      </c>
      <c r="D402" s="372" t="s">
        <v>58</v>
      </c>
      <c r="E402" s="373" t="s">
        <v>498</v>
      </c>
      <c r="F402" s="491" t="s">
        <v>90</v>
      </c>
      <c r="G402" s="493">
        <v>0.04</v>
      </c>
      <c r="H402" s="493">
        <v>1</v>
      </c>
    </row>
    <row r="403" spans="2:8" hidden="1" outlineLevel="1" collapsed="1">
      <c r="B403" s="390" t="s">
        <v>91</v>
      </c>
      <c r="C403" s="390" t="s">
        <v>92</v>
      </c>
      <c r="D403" s="390"/>
      <c r="E403" s="390" t="s">
        <v>498</v>
      </c>
      <c r="F403" s="475" t="s">
        <v>1862</v>
      </c>
      <c r="G403" s="490">
        <f>SUM(G404:G406)</f>
        <v>0.14000000000000001</v>
      </c>
      <c r="H403" s="490">
        <f>SUM(H404:H406)</f>
        <v>3</v>
      </c>
    </row>
    <row r="404" spans="2:8" hidden="1" outlineLevel="2">
      <c r="B404" s="373" t="s">
        <v>91</v>
      </c>
      <c r="C404" s="373" t="s">
        <v>92</v>
      </c>
      <c r="D404" s="372" t="s">
        <v>27</v>
      </c>
      <c r="E404" s="373" t="s">
        <v>498</v>
      </c>
      <c r="F404" s="491" t="s">
        <v>113</v>
      </c>
      <c r="G404" s="493">
        <v>0.02</v>
      </c>
      <c r="H404" s="493">
        <v>1</v>
      </c>
    </row>
    <row r="405" spans="2:8" hidden="1" outlineLevel="2">
      <c r="B405" s="373" t="s">
        <v>91</v>
      </c>
      <c r="C405" s="373" t="s">
        <v>92</v>
      </c>
      <c r="D405" s="372" t="s">
        <v>27</v>
      </c>
      <c r="E405" s="373" t="s">
        <v>498</v>
      </c>
      <c r="F405" s="491" t="s">
        <v>114</v>
      </c>
      <c r="G405" s="493">
        <v>0.06</v>
      </c>
      <c r="H405" s="493">
        <v>1</v>
      </c>
    </row>
    <row r="406" spans="2:8" hidden="1" outlineLevel="2">
      <c r="B406" s="373" t="s">
        <v>91</v>
      </c>
      <c r="C406" s="373" t="s">
        <v>92</v>
      </c>
      <c r="D406" s="372" t="s">
        <v>27</v>
      </c>
      <c r="E406" s="373" t="s">
        <v>498</v>
      </c>
      <c r="F406" s="491" t="s">
        <v>115</v>
      </c>
      <c r="G406" s="493">
        <v>0.06</v>
      </c>
      <c r="H406" s="493">
        <v>1</v>
      </c>
    </row>
    <row r="407" spans="2:8" hidden="1" outlineLevel="1" collapsed="1">
      <c r="B407" s="390" t="s">
        <v>130</v>
      </c>
      <c r="C407" s="390" t="s">
        <v>131</v>
      </c>
      <c r="D407" s="390"/>
      <c r="E407" s="390" t="s">
        <v>498</v>
      </c>
      <c r="F407" s="475" t="s">
        <v>1850</v>
      </c>
      <c r="G407" s="490">
        <f>SUM(G408:G409)</f>
        <v>3.1655887211519997E-2</v>
      </c>
      <c r="H407" s="490">
        <f>SUM(H408:H409)</f>
        <v>2</v>
      </c>
    </row>
    <row r="408" spans="2:8" hidden="1" outlineLevel="2">
      <c r="B408" s="373" t="s">
        <v>130</v>
      </c>
      <c r="C408" s="373" t="s">
        <v>131</v>
      </c>
      <c r="D408" s="372" t="s">
        <v>27</v>
      </c>
      <c r="E408" s="373" t="s">
        <v>498</v>
      </c>
      <c r="F408" s="491" t="s">
        <v>157</v>
      </c>
      <c r="G408" s="493">
        <v>1.5827943605759998E-2</v>
      </c>
      <c r="H408" s="493">
        <v>1</v>
      </c>
    </row>
    <row r="409" spans="2:8" hidden="1" outlineLevel="2">
      <c r="B409" s="373" t="s">
        <v>130</v>
      </c>
      <c r="C409" s="373" t="s">
        <v>131</v>
      </c>
      <c r="D409" s="372" t="s">
        <v>27</v>
      </c>
      <c r="E409" s="373" t="s">
        <v>498</v>
      </c>
      <c r="F409" s="491" t="s">
        <v>158</v>
      </c>
      <c r="G409" s="493">
        <v>1.5827943605759998E-2</v>
      </c>
      <c r="H409" s="493">
        <v>1</v>
      </c>
    </row>
    <row r="410" spans="2:8" hidden="1" outlineLevel="1" collapsed="1">
      <c r="B410" s="390" t="s">
        <v>160</v>
      </c>
      <c r="C410" s="390" t="s">
        <v>22</v>
      </c>
      <c r="D410" s="390"/>
      <c r="E410" s="390" t="s">
        <v>498</v>
      </c>
      <c r="F410" s="475" t="s">
        <v>1851</v>
      </c>
      <c r="G410" s="490">
        <f>SUM(G411:G412)</f>
        <v>4.7122779914999996E-2</v>
      </c>
      <c r="H410" s="490">
        <f>SUM(H411:H412)</f>
        <v>2</v>
      </c>
    </row>
    <row r="411" spans="2:8" hidden="1" outlineLevel="2">
      <c r="B411" s="373" t="s">
        <v>160</v>
      </c>
      <c r="C411" s="373" t="s">
        <v>22</v>
      </c>
      <c r="D411" s="373" t="s">
        <v>27</v>
      </c>
      <c r="E411" s="373" t="s">
        <v>498</v>
      </c>
      <c r="F411" s="494" t="s">
        <v>163</v>
      </c>
      <c r="G411" s="493">
        <v>1.6300332674999998E-2</v>
      </c>
      <c r="H411" s="493">
        <v>1</v>
      </c>
    </row>
    <row r="412" spans="2:8" hidden="1" outlineLevel="2">
      <c r="B412" s="373" t="s">
        <v>160</v>
      </c>
      <c r="C412" s="373" t="s">
        <v>22</v>
      </c>
      <c r="D412" s="373" t="s">
        <v>27</v>
      </c>
      <c r="E412" s="373" t="s">
        <v>498</v>
      </c>
      <c r="F412" s="494" t="s">
        <v>164</v>
      </c>
      <c r="G412" s="493">
        <v>3.0822447240000002E-2</v>
      </c>
      <c r="H412" s="493">
        <v>1</v>
      </c>
    </row>
    <row r="413" spans="2:8" hidden="1" outlineLevel="1" collapsed="1">
      <c r="B413" s="390" t="s">
        <v>296</v>
      </c>
      <c r="C413" s="390" t="s">
        <v>297</v>
      </c>
      <c r="D413" s="390"/>
      <c r="E413" s="390" t="s">
        <v>498</v>
      </c>
      <c r="F413" s="475" t="s">
        <v>1852</v>
      </c>
      <c r="G413" s="490">
        <f>SUM(G414:G418)</f>
        <v>2.1646138109098385</v>
      </c>
      <c r="H413" s="490">
        <f>SUM(H414:H418)</f>
        <v>5</v>
      </c>
    </row>
    <row r="414" spans="2:8" hidden="1" outlineLevel="2">
      <c r="B414" s="373" t="s">
        <v>296</v>
      </c>
      <c r="C414" s="373" t="s">
        <v>297</v>
      </c>
      <c r="D414" s="373" t="s">
        <v>27</v>
      </c>
      <c r="E414" s="373" t="s">
        <v>28</v>
      </c>
      <c r="F414" s="491" t="s">
        <v>31</v>
      </c>
      <c r="G414" s="492">
        <v>0.51810229145509312</v>
      </c>
      <c r="H414" s="492">
        <v>1</v>
      </c>
    </row>
    <row r="415" spans="2:8" hidden="1" outlineLevel="2">
      <c r="B415" s="373" t="s">
        <v>296</v>
      </c>
      <c r="C415" s="373" t="s">
        <v>297</v>
      </c>
      <c r="D415" s="373" t="s">
        <v>27</v>
      </c>
      <c r="E415" s="373" t="s">
        <v>28</v>
      </c>
      <c r="F415" s="491" t="s">
        <v>33</v>
      </c>
      <c r="G415" s="492">
        <v>0.51810229145509312</v>
      </c>
      <c r="H415" s="492">
        <v>1</v>
      </c>
    </row>
    <row r="416" spans="2:8" hidden="1" outlineLevel="2">
      <c r="B416" s="373" t="s">
        <v>296</v>
      </c>
      <c r="C416" s="373" t="s">
        <v>297</v>
      </c>
      <c r="D416" s="373" t="s">
        <v>27</v>
      </c>
      <c r="E416" s="373" t="s">
        <v>28</v>
      </c>
      <c r="F416" s="491" t="s">
        <v>170</v>
      </c>
      <c r="G416" s="492">
        <v>0.25905114572754701</v>
      </c>
      <c r="H416" s="492">
        <v>1</v>
      </c>
    </row>
    <row r="417" spans="2:8" hidden="1" outlineLevel="2">
      <c r="B417" s="373" t="s">
        <v>296</v>
      </c>
      <c r="C417" s="373" t="s">
        <v>297</v>
      </c>
      <c r="D417" s="373" t="s">
        <v>58</v>
      </c>
      <c r="E417" s="373" t="s">
        <v>28</v>
      </c>
      <c r="F417" s="491" t="s">
        <v>31</v>
      </c>
      <c r="G417" s="492">
        <v>0.43467904113605266</v>
      </c>
      <c r="H417" s="492">
        <v>1</v>
      </c>
    </row>
    <row r="418" spans="2:8" hidden="1" outlineLevel="2">
      <c r="B418" s="373" t="s">
        <v>296</v>
      </c>
      <c r="C418" s="373" t="s">
        <v>297</v>
      </c>
      <c r="D418" s="373" t="s">
        <v>58</v>
      </c>
      <c r="E418" s="373" t="s">
        <v>28</v>
      </c>
      <c r="F418" s="491" t="s">
        <v>33</v>
      </c>
      <c r="G418" s="492">
        <v>0.43467904113605266</v>
      </c>
      <c r="H418" s="492">
        <v>1</v>
      </c>
    </row>
    <row r="419" spans="2:8" hidden="1" outlineLevel="1" collapsed="1">
      <c r="B419" s="390" t="s">
        <v>167</v>
      </c>
      <c r="C419" s="390" t="s">
        <v>121</v>
      </c>
      <c r="D419" s="390"/>
      <c r="E419" s="390" t="s">
        <v>498</v>
      </c>
      <c r="F419" s="475" t="s">
        <v>1853</v>
      </c>
      <c r="G419" s="490">
        <f>SUM(G420)</f>
        <v>0.04</v>
      </c>
      <c r="H419" s="490">
        <f>SUM(H420)</f>
        <v>1</v>
      </c>
    </row>
    <row r="420" spans="2:8" hidden="1" outlineLevel="2">
      <c r="B420" s="373" t="s">
        <v>167</v>
      </c>
      <c r="C420" s="373" t="s">
        <v>121</v>
      </c>
      <c r="D420" s="373" t="s">
        <v>27</v>
      </c>
      <c r="E420" s="373" t="s">
        <v>498</v>
      </c>
      <c r="F420" s="494" t="s">
        <v>129</v>
      </c>
      <c r="G420" s="493">
        <v>0.04</v>
      </c>
      <c r="H420" s="493">
        <v>1</v>
      </c>
    </row>
    <row r="421" spans="2:8" hidden="1" outlineLevel="1" collapsed="1">
      <c r="B421" s="390" t="s">
        <v>173</v>
      </c>
      <c r="C421" s="390" t="s">
        <v>173</v>
      </c>
      <c r="D421" s="390"/>
      <c r="E421" s="390" t="s">
        <v>498</v>
      </c>
      <c r="F421" s="475" t="s">
        <v>1871</v>
      </c>
      <c r="G421" s="490">
        <f>SUM(G422:G425)</f>
        <v>0.32421103968587378</v>
      </c>
      <c r="H421" s="490">
        <f>SUM(H422:H425)</f>
        <v>4</v>
      </c>
    </row>
    <row r="422" spans="2:8" hidden="1" outlineLevel="2">
      <c r="B422" s="373" t="s">
        <v>173</v>
      </c>
      <c r="C422" s="373" t="s">
        <v>173</v>
      </c>
      <c r="D422" s="373" t="s">
        <v>27</v>
      </c>
      <c r="E422" s="373" t="s">
        <v>28</v>
      </c>
      <c r="F422" s="494" t="s">
        <v>178</v>
      </c>
      <c r="G422" s="492">
        <v>0.17350895211679071</v>
      </c>
      <c r="H422" s="492">
        <v>1</v>
      </c>
    </row>
    <row r="423" spans="2:8" hidden="1" outlineLevel="2">
      <c r="B423" s="373" t="s">
        <v>173</v>
      </c>
      <c r="C423" s="373" t="s">
        <v>173</v>
      </c>
      <c r="D423" s="373" t="s">
        <v>27</v>
      </c>
      <c r="E423" s="373" t="s">
        <v>28</v>
      </c>
      <c r="F423" s="494" t="s">
        <v>107</v>
      </c>
      <c r="G423" s="492">
        <v>4.9573986319083066E-2</v>
      </c>
      <c r="H423" s="492">
        <v>1</v>
      </c>
    </row>
    <row r="424" spans="2:8" hidden="1" outlineLevel="2">
      <c r="B424" s="373" t="s">
        <v>173</v>
      </c>
      <c r="C424" s="373" t="s">
        <v>173</v>
      </c>
      <c r="D424" s="373" t="s">
        <v>27</v>
      </c>
      <c r="E424" s="373" t="s">
        <v>28</v>
      </c>
      <c r="F424" s="494" t="s">
        <v>88</v>
      </c>
      <c r="G424" s="492">
        <v>0.02</v>
      </c>
      <c r="H424" s="492">
        <v>1</v>
      </c>
    </row>
    <row r="425" spans="2:8" hidden="1" outlineLevel="2">
      <c r="B425" s="373" t="s">
        <v>173</v>
      </c>
      <c r="C425" s="373" t="s">
        <v>173</v>
      </c>
      <c r="D425" s="373" t="s">
        <v>58</v>
      </c>
      <c r="E425" s="373" t="s">
        <v>28</v>
      </c>
      <c r="F425" s="494" t="s">
        <v>108</v>
      </c>
      <c r="G425" s="492">
        <v>8.1128101250000001E-2</v>
      </c>
      <c r="H425" s="492">
        <v>1</v>
      </c>
    </row>
    <row r="426" spans="2:8" hidden="1" outlineLevel="1" collapsed="1">
      <c r="B426" s="390" t="s">
        <v>182</v>
      </c>
      <c r="C426" s="390" t="s">
        <v>182</v>
      </c>
      <c r="D426" s="390"/>
      <c r="E426" s="390" t="s">
        <v>498</v>
      </c>
      <c r="F426" s="475" t="s">
        <v>1872</v>
      </c>
      <c r="G426" s="490">
        <f>SUM(G427)</f>
        <v>3.6853334887931043E-2</v>
      </c>
      <c r="H426" s="490">
        <f>SUM(H427)</f>
        <v>1</v>
      </c>
    </row>
    <row r="427" spans="2:8" s="375" customFormat="1" hidden="1" outlineLevel="2">
      <c r="B427" s="373" t="s">
        <v>182</v>
      </c>
      <c r="C427" s="373" t="s">
        <v>182</v>
      </c>
      <c r="D427" s="372" t="s">
        <v>27</v>
      </c>
      <c r="E427" s="373" t="s">
        <v>498</v>
      </c>
      <c r="F427" s="468" t="s">
        <v>220</v>
      </c>
      <c r="G427" s="480">
        <v>3.6853334887931043E-2</v>
      </c>
      <c r="H427" s="480">
        <v>1</v>
      </c>
    </row>
    <row r="428" spans="2:8" hidden="1" outlineLevel="1" collapsed="1">
      <c r="B428" s="390" t="s">
        <v>222</v>
      </c>
      <c r="C428" s="390" t="s">
        <v>222</v>
      </c>
      <c r="D428" s="390"/>
      <c r="E428" s="390" t="s">
        <v>498</v>
      </c>
      <c r="F428" s="475" t="s">
        <v>1873</v>
      </c>
      <c r="G428" s="490">
        <f>SUM(G429:G430)</f>
        <v>2.1397857699999998E-2</v>
      </c>
      <c r="H428" s="490">
        <f>SUM(H429:H430)</f>
        <v>2</v>
      </c>
    </row>
    <row r="429" spans="2:8" hidden="1" outlineLevel="2">
      <c r="B429" s="373" t="s">
        <v>222</v>
      </c>
      <c r="C429" s="373" t="s">
        <v>222</v>
      </c>
      <c r="D429" s="372" t="s">
        <v>27</v>
      </c>
      <c r="E429" s="373" t="s">
        <v>498</v>
      </c>
      <c r="F429" s="468" t="s">
        <v>231</v>
      </c>
      <c r="G429" s="480">
        <v>2.0842521999999999E-2</v>
      </c>
      <c r="H429" s="480">
        <v>1</v>
      </c>
    </row>
    <row r="430" spans="2:8" hidden="1" outlineLevel="2">
      <c r="B430" s="373" t="s">
        <v>222</v>
      </c>
      <c r="C430" s="373" t="s">
        <v>222</v>
      </c>
      <c r="D430" s="372" t="s">
        <v>27</v>
      </c>
      <c r="E430" s="373" t="s">
        <v>498</v>
      </c>
      <c r="F430" s="468" t="s">
        <v>232</v>
      </c>
      <c r="G430" s="480">
        <v>5.5533570000000003E-4</v>
      </c>
      <c r="H430" s="480">
        <v>1</v>
      </c>
    </row>
    <row r="431" spans="2:8" hidden="1" outlineLevel="1">
      <c r="B431" s="390" t="s">
        <v>233</v>
      </c>
      <c r="C431" s="390" t="s">
        <v>233</v>
      </c>
      <c r="D431" s="390"/>
      <c r="E431" s="390" t="s">
        <v>498</v>
      </c>
      <c r="F431" s="475" t="s">
        <v>1874</v>
      </c>
      <c r="G431" s="490">
        <v>0</v>
      </c>
      <c r="H431" s="490">
        <v>0</v>
      </c>
    </row>
    <row r="432" spans="2:8" hidden="1" outlineLevel="1">
      <c r="B432" s="390" t="s">
        <v>240</v>
      </c>
      <c r="C432" s="390" t="s">
        <v>240</v>
      </c>
      <c r="D432" s="390"/>
      <c r="E432" s="390" t="s">
        <v>498</v>
      </c>
      <c r="F432" s="475" t="s">
        <v>1880</v>
      </c>
      <c r="G432" s="490">
        <v>0</v>
      </c>
      <c r="H432" s="490">
        <v>0</v>
      </c>
    </row>
    <row r="433" spans="2:8" hidden="1" outlineLevel="1">
      <c r="B433" s="390" t="s">
        <v>243</v>
      </c>
      <c r="C433" s="390" t="s">
        <v>243</v>
      </c>
      <c r="D433" s="390"/>
      <c r="E433" s="390" t="s">
        <v>498</v>
      </c>
      <c r="F433" s="475" t="s">
        <v>1883</v>
      </c>
      <c r="G433" s="490">
        <v>0</v>
      </c>
      <c r="H433" s="490">
        <v>0</v>
      </c>
    </row>
    <row r="434" spans="2:8" hidden="1" outlineLevel="1" collapsed="1">
      <c r="B434" s="390" t="s">
        <v>245</v>
      </c>
      <c r="C434" s="390" t="s">
        <v>246</v>
      </c>
      <c r="D434" s="390"/>
      <c r="E434" s="390" t="s">
        <v>498</v>
      </c>
      <c r="F434" s="475" t="s">
        <v>1854</v>
      </c>
      <c r="G434" s="490">
        <f>SUM(G435:G437)</f>
        <v>1.6800000000000002E-2</v>
      </c>
      <c r="H434" s="490">
        <f>SUM(H435:H437)</f>
        <v>3</v>
      </c>
    </row>
    <row r="435" spans="2:8" hidden="1" outlineLevel="2">
      <c r="B435" s="373" t="s">
        <v>245</v>
      </c>
      <c r="C435" s="373" t="s">
        <v>246</v>
      </c>
      <c r="D435" s="373" t="s">
        <v>27</v>
      </c>
      <c r="E435" s="373" t="s">
        <v>28</v>
      </c>
      <c r="F435" s="491" t="s">
        <v>236</v>
      </c>
      <c r="G435" s="492">
        <v>5.4000000000000003E-3</v>
      </c>
      <c r="H435" s="492">
        <v>1</v>
      </c>
    </row>
    <row r="436" spans="2:8" hidden="1" outlineLevel="2">
      <c r="B436" s="373" t="s">
        <v>245</v>
      </c>
      <c r="C436" s="373" t="s">
        <v>246</v>
      </c>
      <c r="D436" s="373" t="s">
        <v>27</v>
      </c>
      <c r="E436" s="373" t="s">
        <v>28</v>
      </c>
      <c r="F436" s="491" t="s">
        <v>32</v>
      </c>
      <c r="G436" s="492">
        <v>5.4000000000000003E-3</v>
      </c>
      <c r="H436" s="492">
        <v>1</v>
      </c>
    </row>
    <row r="437" spans="2:8" hidden="1" outlineLevel="2">
      <c r="B437" s="373" t="s">
        <v>245</v>
      </c>
      <c r="C437" s="373" t="s">
        <v>246</v>
      </c>
      <c r="D437" s="373" t="s">
        <v>58</v>
      </c>
      <c r="E437" s="373" t="s">
        <v>28</v>
      </c>
      <c r="F437" s="491" t="s">
        <v>236</v>
      </c>
      <c r="G437" s="492">
        <v>6.0000000000000001E-3</v>
      </c>
      <c r="H437" s="492">
        <v>1</v>
      </c>
    </row>
    <row r="438" spans="2:8" hidden="1" outlineLevel="1" collapsed="1">
      <c r="B438" s="390" t="s">
        <v>248</v>
      </c>
      <c r="C438" s="390" t="s">
        <v>249</v>
      </c>
      <c r="D438" s="390"/>
      <c r="E438" s="390" t="s">
        <v>498</v>
      </c>
      <c r="F438" s="475" t="s">
        <v>1855</v>
      </c>
      <c r="G438" s="490">
        <f>SUM(G439:G446)</f>
        <v>0.23026800000000003</v>
      </c>
      <c r="H438" s="490">
        <f>SUM(H439:H446)</f>
        <v>8</v>
      </c>
    </row>
    <row r="439" spans="2:8" hidden="1" outlineLevel="2">
      <c r="B439" s="373" t="s">
        <v>248</v>
      </c>
      <c r="C439" s="373" t="s">
        <v>249</v>
      </c>
      <c r="D439" s="373" t="s">
        <v>27</v>
      </c>
      <c r="E439" s="373" t="s">
        <v>28</v>
      </c>
      <c r="F439" s="491" t="s">
        <v>32</v>
      </c>
      <c r="G439" s="492">
        <v>1.6713000000000002E-2</v>
      </c>
      <c r="H439" s="492">
        <v>1</v>
      </c>
    </row>
    <row r="440" spans="2:8" hidden="1" outlineLevel="2">
      <c r="B440" s="373" t="s">
        <v>248</v>
      </c>
      <c r="C440" s="373" t="s">
        <v>249</v>
      </c>
      <c r="D440" s="373" t="s">
        <v>27</v>
      </c>
      <c r="E440" s="373" t="s">
        <v>28</v>
      </c>
      <c r="F440" s="491" t="s">
        <v>237</v>
      </c>
      <c r="G440" s="492">
        <v>1.6713000000000002E-2</v>
      </c>
      <c r="H440" s="492">
        <v>1</v>
      </c>
    </row>
    <row r="441" spans="2:8" hidden="1" outlineLevel="2">
      <c r="B441" s="373" t="s">
        <v>248</v>
      </c>
      <c r="C441" s="373" t="s">
        <v>249</v>
      </c>
      <c r="D441" s="373" t="s">
        <v>27</v>
      </c>
      <c r="E441" s="373" t="s">
        <v>28</v>
      </c>
      <c r="F441" s="491" t="s">
        <v>238</v>
      </c>
      <c r="G441" s="492">
        <v>5.8495499999999999E-2</v>
      </c>
      <c r="H441" s="492">
        <v>1</v>
      </c>
    </row>
    <row r="442" spans="2:8" hidden="1" outlineLevel="2">
      <c r="B442" s="373" t="s">
        <v>248</v>
      </c>
      <c r="C442" s="373" t="s">
        <v>249</v>
      </c>
      <c r="D442" s="373" t="s">
        <v>27</v>
      </c>
      <c r="E442" s="373" t="s">
        <v>28</v>
      </c>
      <c r="F442" s="491" t="s">
        <v>242</v>
      </c>
      <c r="G442" s="492">
        <v>2.5069499999999998E-2</v>
      </c>
      <c r="H442" s="492">
        <v>1</v>
      </c>
    </row>
    <row r="443" spans="2:8" hidden="1" outlineLevel="2">
      <c r="B443" s="373" t="s">
        <v>248</v>
      </c>
      <c r="C443" s="373" t="s">
        <v>249</v>
      </c>
      <c r="D443" s="373" t="s">
        <v>27</v>
      </c>
      <c r="E443" s="373" t="s">
        <v>28</v>
      </c>
      <c r="F443" s="491" t="s">
        <v>239</v>
      </c>
      <c r="G443" s="492">
        <v>2.5069499999999998E-2</v>
      </c>
      <c r="H443" s="492">
        <v>1</v>
      </c>
    </row>
    <row r="444" spans="2:8" hidden="1" outlineLevel="2">
      <c r="B444" s="373" t="s">
        <v>248</v>
      </c>
      <c r="C444" s="373" t="s">
        <v>249</v>
      </c>
      <c r="D444" s="373" t="s">
        <v>58</v>
      </c>
      <c r="E444" s="373" t="s">
        <v>28</v>
      </c>
      <c r="F444" s="491" t="s">
        <v>236</v>
      </c>
      <c r="G444" s="492">
        <v>1.857E-2</v>
      </c>
      <c r="H444" s="492">
        <v>1</v>
      </c>
    </row>
    <row r="445" spans="2:8" hidden="1" outlineLevel="2">
      <c r="B445" s="373" t="s">
        <v>248</v>
      </c>
      <c r="C445" s="373" t="s">
        <v>249</v>
      </c>
      <c r="D445" s="373" t="s">
        <v>58</v>
      </c>
      <c r="E445" s="373" t="s">
        <v>28</v>
      </c>
      <c r="F445" s="491" t="s">
        <v>237</v>
      </c>
      <c r="G445" s="492">
        <v>1.857E-2</v>
      </c>
      <c r="H445" s="492">
        <v>1</v>
      </c>
    </row>
    <row r="446" spans="2:8" hidden="1" outlineLevel="2">
      <c r="B446" s="373" t="s">
        <v>248</v>
      </c>
      <c r="C446" s="373" t="s">
        <v>249</v>
      </c>
      <c r="D446" s="373" t="s">
        <v>58</v>
      </c>
      <c r="E446" s="373" t="s">
        <v>28</v>
      </c>
      <c r="F446" s="491" t="s">
        <v>242</v>
      </c>
      <c r="G446" s="492">
        <v>5.1067500000000002E-2</v>
      </c>
      <c r="H446" s="492">
        <v>1</v>
      </c>
    </row>
    <row r="447" spans="2:8" hidden="1" outlineLevel="1" collapsed="1">
      <c r="B447" s="390" t="s">
        <v>251</v>
      </c>
      <c r="C447" s="390" t="s">
        <v>252</v>
      </c>
      <c r="D447" s="390"/>
      <c r="E447" s="390" t="s">
        <v>498</v>
      </c>
      <c r="F447" s="475" t="s">
        <v>1890</v>
      </c>
      <c r="G447" s="490">
        <f>SUM(G448)</f>
        <v>1.13E-4</v>
      </c>
      <c r="H447" s="490">
        <f>SUM(H448)</f>
        <v>1</v>
      </c>
    </row>
    <row r="448" spans="2:8" hidden="1" outlineLevel="2">
      <c r="B448" s="373" t="s">
        <v>251</v>
      </c>
      <c r="C448" s="373" t="s">
        <v>252</v>
      </c>
      <c r="D448" s="373" t="s">
        <v>58</v>
      </c>
      <c r="E448" s="373" t="s">
        <v>28</v>
      </c>
      <c r="F448" s="491" t="s">
        <v>257</v>
      </c>
      <c r="G448" s="492">
        <v>1.13E-4</v>
      </c>
      <c r="H448" s="492">
        <v>1</v>
      </c>
    </row>
    <row r="449" spans="2:8" hidden="1" outlineLevel="1">
      <c r="B449" s="390" t="s">
        <v>258</v>
      </c>
      <c r="C449" s="390" t="s">
        <v>259</v>
      </c>
      <c r="D449" s="390"/>
      <c r="E449" s="390" t="s">
        <v>498</v>
      </c>
      <c r="F449" s="475" t="s">
        <v>1856</v>
      </c>
      <c r="G449" s="490">
        <v>0</v>
      </c>
      <c r="H449" s="490">
        <v>0</v>
      </c>
    </row>
    <row r="450" spans="2:8" hidden="1" outlineLevel="1" collapsed="1">
      <c r="B450" s="390" t="s">
        <v>351</v>
      </c>
      <c r="C450" s="390" t="s">
        <v>351</v>
      </c>
      <c r="D450" s="390"/>
      <c r="E450" s="390" t="s">
        <v>498</v>
      </c>
      <c r="F450" s="475" t="s">
        <v>1937</v>
      </c>
      <c r="G450" s="490">
        <f>SUM(G451:G457)</f>
        <v>0</v>
      </c>
      <c r="H450" s="490">
        <f>SUM(H451:H457)</f>
        <v>7</v>
      </c>
    </row>
    <row r="451" spans="2:8" hidden="1" outlineLevel="2">
      <c r="B451" s="373" t="s">
        <v>351</v>
      </c>
      <c r="C451" s="373" t="s">
        <v>351</v>
      </c>
      <c r="D451" s="373" t="s">
        <v>175</v>
      </c>
      <c r="E451" s="373" t="s">
        <v>28</v>
      </c>
      <c r="F451" s="491" t="s">
        <v>284</v>
      </c>
      <c r="G451" s="492"/>
      <c r="H451" s="492">
        <v>1</v>
      </c>
    </row>
    <row r="452" spans="2:8" hidden="1" outlineLevel="2">
      <c r="B452" s="373" t="s">
        <v>351</v>
      </c>
      <c r="C452" s="373" t="s">
        <v>351</v>
      </c>
      <c r="D452" s="373" t="s">
        <v>175</v>
      </c>
      <c r="E452" s="373" t="s">
        <v>28</v>
      </c>
      <c r="F452" s="491" t="s">
        <v>236</v>
      </c>
      <c r="G452" s="492"/>
      <c r="H452" s="492">
        <v>1</v>
      </c>
    </row>
    <row r="453" spans="2:8" hidden="1" outlineLevel="2">
      <c r="B453" s="373" t="s">
        <v>351</v>
      </c>
      <c r="C453" s="373" t="s">
        <v>351</v>
      </c>
      <c r="D453" s="373" t="s">
        <v>175</v>
      </c>
      <c r="E453" s="373" t="s">
        <v>28</v>
      </c>
      <c r="F453" s="491" t="s">
        <v>32</v>
      </c>
      <c r="G453" s="492"/>
      <c r="H453" s="492">
        <v>1</v>
      </c>
    </row>
    <row r="454" spans="2:8" hidden="1" outlineLevel="2">
      <c r="B454" s="373" t="s">
        <v>351</v>
      </c>
      <c r="C454" s="373" t="s">
        <v>351</v>
      </c>
      <c r="D454" s="373" t="s">
        <v>27</v>
      </c>
      <c r="E454" s="373" t="s">
        <v>28</v>
      </c>
      <c r="F454" s="491" t="s">
        <v>236</v>
      </c>
      <c r="G454" s="492"/>
      <c r="H454" s="492">
        <v>1</v>
      </c>
    </row>
    <row r="455" spans="2:8" hidden="1" outlineLevel="2">
      <c r="B455" s="373" t="s">
        <v>351</v>
      </c>
      <c r="C455" s="373" t="s">
        <v>351</v>
      </c>
      <c r="D455" s="373" t="s">
        <v>27</v>
      </c>
      <c r="E455" s="373" t="s">
        <v>28</v>
      </c>
      <c r="F455" s="491" t="s">
        <v>32</v>
      </c>
      <c r="G455" s="492"/>
      <c r="H455" s="492">
        <v>1</v>
      </c>
    </row>
    <row r="456" spans="2:8" hidden="1" outlineLevel="2">
      <c r="B456" s="373" t="s">
        <v>351</v>
      </c>
      <c r="C456" s="373" t="s">
        <v>351</v>
      </c>
      <c r="D456" s="373" t="s">
        <v>58</v>
      </c>
      <c r="E456" s="373" t="s">
        <v>28</v>
      </c>
      <c r="F456" s="491" t="s">
        <v>236</v>
      </c>
      <c r="G456" s="492"/>
      <c r="H456" s="492">
        <v>1</v>
      </c>
    </row>
    <row r="457" spans="2:8" hidden="1" outlineLevel="2">
      <c r="B457" s="373" t="s">
        <v>351</v>
      </c>
      <c r="C457" s="373" t="s">
        <v>351</v>
      </c>
      <c r="D457" s="373" t="s">
        <v>58</v>
      </c>
      <c r="E457" s="373" t="s">
        <v>28</v>
      </c>
      <c r="F457" s="491" t="s">
        <v>32</v>
      </c>
      <c r="G457" s="492"/>
      <c r="H457" s="492">
        <v>1</v>
      </c>
    </row>
    <row r="458" spans="2:8" hidden="1" outlineLevel="1" collapsed="1">
      <c r="B458" s="390" t="s">
        <v>353</v>
      </c>
      <c r="C458" s="390" t="s">
        <v>354</v>
      </c>
      <c r="D458" s="390"/>
      <c r="E458" s="390" t="s">
        <v>498</v>
      </c>
      <c r="F458" s="475" t="s">
        <v>1865</v>
      </c>
      <c r="G458" s="490">
        <f>SUM(G459:G461)</f>
        <v>0.15000000000000002</v>
      </c>
      <c r="H458" s="490">
        <f>SUM(H459:H461)</f>
        <v>3</v>
      </c>
    </row>
    <row r="459" spans="2:8" hidden="1" outlineLevel="2">
      <c r="B459" s="373" t="s">
        <v>353</v>
      </c>
      <c r="C459" s="373" t="s">
        <v>354</v>
      </c>
      <c r="D459" s="373" t="s">
        <v>27</v>
      </c>
      <c r="E459" s="373" t="s">
        <v>28</v>
      </c>
      <c r="F459" s="491" t="s">
        <v>236</v>
      </c>
      <c r="G459" s="492">
        <v>0.05</v>
      </c>
      <c r="H459" s="492">
        <v>1</v>
      </c>
    </row>
    <row r="460" spans="2:8" hidden="1" outlineLevel="2">
      <c r="B460" s="373" t="s">
        <v>353</v>
      </c>
      <c r="C460" s="373" t="s">
        <v>354</v>
      </c>
      <c r="D460" s="373" t="s">
        <v>27</v>
      </c>
      <c r="E460" s="373" t="s">
        <v>28</v>
      </c>
      <c r="F460" s="491" t="s">
        <v>32</v>
      </c>
      <c r="G460" s="492">
        <v>0.05</v>
      </c>
      <c r="H460" s="492">
        <v>1</v>
      </c>
    </row>
    <row r="461" spans="2:8" hidden="1" outlineLevel="2">
      <c r="B461" s="373" t="s">
        <v>353</v>
      </c>
      <c r="C461" s="373" t="s">
        <v>354</v>
      </c>
      <c r="D461" s="373" t="s">
        <v>58</v>
      </c>
      <c r="E461" s="373" t="s">
        <v>28</v>
      </c>
      <c r="F461" s="491" t="s">
        <v>32</v>
      </c>
      <c r="G461" s="492">
        <v>0.05</v>
      </c>
      <c r="H461" s="492">
        <v>1</v>
      </c>
    </row>
    <row r="462" spans="2:8" hidden="1" outlineLevel="1" collapsed="1">
      <c r="B462" s="390" t="s">
        <v>281</v>
      </c>
      <c r="C462" s="390" t="s">
        <v>70</v>
      </c>
      <c r="D462" s="390"/>
      <c r="E462" s="390" t="s">
        <v>498</v>
      </c>
      <c r="F462" s="475" t="s">
        <v>1857</v>
      </c>
      <c r="G462" s="490">
        <f>SUM(G463:G466)</f>
        <v>0.16686000000000001</v>
      </c>
      <c r="H462" s="490">
        <f>SUM(H463:H466)</f>
        <v>4</v>
      </c>
    </row>
    <row r="463" spans="2:8" hidden="1" outlineLevel="2">
      <c r="B463" s="373" t="s">
        <v>281</v>
      </c>
      <c r="C463" s="373" t="s">
        <v>70</v>
      </c>
      <c r="D463" s="372" t="s">
        <v>27</v>
      </c>
      <c r="E463" s="373" t="s">
        <v>498</v>
      </c>
      <c r="F463" s="491" t="s">
        <v>31</v>
      </c>
      <c r="G463" s="493">
        <v>6.3719999999999999E-2</v>
      </c>
      <c r="H463" s="493">
        <v>1</v>
      </c>
    </row>
    <row r="464" spans="2:8" hidden="1" outlineLevel="2">
      <c r="B464" s="373" t="s">
        <v>281</v>
      </c>
      <c r="C464" s="373" t="s">
        <v>70</v>
      </c>
      <c r="D464" s="372" t="s">
        <v>27</v>
      </c>
      <c r="E464" s="373" t="s">
        <v>498</v>
      </c>
      <c r="F464" s="491" t="s">
        <v>32</v>
      </c>
      <c r="G464" s="493">
        <v>3.1859999999999999E-2</v>
      </c>
      <c r="H464" s="493">
        <v>1</v>
      </c>
    </row>
    <row r="465" spans="2:8" hidden="1" outlineLevel="2">
      <c r="B465" s="373" t="s">
        <v>281</v>
      </c>
      <c r="C465" s="373" t="s">
        <v>70</v>
      </c>
      <c r="D465" s="372" t="s">
        <v>58</v>
      </c>
      <c r="E465" s="373" t="s">
        <v>498</v>
      </c>
      <c r="F465" s="491" t="s">
        <v>31</v>
      </c>
      <c r="G465" s="493">
        <v>5.3460000000000001E-2</v>
      </c>
      <c r="H465" s="493">
        <v>1</v>
      </c>
    </row>
    <row r="466" spans="2:8" hidden="1" outlineLevel="2">
      <c r="B466" s="373" t="s">
        <v>281</v>
      </c>
      <c r="C466" s="373" t="s">
        <v>70</v>
      </c>
      <c r="D466" s="372" t="s">
        <v>58</v>
      </c>
      <c r="E466" s="373" t="s">
        <v>498</v>
      </c>
      <c r="F466" s="491" t="s">
        <v>32</v>
      </c>
      <c r="G466" s="493">
        <v>1.7819999999999999E-2</v>
      </c>
      <c r="H466" s="493">
        <v>1</v>
      </c>
    </row>
    <row r="467" spans="2:8" hidden="1" outlineLevel="1" collapsed="1">
      <c r="B467" s="390" t="s">
        <v>289</v>
      </c>
      <c r="C467" s="390" t="s">
        <v>29</v>
      </c>
      <c r="D467" s="390"/>
      <c r="E467" s="390" t="s">
        <v>498</v>
      </c>
      <c r="F467" s="475" t="s">
        <v>1866</v>
      </c>
      <c r="G467" s="490">
        <f>SUM(G468:G471)</f>
        <v>7.6409520000000009E-2</v>
      </c>
      <c r="H467" s="490">
        <f>SUM(H468:H471)</f>
        <v>4</v>
      </c>
    </row>
    <row r="468" spans="2:8" hidden="1" outlineLevel="2">
      <c r="B468" s="373" t="s">
        <v>289</v>
      </c>
      <c r="C468" s="373" t="s">
        <v>29</v>
      </c>
      <c r="D468" s="373" t="s">
        <v>27</v>
      </c>
      <c r="E468" s="373" t="s">
        <v>498</v>
      </c>
      <c r="F468" s="491" t="s">
        <v>31</v>
      </c>
      <c r="G468" s="493">
        <v>2.9179040000000003E-2</v>
      </c>
      <c r="H468" s="493">
        <v>1</v>
      </c>
    </row>
    <row r="469" spans="2:8" hidden="1" outlineLevel="2">
      <c r="B469" s="373" t="s">
        <v>289</v>
      </c>
      <c r="C469" s="373" t="s">
        <v>29</v>
      </c>
      <c r="D469" s="373" t="s">
        <v>27</v>
      </c>
      <c r="E469" s="373" t="s">
        <v>498</v>
      </c>
      <c r="F469" s="491" t="s">
        <v>32</v>
      </c>
      <c r="G469" s="493">
        <v>1.4589520000000002E-2</v>
      </c>
      <c r="H469" s="493">
        <v>1</v>
      </c>
    </row>
    <row r="470" spans="2:8" hidden="1" outlineLevel="2">
      <c r="B470" s="373" t="s">
        <v>289</v>
      </c>
      <c r="C470" s="373" t="s">
        <v>29</v>
      </c>
      <c r="D470" s="373" t="s">
        <v>58</v>
      </c>
      <c r="E470" s="373" t="s">
        <v>498</v>
      </c>
      <c r="F470" s="491" t="s">
        <v>31</v>
      </c>
      <c r="G470" s="493">
        <v>2.4480720000000001E-2</v>
      </c>
      <c r="H470" s="493">
        <v>1</v>
      </c>
    </row>
    <row r="471" spans="2:8" hidden="1" outlineLevel="2">
      <c r="B471" s="373" t="s">
        <v>289</v>
      </c>
      <c r="C471" s="373" t="s">
        <v>29</v>
      </c>
      <c r="D471" s="373" t="s">
        <v>58</v>
      </c>
      <c r="E471" s="373" t="s">
        <v>498</v>
      </c>
      <c r="F471" s="491" t="s">
        <v>32</v>
      </c>
      <c r="G471" s="493">
        <v>8.1602400000000009E-3</v>
      </c>
      <c r="H471" s="493">
        <v>1</v>
      </c>
    </row>
    <row r="472" spans="2:8" hidden="1" outlineLevel="1" collapsed="1">
      <c r="B472" s="390" t="s">
        <v>301</v>
      </c>
      <c r="C472" s="390" t="s">
        <v>301</v>
      </c>
      <c r="D472" s="390"/>
      <c r="E472" s="390" t="s">
        <v>498</v>
      </c>
      <c r="F472" s="475" t="s">
        <v>1858</v>
      </c>
      <c r="G472" s="490">
        <f>SUM(G473:G477)</f>
        <v>1.7570528000000003</v>
      </c>
      <c r="H472" s="490">
        <f>SUM(H473:H477)</f>
        <v>5</v>
      </c>
    </row>
    <row r="473" spans="2:8" hidden="1" outlineLevel="2">
      <c r="B473" s="373" t="s">
        <v>301</v>
      </c>
      <c r="C473" s="373" t="s">
        <v>301</v>
      </c>
      <c r="D473" s="373" t="s">
        <v>27</v>
      </c>
      <c r="E473" s="373" t="s">
        <v>498</v>
      </c>
      <c r="F473" s="491" t="s">
        <v>31</v>
      </c>
      <c r="G473" s="493">
        <v>0.56340280000000009</v>
      </c>
      <c r="H473" s="493">
        <v>1</v>
      </c>
    </row>
    <row r="474" spans="2:8" hidden="1" outlineLevel="2">
      <c r="B474" s="373" t="s">
        <v>301</v>
      </c>
      <c r="C474" s="373" t="s">
        <v>301</v>
      </c>
      <c r="D474" s="373" t="s">
        <v>27</v>
      </c>
      <c r="E474" s="373" t="s">
        <v>498</v>
      </c>
      <c r="F474" s="491" t="s">
        <v>32</v>
      </c>
      <c r="G474" s="493">
        <v>0.28170140000000005</v>
      </c>
      <c r="H474" s="493">
        <v>1</v>
      </c>
    </row>
    <row r="475" spans="2:8" hidden="1" outlineLevel="2">
      <c r="B475" s="373" t="s">
        <v>301</v>
      </c>
      <c r="C475" s="373" t="s">
        <v>301</v>
      </c>
      <c r="D475" s="373" t="s">
        <v>27</v>
      </c>
      <c r="E475" s="373" t="s">
        <v>498</v>
      </c>
      <c r="F475" s="491" t="s">
        <v>170</v>
      </c>
      <c r="G475" s="493">
        <v>0.28170140000000005</v>
      </c>
      <c r="H475" s="493">
        <v>1</v>
      </c>
    </row>
    <row r="476" spans="2:8" hidden="1" outlineLevel="2">
      <c r="B476" s="373" t="s">
        <v>301</v>
      </c>
      <c r="C476" s="373" t="s">
        <v>301</v>
      </c>
      <c r="D476" s="373" t="s">
        <v>58</v>
      </c>
      <c r="E476" s="373" t="s">
        <v>498</v>
      </c>
      <c r="F476" s="491" t="s">
        <v>31</v>
      </c>
      <c r="G476" s="493">
        <v>0.47268540000000003</v>
      </c>
      <c r="H476" s="493">
        <v>1</v>
      </c>
    </row>
    <row r="477" spans="2:8" hidden="1" outlineLevel="2">
      <c r="B477" s="373" t="s">
        <v>301</v>
      </c>
      <c r="C477" s="373" t="s">
        <v>301</v>
      </c>
      <c r="D477" s="373" t="s">
        <v>58</v>
      </c>
      <c r="E477" s="373" t="s">
        <v>498</v>
      </c>
      <c r="F477" s="491" t="s">
        <v>170</v>
      </c>
      <c r="G477" s="493">
        <v>0.15756180000000003</v>
      </c>
      <c r="H477" s="493">
        <v>1</v>
      </c>
    </row>
    <row r="478" spans="2:8" hidden="1" outlineLevel="1" collapsed="1">
      <c r="B478" s="390" t="s">
        <v>308</v>
      </c>
      <c r="C478" s="390" t="s">
        <v>308</v>
      </c>
      <c r="D478" s="390"/>
      <c r="E478" s="390" t="s">
        <v>498</v>
      </c>
      <c r="F478" s="475" t="s">
        <v>1869</v>
      </c>
      <c r="G478" s="490">
        <f>SUM(G479:G480)</f>
        <v>0.86951285400000011</v>
      </c>
      <c r="H478" s="490">
        <f>SUM(H479:H480)</f>
        <v>2</v>
      </c>
    </row>
    <row r="479" spans="2:8" hidden="1" outlineLevel="2">
      <c r="B479" s="373" t="s">
        <v>308</v>
      </c>
      <c r="C479" s="373" t="s">
        <v>308</v>
      </c>
      <c r="D479" s="373" t="s">
        <v>27</v>
      </c>
      <c r="E479" s="373" t="s">
        <v>498</v>
      </c>
      <c r="F479" s="491" t="s">
        <v>31</v>
      </c>
      <c r="G479" s="493">
        <v>0.43475642700000006</v>
      </c>
      <c r="H479" s="493">
        <v>1</v>
      </c>
    </row>
    <row r="480" spans="2:8" hidden="1" outlineLevel="2">
      <c r="B480" s="373" t="s">
        <v>308</v>
      </c>
      <c r="C480" s="373" t="s">
        <v>308</v>
      </c>
      <c r="D480" s="373" t="s">
        <v>27</v>
      </c>
      <c r="E480" s="373" t="s">
        <v>498</v>
      </c>
      <c r="F480" s="491" t="s">
        <v>32</v>
      </c>
      <c r="G480" s="493">
        <v>0.43475642700000006</v>
      </c>
      <c r="H480" s="493">
        <v>1</v>
      </c>
    </row>
    <row r="481" spans="2:8" hidden="1" outlineLevel="1" collapsed="1">
      <c r="B481" s="390" t="s">
        <v>312</v>
      </c>
      <c r="C481" s="390" t="s">
        <v>312</v>
      </c>
      <c r="D481" s="390"/>
      <c r="E481" s="390" t="s">
        <v>498</v>
      </c>
      <c r="F481" s="475" t="s">
        <v>1867</v>
      </c>
      <c r="G481" s="490">
        <f>SUM(G482:G483)</f>
        <v>0.28983761800000002</v>
      </c>
      <c r="H481" s="490">
        <f>SUM(H482:H483)</f>
        <v>2</v>
      </c>
    </row>
    <row r="482" spans="2:8" hidden="1" outlineLevel="2">
      <c r="B482" s="373" t="s">
        <v>312</v>
      </c>
      <c r="C482" s="373" t="s">
        <v>312</v>
      </c>
      <c r="D482" s="373" t="s">
        <v>27</v>
      </c>
      <c r="E482" s="373" t="s">
        <v>498</v>
      </c>
      <c r="F482" s="491" t="s">
        <v>31</v>
      </c>
      <c r="G482" s="493">
        <v>0.14491880900000001</v>
      </c>
      <c r="H482" s="493">
        <v>1</v>
      </c>
    </row>
    <row r="483" spans="2:8" hidden="1" outlineLevel="2">
      <c r="B483" s="373" t="s">
        <v>312</v>
      </c>
      <c r="C483" s="373" t="s">
        <v>312</v>
      </c>
      <c r="D483" s="373" t="s">
        <v>27</v>
      </c>
      <c r="E483" s="373" t="s">
        <v>498</v>
      </c>
      <c r="F483" s="491" t="s">
        <v>32</v>
      </c>
      <c r="G483" s="493">
        <v>0.14491880900000001</v>
      </c>
      <c r="H483" s="493">
        <v>1</v>
      </c>
    </row>
    <row r="484" spans="2:8" hidden="1" outlineLevel="1" collapsed="1">
      <c r="B484" s="390" t="s">
        <v>271</v>
      </c>
      <c r="C484" s="390" t="s">
        <v>271</v>
      </c>
      <c r="D484" s="390"/>
      <c r="E484" s="390" t="s">
        <v>498</v>
      </c>
      <c r="F484" s="475" t="s">
        <v>1868</v>
      </c>
      <c r="G484" s="490">
        <f>SUM(G485:G491)</f>
        <v>0.32804999999999995</v>
      </c>
      <c r="H484" s="490">
        <f>SUM(H485:H491)</f>
        <v>7</v>
      </c>
    </row>
    <row r="485" spans="2:8" hidden="1" outlineLevel="2">
      <c r="B485" s="373" t="s">
        <v>271</v>
      </c>
      <c r="C485" s="373" t="s">
        <v>271</v>
      </c>
      <c r="D485" s="373" t="s">
        <v>27</v>
      </c>
      <c r="E485" s="373" t="s">
        <v>28</v>
      </c>
      <c r="F485" s="491" t="s">
        <v>31</v>
      </c>
      <c r="G485" s="492">
        <v>3.9824999999999999E-2</v>
      </c>
      <c r="H485" s="492">
        <v>1</v>
      </c>
    </row>
    <row r="486" spans="2:8" hidden="1" outlineLevel="2">
      <c r="B486" s="373" t="s">
        <v>271</v>
      </c>
      <c r="C486" s="373" t="s">
        <v>271</v>
      </c>
      <c r="D486" s="373" t="s">
        <v>27</v>
      </c>
      <c r="E486" s="373" t="s">
        <v>28</v>
      </c>
      <c r="F486" s="491" t="s">
        <v>32</v>
      </c>
      <c r="G486" s="492">
        <v>7.9649999999999999E-2</v>
      </c>
      <c r="H486" s="492">
        <v>1</v>
      </c>
    </row>
    <row r="487" spans="2:8" hidden="1" outlineLevel="2">
      <c r="B487" s="373" t="s">
        <v>271</v>
      </c>
      <c r="C487" s="373" t="s">
        <v>271</v>
      </c>
      <c r="D487" s="373" t="s">
        <v>27</v>
      </c>
      <c r="E487" s="373" t="s">
        <v>28</v>
      </c>
      <c r="F487" s="491" t="s">
        <v>33</v>
      </c>
      <c r="G487" s="492">
        <v>7.9649999999999999E-2</v>
      </c>
      <c r="H487" s="492">
        <v>1</v>
      </c>
    </row>
    <row r="488" spans="2:8" hidden="1" outlineLevel="2">
      <c r="B488" s="373" t="s">
        <v>271</v>
      </c>
      <c r="C488" s="373" t="s">
        <v>271</v>
      </c>
      <c r="D488" s="373" t="s">
        <v>27</v>
      </c>
      <c r="E488" s="373" t="s">
        <v>28</v>
      </c>
      <c r="F488" s="491" t="s">
        <v>170</v>
      </c>
      <c r="G488" s="492">
        <v>3.9824999999999999E-2</v>
      </c>
      <c r="H488" s="492">
        <v>1</v>
      </c>
    </row>
    <row r="489" spans="2:8" hidden="1" outlineLevel="2">
      <c r="B489" s="373" t="s">
        <v>271</v>
      </c>
      <c r="C489" s="373" t="s">
        <v>271</v>
      </c>
      <c r="D489" s="373" t="s">
        <v>58</v>
      </c>
      <c r="E489" s="373" t="s">
        <v>28</v>
      </c>
      <c r="F489" s="491" t="s">
        <v>31</v>
      </c>
      <c r="G489" s="492">
        <v>4.4550000000000006E-2</v>
      </c>
      <c r="H489" s="492">
        <v>1</v>
      </c>
    </row>
    <row r="490" spans="2:8" hidden="1" outlineLevel="2">
      <c r="B490" s="373" t="s">
        <v>271</v>
      </c>
      <c r="C490" s="373" t="s">
        <v>271</v>
      </c>
      <c r="D490" s="373" t="s">
        <v>58</v>
      </c>
      <c r="E490" s="373" t="s">
        <v>28</v>
      </c>
      <c r="F490" s="491" t="s">
        <v>33</v>
      </c>
      <c r="G490" s="492">
        <v>2.2275000000000003E-2</v>
      </c>
      <c r="H490" s="492">
        <v>1</v>
      </c>
    </row>
    <row r="491" spans="2:8" hidden="1" outlineLevel="2">
      <c r="B491" s="373" t="s">
        <v>271</v>
      </c>
      <c r="C491" s="373" t="s">
        <v>271</v>
      </c>
      <c r="D491" s="373" t="s">
        <v>58</v>
      </c>
      <c r="E491" s="373" t="s">
        <v>28</v>
      </c>
      <c r="F491" s="491" t="s">
        <v>326</v>
      </c>
      <c r="G491" s="492">
        <v>2.2275000000000003E-2</v>
      </c>
      <c r="H491" s="492">
        <v>1</v>
      </c>
    </row>
    <row r="492" spans="2:8" hidden="1" outlineLevel="1" collapsed="1">
      <c r="B492" s="390" t="s">
        <v>328</v>
      </c>
      <c r="C492" s="390" t="s">
        <v>121</v>
      </c>
      <c r="D492" s="390"/>
      <c r="E492" s="390" t="s">
        <v>498</v>
      </c>
      <c r="F492" s="475" t="s">
        <v>1875</v>
      </c>
      <c r="G492" s="490">
        <f>SUM(G493:G502)</f>
        <v>5.2621400000000005</v>
      </c>
      <c r="H492" s="490">
        <f>SUM(H493:H502)</f>
        <v>10</v>
      </c>
    </row>
    <row r="493" spans="2:8" hidden="1" outlineLevel="2">
      <c r="B493" s="373" t="s">
        <v>328</v>
      </c>
      <c r="C493" s="373" t="s">
        <v>121</v>
      </c>
      <c r="D493" s="373" t="s">
        <v>175</v>
      </c>
      <c r="E493" s="373" t="s">
        <v>28</v>
      </c>
      <c r="F493" s="491" t="s">
        <v>284</v>
      </c>
      <c r="G493" s="492">
        <v>0.85500000000000009</v>
      </c>
      <c r="H493" s="492">
        <v>1</v>
      </c>
    </row>
    <row r="494" spans="2:8" hidden="1" outlineLevel="2">
      <c r="B494" s="373" t="s">
        <v>328</v>
      </c>
      <c r="C494" s="373" t="s">
        <v>121</v>
      </c>
      <c r="D494" s="373" t="s">
        <v>175</v>
      </c>
      <c r="E494" s="373" t="s">
        <v>28</v>
      </c>
      <c r="F494" s="491" t="s">
        <v>31</v>
      </c>
      <c r="G494" s="492">
        <v>1.4050000000000002</v>
      </c>
      <c r="H494" s="492">
        <v>1</v>
      </c>
    </row>
    <row r="495" spans="2:8" hidden="1" outlineLevel="2">
      <c r="B495" s="373" t="s">
        <v>328</v>
      </c>
      <c r="C495" s="373" t="s">
        <v>121</v>
      </c>
      <c r="D495" s="373" t="s">
        <v>175</v>
      </c>
      <c r="E495" s="373" t="s">
        <v>28</v>
      </c>
      <c r="F495" s="491" t="s">
        <v>32</v>
      </c>
      <c r="G495" s="492">
        <v>1.4050000000000002</v>
      </c>
      <c r="H495" s="492">
        <v>1</v>
      </c>
    </row>
    <row r="496" spans="2:8" hidden="1" outlineLevel="2">
      <c r="B496" s="373" t="s">
        <v>328</v>
      </c>
      <c r="C496" s="373" t="s">
        <v>121</v>
      </c>
      <c r="D496" s="373" t="s">
        <v>175</v>
      </c>
      <c r="E496" s="373" t="s">
        <v>28</v>
      </c>
      <c r="F496" s="491" t="s">
        <v>326</v>
      </c>
      <c r="G496" s="492">
        <v>0.85500000000000009</v>
      </c>
      <c r="H496" s="492">
        <v>1</v>
      </c>
    </row>
    <row r="497" spans="2:8" hidden="1" outlineLevel="2">
      <c r="B497" s="373" t="s">
        <v>328</v>
      </c>
      <c r="C497" s="373" t="s">
        <v>121</v>
      </c>
      <c r="D497" s="373" t="s">
        <v>27</v>
      </c>
      <c r="E497" s="373" t="s">
        <v>28</v>
      </c>
      <c r="F497" s="491" t="s">
        <v>31</v>
      </c>
      <c r="G497" s="492">
        <v>0.10088999999999999</v>
      </c>
      <c r="H497" s="492">
        <v>1</v>
      </c>
    </row>
    <row r="498" spans="2:8" hidden="1" outlineLevel="2">
      <c r="B498" s="373" t="s">
        <v>328</v>
      </c>
      <c r="C498" s="373" t="s">
        <v>121</v>
      </c>
      <c r="D498" s="373" t="s">
        <v>27</v>
      </c>
      <c r="E498" s="373" t="s">
        <v>28</v>
      </c>
      <c r="F498" s="491" t="s">
        <v>32</v>
      </c>
      <c r="G498" s="492">
        <v>0.20177999999999999</v>
      </c>
      <c r="H498" s="492">
        <v>1</v>
      </c>
    </row>
    <row r="499" spans="2:8" hidden="1" outlineLevel="2">
      <c r="B499" s="373" t="s">
        <v>328</v>
      </c>
      <c r="C499" s="373" t="s">
        <v>121</v>
      </c>
      <c r="D499" s="373" t="s">
        <v>27</v>
      </c>
      <c r="E499" s="373" t="s">
        <v>28</v>
      </c>
      <c r="F499" s="491" t="s">
        <v>326</v>
      </c>
      <c r="G499" s="492">
        <v>0.10088999999999999</v>
      </c>
      <c r="H499" s="492">
        <v>1</v>
      </c>
    </row>
    <row r="500" spans="2:8" hidden="1" outlineLevel="2">
      <c r="B500" s="373" t="s">
        <v>328</v>
      </c>
      <c r="C500" s="373" t="s">
        <v>121</v>
      </c>
      <c r="D500" s="373" t="s">
        <v>58</v>
      </c>
      <c r="E500" s="373" t="s">
        <v>28</v>
      </c>
      <c r="F500" s="491" t="s">
        <v>31</v>
      </c>
      <c r="G500" s="492">
        <v>0.11286000000000002</v>
      </c>
      <c r="H500" s="492">
        <v>1</v>
      </c>
    </row>
    <row r="501" spans="2:8" hidden="1" outlineLevel="2">
      <c r="B501" s="373" t="s">
        <v>328</v>
      </c>
      <c r="C501" s="373" t="s">
        <v>121</v>
      </c>
      <c r="D501" s="373" t="s">
        <v>58</v>
      </c>
      <c r="E501" s="373" t="s">
        <v>28</v>
      </c>
      <c r="F501" s="491" t="s">
        <v>32</v>
      </c>
      <c r="G501" s="492">
        <v>0.16929</v>
      </c>
      <c r="H501" s="492">
        <v>1</v>
      </c>
    </row>
    <row r="502" spans="2:8" hidden="1" outlineLevel="2">
      <c r="B502" s="373" t="s">
        <v>328</v>
      </c>
      <c r="C502" s="373" t="s">
        <v>121</v>
      </c>
      <c r="D502" s="373" t="s">
        <v>58</v>
      </c>
      <c r="E502" s="373" t="s">
        <v>28</v>
      </c>
      <c r="F502" s="491" t="s">
        <v>326</v>
      </c>
      <c r="G502" s="492">
        <v>5.6430000000000008E-2</v>
      </c>
      <c r="H502" s="492">
        <v>1</v>
      </c>
    </row>
    <row r="503" spans="2:8" hidden="1" outlineLevel="1" collapsed="1">
      <c r="B503" s="390" t="s">
        <v>332</v>
      </c>
      <c r="C503" s="390" t="s">
        <v>121</v>
      </c>
      <c r="D503" s="390"/>
      <c r="E503" s="390" t="s">
        <v>498</v>
      </c>
      <c r="F503" s="475" t="s">
        <v>1876</v>
      </c>
      <c r="G503" s="490">
        <f>SUM(G504:G510)</f>
        <v>2.5074143979111465</v>
      </c>
      <c r="H503" s="490">
        <f>SUM(H504:H510)</f>
        <v>7</v>
      </c>
    </row>
    <row r="504" spans="2:8" hidden="1" outlineLevel="2">
      <c r="B504" s="373" t="s">
        <v>332</v>
      </c>
      <c r="C504" s="373" t="s">
        <v>121</v>
      </c>
      <c r="D504" s="373" t="s">
        <v>175</v>
      </c>
      <c r="E504" s="373" t="s">
        <v>28</v>
      </c>
      <c r="F504" s="491" t="s">
        <v>284</v>
      </c>
      <c r="G504" s="492">
        <v>0.4724994626592407</v>
      </c>
      <c r="H504" s="492">
        <v>1</v>
      </c>
    </row>
    <row r="505" spans="2:8" hidden="1" outlineLevel="2">
      <c r="B505" s="373" t="s">
        <v>332</v>
      </c>
      <c r="C505" s="373" t="s">
        <v>121</v>
      </c>
      <c r="D505" s="373" t="s">
        <v>175</v>
      </c>
      <c r="E505" s="373" t="s">
        <v>28</v>
      </c>
      <c r="F505" s="491" t="s">
        <v>31</v>
      </c>
      <c r="G505" s="492">
        <v>0.85586265139649265</v>
      </c>
      <c r="H505" s="492">
        <v>1</v>
      </c>
    </row>
    <row r="506" spans="2:8" hidden="1" outlineLevel="2">
      <c r="B506" s="373" t="s">
        <v>332</v>
      </c>
      <c r="C506" s="373" t="s">
        <v>121</v>
      </c>
      <c r="D506" s="373" t="s">
        <v>175</v>
      </c>
      <c r="E506" s="373" t="s">
        <v>28</v>
      </c>
      <c r="F506" s="491" t="s">
        <v>32</v>
      </c>
      <c r="G506" s="492">
        <v>0.85586265139649265</v>
      </c>
      <c r="H506" s="492">
        <v>1</v>
      </c>
    </row>
    <row r="507" spans="2:8" hidden="1" outlineLevel="2">
      <c r="B507" s="373" t="s">
        <v>332</v>
      </c>
      <c r="C507" s="373" t="s">
        <v>121</v>
      </c>
      <c r="D507" s="373" t="s">
        <v>27</v>
      </c>
      <c r="E507" s="373" t="s">
        <v>28</v>
      </c>
      <c r="F507" s="491" t="s">
        <v>31</v>
      </c>
      <c r="G507" s="492">
        <v>5.5754936593790397E-2</v>
      </c>
      <c r="H507" s="492">
        <v>1</v>
      </c>
    </row>
    <row r="508" spans="2:8" hidden="1" outlineLevel="2">
      <c r="B508" s="373" t="s">
        <v>332</v>
      </c>
      <c r="C508" s="373" t="s">
        <v>121</v>
      </c>
      <c r="D508" s="373" t="s">
        <v>27</v>
      </c>
      <c r="E508" s="373" t="s">
        <v>28</v>
      </c>
      <c r="F508" s="491" t="s">
        <v>32</v>
      </c>
      <c r="G508" s="492">
        <v>0.11150987318758079</v>
      </c>
      <c r="H508" s="492">
        <v>1</v>
      </c>
    </row>
    <row r="509" spans="2:8" hidden="1" outlineLevel="2">
      <c r="B509" s="373" t="s">
        <v>332</v>
      </c>
      <c r="C509" s="373" t="s">
        <v>121</v>
      </c>
      <c r="D509" s="373" t="s">
        <v>58</v>
      </c>
      <c r="E509" s="373" t="s">
        <v>28</v>
      </c>
      <c r="F509" s="491" t="s">
        <v>31</v>
      </c>
      <c r="G509" s="492">
        <v>6.2369929071019771E-2</v>
      </c>
      <c r="H509" s="492">
        <v>1</v>
      </c>
    </row>
    <row r="510" spans="2:8" hidden="1" outlineLevel="2">
      <c r="B510" s="373" t="s">
        <v>332</v>
      </c>
      <c r="C510" s="373" t="s">
        <v>121</v>
      </c>
      <c r="D510" s="373" t="s">
        <v>58</v>
      </c>
      <c r="E510" s="373" t="s">
        <v>28</v>
      </c>
      <c r="F510" s="491" t="s">
        <v>32</v>
      </c>
      <c r="G510" s="492">
        <v>9.3554893606529646E-2</v>
      </c>
      <c r="H510" s="492">
        <v>1</v>
      </c>
    </row>
    <row r="511" spans="2:8" hidden="1" outlineLevel="1" collapsed="1">
      <c r="B511" s="390" t="s">
        <v>335</v>
      </c>
      <c r="C511" s="390" t="s">
        <v>121</v>
      </c>
      <c r="D511" s="390"/>
      <c r="E511" s="390" t="s">
        <v>498</v>
      </c>
      <c r="F511" s="475" t="s">
        <v>1877</v>
      </c>
      <c r="G511" s="490">
        <f>SUM(G512:G527)</f>
        <v>2.7927693686277002</v>
      </c>
      <c r="H511" s="490">
        <f>SUM(H512:H527)</f>
        <v>16</v>
      </c>
    </row>
    <row r="512" spans="2:8" hidden="1" outlineLevel="2">
      <c r="B512" s="373" t="s">
        <v>335</v>
      </c>
      <c r="C512" s="373" t="s">
        <v>121</v>
      </c>
      <c r="D512" s="373" t="s">
        <v>175</v>
      </c>
      <c r="E512" s="373" t="s">
        <v>28</v>
      </c>
      <c r="F512" s="491" t="s">
        <v>336</v>
      </c>
      <c r="G512" s="492">
        <v>0.55066951170000011</v>
      </c>
      <c r="H512" s="492">
        <v>1</v>
      </c>
    </row>
    <row r="513" spans="2:8" hidden="1" outlineLevel="2">
      <c r="B513" s="373" t="s">
        <v>335</v>
      </c>
      <c r="C513" s="373" t="s">
        <v>121</v>
      </c>
      <c r="D513" s="373" t="s">
        <v>175</v>
      </c>
      <c r="E513" s="373" t="s">
        <v>28</v>
      </c>
      <c r="F513" s="491" t="s">
        <v>337</v>
      </c>
      <c r="G513" s="492">
        <v>0.55066951170000011</v>
      </c>
      <c r="H513" s="492">
        <v>1</v>
      </c>
    </row>
    <row r="514" spans="2:8" hidden="1" outlineLevel="2">
      <c r="B514" s="373" t="s">
        <v>335</v>
      </c>
      <c r="C514" s="373" t="s">
        <v>121</v>
      </c>
      <c r="D514" s="373" t="s">
        <v>175</v>
      </c>
      <c r="E514" s="373" t="s">
        <v>28</v>
      </c>
      <c r="F514" s="491" t="s">
        <v>33</v>
      </c>
      <c r="G514" s="492">
        <v>0.55066951170000011</v>
      </c>
      <c r="H514" s="492">
        <v>1</v>
      </c>
    </row>
    <row r="515" spans="2:8" hidden="1" outlineLevel="2">
      <c r="B515" s="373" t="s">
        <v>335</v>
      </c>
      <c r="C515" s="373" t="s">
        <v>121</v>
      </c>
      <c r="D515" s="373" t="s">
        <v>175</v>
      </c>
      <c r="E515" s="373" t="s">
        <v>28</v>
      </c>
      <c r="F515" s="491" t="s">
        <v>326</v>
      </c>
      <c r="G515" s="492">
        <v>0.30444318135000004</v>
      </c>
      <c r="H515" s="492">
        <v>1</v>
      </c>
    </row>
    <row r="516" spans="2:8" hidden="1" outlineLevel="2">
      <c r="B516" s="373" t="s">
        <v>335</v>
      </c>
      <c r="C516" s="373" t="s">
        <v>121</v>
      </c>
      <c r="D516" s="373" t="s">
        <v>175</v>
      </c>
      <c r="E516" s="373" t="s">
        <v>28</v>
      </c>
      <c r="F516" s="491" t="s">
        <v>285</v>
      </c>
      <c r="G516" s="492">
        <v>0.30444318135000004</v>
      </c>
      <c r="H516" s="492">
        <v>1</v>
      </c>
    </row>
    <row r="517" spans="2:8" hidden="1" outlineLevel="2">
      <c r="B517" s="373" t="s">
        <v>335</v>
      </c>
      <c r="C517" s="373" t="s">
        <v>121</v>
      </c>
      <c r="D517" s="373" t="s">
        <v>175</v>
      </c>
      <c r="E517" s="373" t="s">
        <v>28</v>
      </c>
      <c r="F517" s="491" t="s">
        <v>338</v>
      </c>
      <c r="G517" s="492">
        <v>0.16520085351</v>
      </c>
      <c r="H517" s="492">
        <v>1</v>
      </c>
    </row>
    <row r="518" spans="2:8" hidden="1" outlineLevel="2">
      <c r="B518" s="373" t="s">
        <v>335</v>
      </c>
      <c r="C518" s="373" t="s">
        <v>121</v>
      </c>
      <c r="D518" s="373" t="s">
        <v>27</v>
      </c>
      <c r="E518" s="373" t="s">
        <v>28</v>
      </c>
      <c r="F518" s="491" t="s">
        <v>31</v>
      </c>
      <c r="G518" s="492">
        <v>3.5924295399299998E-2</v>
      </c>
      <c r="H518" s="492">
        <v>1</v>
      </c>
    </row>
    <row r="519" spans="2:8" hidden="1" outlineLevel="2">
      <c r="B519" s="373" t="s">
        <v>335</v>
      </c>
      <c r="C519" s="373" t="s">
        <v>121</v>
      </c>
      <c r="D519" s="373" t="s">
        <v>27</v>
      </c>
      <c r="E519" s="373" t="s">
        <v>28</v>
      </c>
      <c r="F519" s="491" t="s">
        <v>337</v>
      </c>
      <c r="G519" s="492">
        <v>7.1848590798599996E-2</v>
      </c>
      <c r="H519" s="492">
        <v>1</v>
      </c>
    </row>
    <row r="520" spans="2:8" hidden="1" outlineLevel="2">
      <c r="B520" s="373" t="s">
        <v>335</v>
      </c>
      <c r="C520" s="373" t="s">
        <v>121</v>
      </c>
      <c r="D520" s="373" t="s">
        <v>27</v>
      </c>
      <c r="E520" s="373" t="s">
        <v>28</v>
      </c>
      <c r="F520" s="491" t="s">
        <v>33</v>
      </c>
      <c r="G520" s="492">
        <v>7.1848590798599996E-2</v>
      </c>
      <c r="H520" s="492">
        <v>1</v>
      </c>
    </row>
    <row r="521" spans="2:8" hidden="1" outlineLevel="2">
      <c r="B521" s="373" t="s">
        <v>335</v>
      </c>
      <c r="C521" s="373" t="s">
        <v>121</v>
      </c>
      <c r="D521" s="373" t="s">
        <v>27</v>
      </c>
      <c r="E521" s="373" t="s">
        <v>28</v>
      </c>
      <c r="F521" s="491" t="s">
        <v>326</v>
      </c>
      <c r="G521" s="492">
        <v>3.5924295399299998E-2</v>
      </c>
      <c r="H521" s="492">
        <v>1</v>
      </c>
    </row>
    <row r="522" spans="2:8" hidden="1" outlineLevel="2">
      <c r="B522" s="373" t="s">
        <v>335</v>
      </c>
      <c r="C522" s="373" t="s">
        <v>121</v>
      </c>
      <c r="D522" s="373" t="s">
        <v>27</v>
      </c>
      <c r="E522" s="373" t="s">
        <v>28</v>
      </c>
      <c r="F522" s="491" t="s">
        <v>322</v>
      </c>
      <c r="G522" s="492">
        <v>3.2489501190300002E-2</v>
      </c>
      <c r="H522" s="492">
        <v>1</v>
      </c>
    </row>
    <row r="523" spans="2:8" hidden="1" outlineLevel="2">
      <c r="B523" s="373" t="s">
        <v>335</v>
      </c>
      <c r="C523" s="373" t="s">
        <v>121</v>
      </c>
      <c r="D523" s="373" t="s">
        <v>58</v>
      </c>
      <c r="E523" s="373" t="s">
        <v>28</v>
      </c>
      <c r="F523" s="491" t="s">
        <v>31</v>
      </c>
      <c r="G523" s="492">
        <v>4.0186499938200004E-2</v>
      </c>
      <c r="H523" s="492">
        <v>1</v>
      </c>
    </row>
    <row r="524" spans="2:8" hidden="1" outlineLevel="2">
      <c r="B524" s="373" t="s">
        <v>335</v>
      </c>
      <c r="C524" s="373" t="s">
        <v>121</v>
      </c>
      <c r="D524" s="373" t="s">
        <v>58</v>
      </c>
      <c r="E524" s="373" t="s">
        <v>28</v>
      </c>
      <c r="F524" s="491" t="s">
        <v>33</v>
      </c>
      <c r="G524" s="492">
        <v>2.0093249969100002E-2</v>
      </c>
      <c r="H524" s="492">
        <v>1</v>
      </c>
    </row>
    <row r="525" spans="2:8" hidden="1" outlineLevel="2">
      <c r="B525" s="373" t="s">
        <v>335</v>
      </c>
      <c r="C525" s="373" t="s">
        <v>121</v>
      </c>
      <c r="D525" s="373" t="s">
        <v>58</v>
      </c>
      <c r="E525" s="373" t="s">
        <v>28</v>
      </c>
      <c r="F525" s="491" t="s">
        <v>326</v>
      </c>
      <c r="G525" s="492">
        <v>2.0093249969100002E-2</v>
      </c>
      <c r="H525" s="492">
        <v>1</v>
      </c>
    </row>
    <row r="526" spans="2:8" hidden="1" outlineLevel="2">
      <c r="B526" s="373" t="s">
        <v>335</v>
      </c>
      <c r="C526" s="373" t="s">
        <v>121</v>
      </c>
      <c r="D526" s="373" t="s">
        <v>58</v>
      </c>
      <c r="E526" s="373" t="s">
        <v>28</v>
      </c>
      <c r="F526" s="491" t="s">
        <v>285</v>
      </c>
      <c r="G526" s="492">
        <v>2.0093249969100002E-2</v>
      </c>
      <c r="H526" s="492">
        <v>1</v>
      </c>
    </row>
    <row r="527" spans="2:8" hidden="1" outlineLevel="2">
      <c r="B527" s="373" t="s">
        <v>335</v>
      </c>
      <c r="C527" s="373" t="s">
        <v>121</v>
      </c>
      <c r="D527" s="373" t="s">
        <v>58</v>
      </c>
      <c r="E527" s="373" t="s">
        <v>28</v>
      </c>
      <c r="F527" s="491" t="s">
        <v>322</v>
      </c>
      <c r="G527" s="492">
        <v>1.8172093886100003E-2</v>
      </c>
      <c r="H527" s="492">
        <v>1</v>
      </c>
    </row>
    <row r="528" spans="2:8" hidden="1" outlineLevel="1">
      <c r="B528" s="390" t="s">
        <v>340</v>
      </c>
      <c r="C528" s="390" t="s">
        <v>121</v>
      </c>
      <c r="D528" s="390"/>
      <c r="E528" s="390" t="s">
        <v>498</v>
      </c>
      <c r="F528" s="475" t="s">
        <v>1878</v>
      </c>
      <c r="G528" s="490">
        <v>0</v>
      </c>
      <c r="H528" s="490">
        <v>0</v>
      </c>
    </row>
    <row r="529" spans="2:8" hidden="1" outlineLevel="1">
      <c r="B529" s="390" t="s">
        <v>344</v>
      </c>
      <c r="C529" s="390" t="s">
        <v>344</v>
      </c>
      <c r="D529" s="390"/>
      <c r="E529" s="390" t="s">
        <v>498</v>
      </c>
      <c r="F529" s="475" t="s">
        <v>1879</v>
      </c>
      <c r="G529" s="490">
        <v>0</v>
      </c>
      <c r="H529" s="490">
        <v>0</v>
      </c>
    </row>
    <row r="530" spans="2:8" hidden="1" outlineLevel="1">
      <c r="B530" s="390" t="s">
        <v>350</v>
      </c>
      <c r="C530" s="390" t="s">
        <v>350</v>
      </c>
      <c r="D530" s="390"/>
      <c r="E530" s="390" t="s">
        <v>498</v>
      </c>
      <c r="F530" s="475" t="s">
        <v>1863</v>
      </c>
      <c r="G530" s="490">
        <v>0</v>
      </c>
      <c r="H530" s="490">
        <v>0</v>
      </c>
    </row>
    <row r="531" spans="2:8" hidden="1" outlineLevel="1" collapsed="1">
      <c r="B531" s="390" t="s">
        <v>356</v>
      </c>
      <c r="C531" s="390" t="s">
        <v>356</v>
      </c>
      <c r="D531" s="390"/>
      <c r="E531" s="390" t="s">
        <v>498</v>
      </c>
      <c r="F531" s="475" t="s">
        <v>1892</v>
      </c>
      <c r="G531" s="490">
        <f>SUM(G532:G535)</f>
        <v>2.0669932799999999E-2</v>
      </c>
      <c r="H531" s="490">
        <f>SUM(H532:H535)</f>
        <v>4</v>
      </c>
    </row>
    <row r="532" spans="2:8" hidden="1" outlineLevel="2">
      <c r="B532" s="373" t="s">
        <v>356</v>
      </c>
      <c r="C532" s="373" t="s">
        <v>356</v>
      </c>
      <c r="D532" s="373" t="s">
        <v>27</v>
      </c>
      <c r="E532" s="373" t="s">
        <v>28</v>
      </c>
      <c r="F532" s="491" t="s">
        <v>236</v>
      </c>
      <c r="G532" s="492">
        <v>5.6372543999999997E-3</v>
      </c>
      <c r="H532" s="492">
        <v>1</v>
      </c>
    </row>
    <row r="533" spans="2:8" hidden="1" outlineLevel="2">
      <c r="B533" s="373" t="s">
        <v>356</v>
      </c>
      <c r="C533" s="373" t="s">
        <v>356</v>
      </c>
      <c r="D533" s="373" t="s">
        <v>27</v>
      </c>
      <c r="E533" s="373" t="s">
        <v>28</v>
      </c>
      <c r="F533" s="491" t="s">
        <v>32</v>
      </c>
      <c r="G533" s="492">
        <v>5.6372543999999997E-3</v>
      </c>
      <c r="H533" s="492">
        <v>1</v>
      </c>
    </row>
    <row r="534" spans="2:8" hidden="1" outlineLevel="2">
      <c r="B534" s="373" t="s">
        <v>356</v>
      </c>
      <c r="C534" s="373" t="s">
        <v>356</v>
      </c>
      <c r="D534" s="373" t="s">
        <v>58</v>
      </c>
      <c r="E534" s="373" t="s">
        <v>28</v>
      </c>
      <c r="F534" s="491" t="s">
        <v>236</v>
      </c>
      <c r="G534" s="492">
        <v>4.6977119999999997E-3</v>
      </c>
      <c r="H534" s="492">
        <v>1</v>
      </c>
    </row>
    <row r="535" spans="2:8" hidden="1" outlineLevel="2">
      <c r="B535" s="373" t="s">
        <v>356</v>
      </c>
      <c r="C535" s="373" t="s">
        <v>356</v>
      </c>
      <c r="D535" s="373" t="s">
        <v>58</v>
      </c>
      <c r="E535" s="373" t="s">
        <v>28</v>
      </c>
      <c r="F535" s="491" t="s">
        <v>32</v>
      </c>
      <c r="G535" s="492">
        <v>4.6977119999999997E-3</v>
      </c>
      <c r="H535" s="492">
        <v>1</v>
      </c>
    </row>
    <row r="536" spans="2:8" hidden="1" outlineLevel="1" collapsed="1">
      <c r="B536" s="390" t="s">
        <v>364</v>
      </c>
      <c r="C536" s="390" t="s">
        <v>365</v>
      </c>
      <c r="D536" s="390"/>
      <c r="E536" s="390" t="s">
        <v>498</v>
      </c>
      <c r="F536" s="475" t="s">
        <v>1870</v>
      </c>
      <c r="G536" s="490">
        <f>SUM(G537:G541)</f>
        <v>0.45</v>
      </c>
      <c r="H536" s="490">
        <f>SUM(H537:H541)</f>
        <v>5</v>
      </c>
    </row>
    <row r="537" spans="2:8" hidden="1" outlineLevel="2">
      <c r="B537" s="373" t="s">
        <v>364</v>
      </c>
      <c r="C537" s="373" t="s">
        <v>365</v>
      </c>
      <c r="D537" s="373" t="s">
        <v>27</v>
      </c>
      <c r="E537" s="373" t="s">
        <v>28</v>
      </c>
      <c r="F537" s="491" t="s">
        <v>31</v>
      </c>
      <c r="G537" s="492">
        <v>0.1</v>
      </c>
      <c r="H537" s="492">
        <v>1</v>
      </c>
    </row>
    <row r="538" spans="2:8" hidden="1" outlineLevel="2">
      <c r="B538" s="373" t="s">
        <v>364</v>
      </c>
      <c r="C538" s="373" t="s">
        <v>365</v>
      </c>
      <c r="D538" s="373" t="s">
        <v>27</v>
      </c>
      <c r="E538" s="373" t="s">
        <v>28</v>
      </c>
      <c r="F538" s="491" t="s">
        <v>32</v>
      </c>
      <c r="G538" s="492">
        <v>0.05</v>
      </c>
      <c r="H538" s="492">
        <v>1</v>
      </c>
    </row>
    <row r="539" spans="2:8" hidden="1" outlineLevel="2">
      <c r="B539" s="373" t="s">
        <v>364</v>
      </c>
      <c r="C539" s="373" t="s">
        <v>365</v>
      </c>
      <c r="D539" s="373" t="s">
        <v>27</v>
      </c>
      <c r="E539" s="373" t="s">
        <v>28</v>
      </c>
      <c r="F539" s="491" t="s">
        <v>292</v>
      </c>
      <c r="G539" s="492">
        <v>0.1</v>
      </c>
      <c r="H539" s="492">
        <v>1</v>
      </c>
    </row>
    <row r="540" spans="2:8" hidden="1" outlineLevel="2">
      <c r="B540" s="373" t="s">
        <v>364</v>
      </c>
      <c r="C540" s="373" t="s">
        <v>365</v>
      </c>
      <c r="D540" s="373" t="s">
        <v>58</v>
      </c>
      <c r="E540" s="373" t="s">
        <v>28</v>
      </c>
      <c r="F540" s="491" t="s">
        <v>31</v>
      </c>
      <c r="G540" s="492">
        <v>0.15</v>
      </c>
      <c r="H540" s="492">
        <v>1</v>
      </c>
    </row>
    <row r="541" spans="2:8" hidden="1" outlineLevel="2">
      <c r="B541" s="373" t="s">
        <v>364</v>
      </c>
      <c r="C541" s="373" t="s">
        <v>365</v>
      </c>
      <c r="D541" s="373" t="s">
        <v>58</v>
      </c>
      <c r="E541" s="373" t="s">
        <v>28</v>
      </c>
      <c r="F541" s="491" t="s">
        <v>32</v>
      </c>
      <c r="G541" s="492">
        <v>0.05</v>
      </c>
      <c r="H541" s="492">
        <v>1</v>
      </c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40187-9EF4-4E44-B2B9-F79E5D103205}">
  <ds:schemaRefs>
    <ds:schemaRef ds:uri="http://schemas.microsoft.com/office/2006/metadata/properties"/>
    <ds:schemaRef ds:uri="http://schemas.microsoft.com/office/infopath/2007/PartnerControls"/>
    <ds:schemaRef ds:uri="95d3a1aa-20e3-4db1-b4c2-8de2c15fe3d1"/>
    <ds:schemaRef ds:uri="1c3b6138-399c-48b0-9249-b80d30773e06"/>
  </ds:schemaRefs>
</ds:datastoreItem>
</file>

<file path=customXml/itemProps2.xml><?xml version="1.0" encoding="utf-8"?>
<ds:datastoreItem xmlns:ds="http://schemas.openxmlformats.org/officeDocument/2006/customXml" ds:itemID="{64A9BDF9-F82C-46C3-858A-9396328B63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F01CEE-A6F8-409E-9FAD-BDD3DDDDB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b6138-399c-48b0-9249-b80d30773e06"/>
    <ds:schemaRef ds:uri="95d3a1aa-20e3-4db1-b4c2-8de2c15fe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26</vt:i4>
      </vt:variant>
    </vt:vector>
  </HeadingPairs>
  <TitlesOfParts>
    <vt:vector size="64" baseType="lpstr">
      <vt:lpstr>26Q1 Actuals Smry</vt:lpstr>
      <vt:lpstr>Goal Summary 25Q4</vt:lpstr>
      <vt:lpstr>Data sheet</vt:lpstr>
      <vt:lpstr>Sheet1</vt:lpstr>
      <vt:lpstr>Breakup-MP+MEP+LS</vt:lpstr>
      <vt:lpstr>Prj List</vt:lpstr>
      <vt:lpstr>Sheet2</vt:lpstr>
      <vt:lpstr>Prj Crtcl rqrmnt</vt:lpstr>
      <vt:lpstr>Goals FY 26-27Q2</vt:lpstr>
      <vt:lpstr>Pkgs Summary (Status)</vt:lpstr>
      <vt:lpstr>FY 26-27 Q2 Pivot</vt:lpstr>
      <vt:lpstr>Goals FY 26-27Q2 Cijey</vt:lpstr>
      <vt:lpstr>Goals FY 26-27Q2 Saji</vt:lpstr>
      <vt:lpstr>Goals FY 26-27Q2 OP</vt:lpstr>
      <vt:lpstr>Goals FY 26-27Q2 Naveen Y</vt:lpstr>
      <vt:lpstr>Goals FY 26-27Q2 Manik</vt:lpstr>
      <vt:lpstr>Goals FY 26-27Q2 Gagan</vt:lpstr>
      <vt:lpstr>Goals FY 26-27Q2 Navneet</vt:lpstr>
      <vt:lpstr>Goals FY 26-27Q2 Shweta V</vt:lpstr>
      <vt:lpstr>Goals FY 26-27Q2 Prakash C</vt:lpstr>
      <vt:lpstr>Goals FY 26-27Q2 Atul P</vt:lpstr>
      <vt:lpstr>Pivot</vt:lpstr>
      <vt:lpstr>One liner</vt:lpstr>
      <vt:lpstr>Notes</vt:lpstr>
      <vt:lpstr>Goals, Actuals 2026 Q1 (Remark)</vt:lpstr>
      <vt:lpstr>Goals FY 2026Q2 (Revised Plan)</vt:lpstr>
      <vt:lpstr>Revised Plan PIVOT</vt:lpstr>
      <vt:lpstr>Goals, Actuals 2026 Q1</vt:lpstr>
      <vt:lpstr>26Q1 Cijey M</vt:lpstr>
      <vt:lpstr>26Q1 Saji A</vt:lpstr>
      <vt:lpstr>26Q1 Naveen Y</vt:lpstr>
      <vt:lpstr>26Q1 Om Prakash</vt:lpstr>
      <vt:lpstr>26Q1 Manik G</vt:lpstr>
      <vt:lpstr>26Q1 Atul L</vt:lpstr>
      <vt:lpstr>26Q1 Prakash C</vt:lpstr>
      <vt:lpstr>26Q1 Gaganjit S</vt:lpstr>
      <vt:lpstr>26Q1 Navneet K</vt:lpstr>
      <vt:lpstr>26Q1 Leaderwise</vt:lpstr>
      <vt:lpstr>'26Q1 Manik G'!Print_Area</vt:lpstr>
      <vt:lpstr>'26Q1 Atul L'!Print_Titles</vt:lpstr>
      <vt:lpstr>'26Q1 Cijey M'!Print_Titles</vt:lpstr>
      <vt:lpstr>'26Q1 Gaganjit S'!Print_Titles</vt:lpstr>
      <vt:lpstr>'26Q1 Leaderwise'!Print_Titles</vt:lpstr>
      <vt:lpstr>'26Q1 Manik G'!Print_Titles</vt:lpstr>
      <vt:lpstr>'26Q1 Naveen Y'!Print_Titles</vt:lpstr>
      <vt:lpstr>'26Q1 Navneet K'!Print_Titles</vt:lpstr>
      <vt:lpstr>'26Q1 Om Prakash'!Print_Titles</vt:lpstr>
      <vt:lpstr>'26Q1 Prakash C'!Print_Titles</vt:lpstr>
      <vt:lpstr>'26Q1 Saji A'!Print_Titles</vt:lpstr>
      <vt:lpstr>'Goals FY 2026Q2 (Revised Plan)'!Print_Titles</vt:lpstr>
      <vt:lpstr>'Goals FY 26-27Q2'!Print_Titles</vt:lpstr>
      <vt:lpstr>'Goals FY 26-27Q2 Atul P'!Print_Titles</vt:lpstr>
      <vt:lpstr>'Goals FY 26-27Q2 Cijey'!Print_Titles</vt:lpstr>
      <vt:lpstr>'Goals FY 26-27Q2 Gagan'!Print_Titles</vt:lpstr>
      <vt:lpstr>'Goals FY 26-27Q2 Manik'!Print_Titles</vt:lpstr>
      <vt:lpstr>'Goals FY 26-27Q2 Naveen Y'!Print_Titles</vt:lpstr>
      <vt:lpstr>'Goals FY 26-27Q2 Navneet'!Print_Titles</vt:lpstr>
      <vt:lpstr>'Goals FY 26-27Q2 OP'!Print_Titles</vt:lpstr>
      <vt:lpstr>'Goals FY 26-27Q2 Prakash C'!Print_Titles</vt:lpstr>
      <vt:lpstr>'Goals FY 26-27Q2 Saji'!Print_Titles</vt:lpstr>
      <vt:lpstr>'Goals FY 26-27Q2 Shweta V'!Print_Titles</vt:lpstr>
      <vt:lpstr>'Goals, Actuals 2026 Q1'!Print_Titles</vt:lpstr>
      <vt:lpstr>'Goals, Actuals 2026 Q1 (Remark)'!Print_Titles</vt:lpstr>
      <vt:lpstr>'Pkgs Summary (Status)'!Print_Titles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Shiyam Shankar C</cp:lastModifiedBy>
  <cp:revision/>
  <cp:lastPrinted>2026-09-07T08:36:29Z</cp:lastPrinted>
  <dcterms:created xsi:type="dcterms:W3CDTF">2024-04-25T11:54:44Z</dcterms:created>
  <dcterms:modified xsi:type="dcterms:W3CDTF">2026-09-09T05:02:18Z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