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namedSheetViews/namedSheetView2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updateLinks="always"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totalenvmt.sharepoint.com/sites/pmo/PMO Collaboration/18 WPS/2026/FY26-27Q3 Project-wise Goals/"/>
    </mc:Choice>
  </mc:AlternateContent>
  <xr:revisionPtr revIDLastSave="15312" documentId="120_S{F6307810-6C69-515E-BA61-843DFB608037}" xr6:coauthVersionLast="47" xr6:coauthVersionMax="47" xr10:uidLastSave="{3DCEC0F2-FCB7-4A5A-8C14-2D913C60EEA1}"/>
  <bookViews>
    <workbookView xWindow="-108" yWindow="-108" windowWidth="23256" windowHeight="12456" tabRatio="749" xr2:uid="{5EF5F934-3F74-4DA0-B71A-DE90FB105D78}"/>
  </bookViews>
  <sheets>
    <sheet name="New Projects - Goals FY 26- (2)" sheetId="37" r:id="rId1"/>
    <sheet name="New Projects - Goals FY 26-27Q3" sheetId="36" r:id="rId2"/>
  </sheets>
  <definedNames>
    <definedName name="__123Graph_A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IntlFixup" hidden="1">TRUE</definedName>
    <definedName name="_c" hidden="1">#REF!</definedName>
    <definedName name="_Dist_Bin" hidden="1">#REF!</definedName>
    <definedName name="_Dist_Values" hidden="1">#REF!</definedName>
    <definedName name="_Fill" hidden="1">#REF!</definedName>
    <definedName name="_xlnm._FilterDatabase" localSheetId="0" hidden="1">'New Projects - Goals FY 26- (2)'!$B$4:$Y$14</definedName>
    <definedName name="_xlnm._FilterDatabase" localSheetId="1" hidden="1">'New Projects - Goals FY 26-27Q3'!$B$4:$Y$14</definedName>
    <definedName name="_xlnm._FilterDatabase" hidden="1">#REF!</definedName>
    <definedName name="_Goal_New" hidden="1">#REF!</definedName>
    <definedName name="_Key1" hidden="1">#REF!</definedName>
    <definedName name="_Key2" hidden="1">#REF!</definedName>
    <definedName name="_Order1" hidden="1">255</definedName>
    <definedName name="_Parse_In" hidden="1">#REF!</definedName>
    <definedName name="_Parse_Out" hidden="1">#REF!</definedName>
    <definedName name="_Regression_Int" hidden="1">1</definedName>
    <definedName name="_Sor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AccessDatabase" hidden="1">"W:\2000-01 Srb\March 2001\Lease Payments\outstanding lease.mdb"</definedName>
    <definedName name="ALupro" hidden="1">{"BSSCHA4",#N/A,FALSE,"sch bs"}</definedName>
    <definedName name="ALupro0" hidden="1">{"BSSCHA4",#N/A,FALSE,"sch bs"}</definedName>
    <definedName name="annexure" hidden="1">{"BSSCHA4",#N/A,FALSE,"sch bs"}</definedName>
    <definedName name="annexure_1" hidden="1">{"BSSCHA4",#N/A,FALSE,"sch bs"}</definedName>
    <definedName name="as" hidden="1">#REF!</definedName>
    <definedName name="AS2DocOpenMode" hidden="1">"AS2DocumentEdit"</definedName>
    <definedName name="AS2HasNoAutoHeaderFooter" hidden="1">" "</definedName>
    <definedName name="AS2NamedRange" hidden="1">4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vneeep" hidden="1">{"A4BS",#N/A,FALSE,"bs"}</definedName>
    <definedName name="avneeep_1" hidden="1">{"A4BS",#N/A,FALSE,"bs"}</definedName>
    <definedName name="BG_Del" hidden="1">15</definedName>
    <definedName name="BG_Ins" hidden="1">4</definedName>
    <definedName name="BG_Mod" hidden="1">6</definedName>
    <definedName name="BLPH1" hidden="1">#REF!</definedName>
    <definedName name="CIQWBGuid" hidden="1">"e353c960-9a20-40e3-8480-874cea54de8e"</definedName>
    <definedName name="dde" hidden="1">#REF!</definedName>
    <definedName name="depn" hidden="1">#REF!</definedName>
    <definedName name="dist" hidden="1">#REF!</definedName>
    <definedName name="egdywmk" hidden="1">{"A4depsch",#N/A,FALSE,"fa&amp;dep"}</definedName>
    <definedName name="egdywmk_1" hidden="1">{"A4depsch",#N/A,FALSE,"fa&amp;dep"}</definedName>
    <definedName name="Empty" hidden="1">#REF!</definedName>
    <definedName name="Empty1" hidden="1">#REF!</definedName>
    <definedName name="Empty2" hidden="1">#REF!</definedName>
    <definedName name="etc" hidden="1">#REF!</definedName>
    <definedName name="EV__LASTREFTIME__" hidden="1">39021.6595138889</definedName>
    <definedName name="EV__MAXEXPCOLS__" hidden="1">100</definedName>
    <definedName name="EV__MAXEXPROWS__" hidden="1">1000</definedName>
    <definedName name="EV__WBEVMODE__" hidden="1">1</definedName>
    <definedName name="EV__WBREFOPTIONS__" hidden="1">134217728</definedName>
    <definedName name="EV__WBVERSION__" hidden="1">0</definedName>
    <definedName name="FA" hidden="1">#REF!</definedName>
    <definedName name="ffff" hidden="1">#REF!</definedName>
    <definedName name="fffffffffffffffffffffffffffjjjjjj" hidden="1">#REF!</definedName>
    <definedName name="fgfg" hidden="1">#REF!</definedName>
    <definedName name="form3cd" hidden="1">#REF!</definedName>
    <definedName name="g" hidden="1">#REF!</definedName>
    <definedName name="gallup" hidden="1">{"a4p&amp;L",#N/A,FALSE,"tr &amp; pl"}</definedName>
    <definedName name="gallup_1" hidden="1">{"a4p&amp;L",#N/A,FALSE,"tr &amp; pl"}</definedName>
    <definedName name="GDF" hidden="1">{#N/A,#N/A,FALSE,"COMP"}</definedName>
    <definedName name="Goal" hidden="1">#REF!</definedName>
    <definedName name="Goal_New" hidden="1">#REF!</definedName>
    <definedName name="Goal_new1" hidden="1">#REF!</definedName>
    <definedName name="Goals_new" hidden="1">#REF!</definedName>
    <definedName name="hgfhtr" hidden="1">{#N/A,#N/A,FALSE,"COMP"}</definedName>
    <definedName name="hgkh" hidden="1">{#N/A,#N/A,FALSE,"Aging Summary";#N/A,#N/A,FALSE,"Ratio Analysis";#N/A,#N/A,FALSE,"Test 120 Day Accts";#N/A,#N/A,FALSE,"Tickmarks"}</definedName>
    <definedName name="HTML_CodePage" hidden="1">1252</definedName>
    <definedName name="HTML_Control" hidden="1">{"'August 2000'!$A$1:$J$101"}</definedName>
    <definedName name="HTML_Description" hidden="1">""</definedName>
    <definedName name="HTML_Email" hidden="1">"neerajk@ranbaxy.co.in"</definedName>
    <definedName name="HTML_Header" hidden="1">"September 2000"</definedName>
    <definedName name="HTML_LastUpdate" hidden="1">"10/3/00"</definedName>
    <definedName name="HTML_LineAfter" hidden="1">FALSE</definedName>
    <definedName name="HTML_LineBefore" hidden="1">FALSE</definedName>
    <definedName name="HTML_Name" hidden="1">"Neeraj Kukreti"</definedName>
    <definedName name="HTML_OBDlg2" hidden="1">TRUE</definedName>
    <definedName name="HTML_OBDlg4" hidden="1">TRUE</definedName>
    <definedName name="HTML_OS" hidden="1">0</definedName>
    <definedName name="HTML_PathFile" hidden="1">"C:\WINDOWS\Desktop\cash_flash.htm"</definedName>
    <definedName name="HTML_Title" hidden="1">"cf_SEP2000"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CAP" hidden="1">"c712"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TD" hidden="1">800000</definedName>
    <definedName name="IQ_NAMES_REVISION_DATE_" hidden="1">42223.6254861111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"c2104"</definedName>
    <definedName name="IQ_YEARHIGH" hidden="1">"c1337"</definedName>
    <definedName name="IQ_YEARLOW" hidden="1">"c1338"</definedName>
    <definedName name="IQ_YTD" hidden="1">3000</definedName>
    <definedName name="IQ_YTDMONTH" hidden="1">130000</definedName>
    <definedName name="IQ_Z_SCORE" hidden="1">"c1339"</definedName>
    <definedName name="jay" hidden="1">#REF!</definedName>
    <definedName name="PEDESTAL2" hidden="1">#REF!</definedName>
    <definedName name="_xlnm.Print_Titles" localSheetId="0">'New Projects - Goals FY 26- (2)'!$2:$4</definedName>
    <definedName name="_xlnm.Print_Titles" localSheetId="1">'New Projects - Goals FY 26-27Q3'!$2:$4</definedName>
    <definedName name="Prof" hidden="1">#REF!</definedName>
    <definedName name="q" hidden="1">#REF!</definedName>
    <definedName name="sales1" hidden="1">{#N/A,#N/A,FALSE,"OPSTATE";#N/A,#N/A,FALSE,"BSLIABILITY";#N/A,#N/A,FALSE,"BSASSETS";#N/A,#N/A,FALSE,"Sheet1"}</definedName>
    <definedName name="salws2" hidden="1">{"A4depsch",#N/A,FALSE,"fa&amp;dep"}</definedName>
    <definedName name="SAPBEXdnldView" hidden="1">"431YL7QMJN6KP6IQEL77FEM9L"</definedName>
    <definedName name="SAPBEXsysID" hidden="1">"BP1"</definedName>
    <definedName name="sencount" hidden="1">1</definedName>
    <definedName name="shp" hidden="1">#REF!</definedName>
    <definedName name="SORT1" hidden="1">#REF!</definedName>
    <definedName name="sss" hidden="1">{#N/A,#N/A,FALSE,"COMP"}</definedName>
    <definedName name="the" hidden="1">{#N/A,#N/A,FALSE,"COMP"}</definedName>
    <definedName name="v" hidden="1">#REF!,#REF!</definedName>
    <definedName name="vivek1" hidden="1">#REF!</definedName>
    <definedName name="vivek11" hidden="1">#REF!</definedName>
    <definedName name="vivek12" hidden="1">#REF!</definedName>
    <definedName name="vivek13" hidden="1">#REF!</definedName>
    <definedName name="vivek17" hidden="1">#REF!</definedName>
    <definedName name="vivek18" hidden="1">#REF!</definedName>
    <definedName name="vivek2" hidden="1">#REF!</definedName>
    <definedName name="vivek220" hidden="1">#REF!</definedName>
    <definedName name="vivek288888" hidden="1">#REF!</definedName>
    <definedName name="vivek2dddddddddddddddd" hidden="1">#REF!</definedName>
    <definedName name="vivek2oooooooooooooooo" hidden="1">#REF!</definedName>
    <definedName name="vivek3" hidden="1">#REF!</definedName>
    <definedName name="vivek4" hidden="1">#REF!</definedName>
    <definedName name="vivek444" hidden="1">#REF!</definedName>
    <definedName name="vivek5" hidden="1">#REF!</definedName>
    <definedName name="vivek6" hidden="1">#REF!</definedName>
    <definedName name="vivek6666" hidden="1">#REF!</definedName>
    <definedName name="vivek9" hidden="1">#REF!</definedName>
    <definedName name="wr" hidden="1">{#N/A,#N/A,FALSE,"COMP"}</definedName>
    <definedName name="WRI" hidden="1">{#N/A,#N/A,FALSE,"COMP"}</definedName>
    <definedName name="wrn.A4BSSCH." hidden="1">{"BSSCHA4",#N/A,FALSE,"sch bs"}</definedName>
    <definedName name="wrn.A4BSSCH._1" hidden="1">{"BSSCHA4",#N/A,FALSE,"sch bs"}</definedName>
    <definedName name="wrn.A4PL." hidden="1">{"a4p&amp;L",#N/A,FALSE,"tr &amp; pl"}</definedName>
    <definedName name="wrn.A4PL._1" hidden="1">{"a4p&amp;L",#N/A,FALSE,"tr &amp; pl"}</definedName>
    <definedName name="wrn.Aging._.and._.Trend._.Analysis." hidden="1">{#N/A,#N/A,FALSE,"Aging Summary";#N/A,#N/A,FALSE,"Ratio Analysis";#N/A,#N/A,FALSE,"Test 120 Day Accts";#N/A,#N/A,FALSE,"Tickmarks"}</definedName>
    <definedName name="wrn.AkrutiCMA." hidden="1">{#N/A,#N/A,FALSE,"OPSTATE";#N/A,#N/A,FALSE,"BSLIABILITY";#N/A,#N/A,FALSE,"BSASSETS";#N/A,#N/A,FALSE,"Sheet1"}</definedName>
    <definedName name="wrn.All.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BSA4." hidden="1">{"A4BS",#N/A,FALSE,"bs"}</definedName>
    <definedName name="wrn.BSA4._1" hidden="1">{"A4BS",#N/A,FALSE,"bs"}</definedName>
    <definedName name="wrn.capA4." hidden="1">{"capA4",#N/A,FALSE,"capt"}</definedName>
    <definedName name="wrn.capA4._1" hidden="1">{"capA4",#N/A,FALSE,"capt"}</definedName>
    <definedName name="wrn.depschA4." hidden="1">{"A4depsch",#N/A,FALSE,"fa&amp;dep"}</definedName>
    <definedName name="wrn.depschA4._1" hidden="1">{"A4depsch",#N/A,FALSE,"fa&amp;dep"}</definedName>
    <definedName name="wrn.EVEREST.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FORM1." hidden="1">{#N/A,#N/A,FALSE,"COMP"}</definedName>
    <definedName name="wrn.Full._.Financials." hidden="1">{#N/A,#N/A,TRUE,"Financials";#N/A,#N/A,TRUE,"Operating Statistics";#N/A,#N/A,TRUE,"Capex &amp; Depreciation";#N/A,#N/A,TRUE,"Debt"}</definedName>
    <definedName name="wrn.One._.Pager._.plus._.Technicals." hidden="1">{#N/A,#N/A,FALSE,"One Pager";#N/A,#N/A,FALSE,"Technical"}</definedName>
    <definedName name="wrn.PLSCHA4." hidden="1">{"A4PLSCH",#N/A,FALSE,"sch pl"}</definedName>
    <definedName name="wrn.PLSCHA4._1" hidden="1">{"A4PLSCH",#N/A,FALSE,"sch pl"}</definedName>
    <definedName name="wrn.Print.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Short.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Saiwadi.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unSteel.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WATINORMAL.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XREF_COLUMN_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CopyRangeCount" hidden="1">6</definedName>
    <definedName name="XRefPasteRangeCount" hidden="1">4</definedName>
    <definedName name="XYZ" hidden="1">#REF!,#REF!</definedName>
    <definedName name="Z_0185ADC1_3830_11D3_88E4_00104B2D4E50_.wvu.FilterData" hidden="1">#REF!</definedName>
    <definedName name="Z_0185ADC2_3830_11D3_88E4_00104B2D4E50_.wvu.FilterData" hidden="1">#REF!</definedName>
    <definedName name="Z_020243C4_4FC9_11D3_88E5_00104B2D4E50_.wvu.FilterData" hidden="1">#REF!</definedName>
    <definedName name="Z_020243C5_4FC9_11D3_88E5_00104B2D4E50_.wvu.FilterData" hidden="1">#REF!</definedName>
    <definedName name="Z_020243D6_4FC9_11D3_88E5_00104B2D4E50_.wvu.FilterData" hidden="1">#REF!</definedName>
    <definedName name="Z_020243D9_4FC9_11D3_88E5_00104B2D4E50_.wvu.FilterData" hidden="1">#REF!</definedName>
    <definedName name="Z_18E867C2_363F_11D3_B384_00104B203064_.wvu.Cols" hidden="1">#REF!</definedName>
    <definedName name="Z_18E867C2_363F_11D3_B384_00104B203064_.wvu.FilterData" hidden="1">#REF!</definedName>
    <definedName name="Z_18E867C6_363F_11D3_B384_00104B203064_.wvu.FilterData" hidden="1">#REF!</definedName>
    <definedName name="Z_2529F30F_675A_11D3_88E6_00104B2D4E50_.wvu.FilterData" hidden="1">#REF!</definedName>
    <definedName name="Z_37C90060_2018_11D3_9FEA_008048EE1BB3_.wvu.Cols" hidden="1">#REF!</definedName>
    <definedName name="Z_37C90060_2018_11D3_9FEA_008048EE1BB3_.wvu.FilterData" hidden="1">#REF!</definedName>
    <definedName name="Z_37C90061_2018_11D3_9FEA_008048EE1BB3_.wvu.FilterData" hidden="1">#REF!</definedName>
    <definedName name="Z_37C90063_2018_11D3_9FEA_008048EE1BB3_.wvu.FilterData" hidden="1">#REF!</definedName>
    <definedName name="Z_42177D60_3622_11D3_B2D2_008048EE2662_.wvu.FilterData" hidden="1">#REF!</definedName>
    <definedName name="Z_87846904_F246_11D2_88E4_00104B2D4E50_.wvu.PrintTitles" hidden="1">#REF!,#REF!</definedName>
    <definedName name="Z_9C36B7A0_8E17_11D3_B2D2_008048EE2662_.wvu.Rows" hidden="1">#REF!,#REF!,#REF!</definedName>
    <definedName name="Z_AF67EA27_37A9_11D3_88E4_00104B2D4E50_.wvu.FilterData" hidden="1">#REF!</definedName>
    <definedName name="Z_CC26C000_67A6_11D3_B801_444553540000_.wvu.FilterData" hidden="1">#REF!</definedName>
    <definedName name="Z_D840F8B1_668B_11D3_88E6_00104B2D4E50_.wvu.FilterData" hidden="1">#REF!</definedName>
    <definedName name="Z_F0339D6F_2232_11D3_88E4_00104B2D4E50_.wvu.FilterData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2" i="37" l="1"/>
  <c r="L102" i="37"/>
  <c r="K102" i="37"/>
  <c r="J102" i="37"/>
  <c r="M93" i="37"/>
  <c r="L93" i="37"/>
  <c r="K93" i="37"/>
  <c r="J93" i="37"/>
  <c r="M86" i="37"/>
  <c r="L86" i="37"/>
  <c r="K86" i="37"/>
  <c r="J86" i="37"/>
  <c r="M73" i="37"/>
  <c r="L73" i="37"/>
  <c r="K73" i="37"/>
  <c r="J73" i="37"/>
  <c r="M72" i="37"/>
  <c r="L72" i="37"/>
  <c r="K72" i="37"/>
  <c r="J72" i="37"/>
  <c r="M68" i="37"/>
  <c r="L68" i="37"/>
  <c r="K68" i="37"/>
  <c r="J68" i="37"/>
  <c r="M67" i="37"/>
  <c r="L67" i="37"/>
  <c r="K67" i="37"/>
  <c r="J67" i="37"/>
  <c r="L64" i="37"/>
  <c r="M63" i="37"/>
  <c r="L63" i="37"/>
  <c r="K63" i="37"/>
  <c r="J63" i="37"/>
  <c r="M62" i="37"/>
  <c r="L62" i="37"/>
  <c r="K62" i="37"/>
  <c r="J62" i="37"/>
  <c r="L59" i="37"/>
  <c r="M58" i="37"/>
  <c r="L58" i="37"/>
  <c r="K58" i="37"/>
  <c r="J58" i="37"/>
  <c r="M57" i="37"/>
  <c r="L57" i="37"/>
  <c r="K57" i="37"/>
  <c r="J57" i="37"/>
  <c r="L54" i="37"/>
  <c r="M53" i="37"/>
  <c r="L53" i="37"/>
  <c r="K53" i="37"/>
  <c r="J53" i="37"/>
  <c r="M52" i="37"/>
  <c r="L52" i="37"/>
  <c r="K52" i="37"/>
  <c r="J52" i="37"/>
  <c r="L49" i="37"/>
  <c r="M48" i="37"/>
  <c r="L48" i="37"/>
  <c r="K48" i="37"/>
  <c r="J48" i="37"/>
  <c r="M47" i="37"/>
  <c r="L47" i="37"/>
  <c r="K47" i="37"/>
  <c r="J47" i="37"/>
  <c r="L44" i="37"/>
  <c r="L41" i="37"/>
  <c r="M40" i="37"/>
  <c r="L40" i="37"/>
  <c r="K40" i="37"/>
  <c r="J40" i="37"/>
  <c r="L37" i="37"/>
  <c r="L34" i="37"/>
  <c r="M33" i="37"/>
  <c r="L33" i="37"/>
  <c r="K33" i="37"/>
  <c r="J33" i="37"/>
  <c r="L30" i="37"/>
  <c r="M29" i="37"/>
  <c r="L29" i="37"/>
  <c r="K29" i="37"/>
  <c r="J29" i="37"/>
  <c r="L26" i="37"/>
  <c r="L23" i="37"/>
  <c r="L20" i="37"/>
  <c r="L17" i="37"/>
  <c r="M16" i="37"/>
  <c r="L16" i="37"/>
  <c r="K16" i="37"/>
  <c r="J16" i="37"/>
  <c r="M15" i="37"/>
  <c r="L15" i="37"/>
  <c r="K15" i="37"/>
  <c r="J15" i="37"/>
  <c r="M11" i="37"/>
  <c r="L11" i="37"/>
  <c r="K11" i="37"/>
  <c r="J11" i="37"/>
  <c r="M7" i="37"/>
  <c r="L7" i="37"/>
  <c r="K7" i="37"/>
  <c r="J7" i="37"/>
  <c r="M6" i="37"/>
  <c r="L6" i="37"/>
  <c r="K6" i="37"/>
  <c r="J6" i="37"/>
  <c r="M2" i="37"/>
  <c r="L2" i="37"/>
  <c r="K2" i="37"/>
  <c r="J2" i="37"/>
  <c r="M102" i="36"/>
  <c r="L102" i="36"/>
  <c r="J102" i="36"/>
  <c r="M93" i="36"/>
  <c r="L93" i="36"/>
  <c r="J93" i="36"/>
  <c r="M86" i="36"/>
  <c r="L86" i="36"/>
  <c r="J86" i="36"/>
  <c r="M73" i="36"/>
  <c r="L73" i="36"/>
  <c r="J73" i="36"/>
  <c r="M72" i="36"/>
  <c r="L72" i="36"/>
  <c r="J72" i="36"/>
  <c r="K102" i="36"/>
  <c r="K93" i="36"/>
  <c r="K86" i="36"/>
  <c r="K73" i="36"/>
  <c r="J68" i="36"/>
  <c r="J67" i="36" s="1"/>
  <c r="K68" i="36"/>
  <c r="K67" i="36" s="1"/>
  <c r="L68" i="36"/>
  <c r="L67" i="36" s="1"/>
  <c r="M68" i="36"/>
  <c r="K72" i="36" l="1"/>
  <c r="M67" i="36"/>
  <c r="L64" i="36"/>
  <c r="L63" i="36" s="1"/>
  <c r="M63" i="36"/>
  <c r="M62" i="36" s="1"/>
  <c r="K63" i="36"/>
  <c r="K62" i="36" s="1"/>
  <c r="J63" i="36"/>
  <c r="J62" i="36" s="1"/>
  <c r="L23" i="36"/>
  <c r="L59" i="36"/>
  <c r="M58" i="36"/>
  <c r="K58" i="36"/>
  <c r="J58" i="36"/>
  <c r="L54" i="36"/>
  <c r="M53" i="36"/>
  <c r="K53" i="36"/>
  <c r="J53" i="36"/>
  <c r="L49" i="36"/>
  <c r="M48" i="36"/>
  <c r="K48" i="36"/>
  <c r="J48" i="36"/>
  <c r="L44" i="36"/>
  <c r="L41" i="36"/>
  <c r="M40" i="36"/>
  <c r="K40" i="36"/>
  <c r="J40" i="36"/>
  <c r="L37" i="36"/>
  <c r="L34" i="36"/>
  <c r="M33" i="36"/>
  <c r="K33" i="36"/>
  <c r="J33" i="36"/>
  <c r="L30" i="36"/>
  <c r="L29" i="36" s="1"/>
  <c r="M29" i="36"/>
  <c r="K29" i="36"/>
  <c r="J29" i="36"/>
  <c r="L26" i="36"/>
  <c r="L20" i="36"/>
  <c r="L17" i="36"/>
  <c r="M16" i="36"/>
  <c r="K16" i="36"/>
  <c r="J16" i="36"/>
  <c r="M11" i="36"/>
  <c r="L11" i="36"/>
  <c r="M7" i="36"/>
  <c r="L7" i="36"/>
  <c r="L62" i="36" l="1"/>
  <c r="L16" i="36"/>
  <c r="M57" i="36"/>
  <c r="M47" i="36"/>
  <c r="K47" i="36"/>
  <c r="J47" i="36"/>
  <c r="L40" i="36"/>
  <c r="L53" i="36"/>
  <c r="L52" i="36" s="1"/>
  <c r="M52" i="36"/>
  <c r="L58" i="36"/>
  <c r="L57" i="36" s="1"/>
  <c r="L33" i="36"/>
  <c r="M15" i="36"/>
  <c r="K15" i="36"/>
  <c r="J15" i="36"/>
  <c r="L48" i="36"/>
  <c r="L47" i="36" s="1"/>
  <c r="K57" i="36"/>
  <c r="J57" i="36"/>
  <c r="K52" i="36"/>
  <c r="J52" i="36"/>
  <c r="M6" i="36"/>
  <c r="M2" i="36" s="1"/>
  <c r="L6" i="36"/>
  <c r="L2" i="36" s="1"/>
  <c r="L15" i="36" l="1"/>
  <c r="J11" i="36" l="1"/>
  <c r="K11" i="36"/>
  <c r="K7" i="36" l="1"/>
  <c r="J7" i="36"/>
  <c r="K6" i="36" l="1"/>
  <c r="J6" i="36"/>
  <c r="K2" i="36" l="1"/>
  <c r="J2" i="36"/>
</calcChain>
</file>

<file path=xl/sharedStrings.xml><?xml version="1.0" encoding="utf-8"?>
<sst xmlns="http://schemas.openxmlformats.org/spreadsheetml/2006/main" count="768" uniqueCount="79">
  <si>
    <t>FY 2026-27 Q3 | Design Goals + Billing</t>
  </si>
  <si>
    <t>Project</t>
  </si>
  <si>
    <t>Description</t>
  </si>
  <si>
    <t>Release date</t>
  </si>
  <si>
    <t>Responsible</t>
  </si>
  <si>
    <t>Remarks</t>
  </si>
  <si>
    <t>Plan - Billing [Cr.]</t>
  </si>
  <si>
    <t>Plan - Pkgs</t>
  </si>
  <si>
    <t>Actuals - Billing [Cr.]</t>
  </si>
  <si>
    <t>Actuals - Pkgs</t>
  </si>
  <si>
    <t>Design Lead</t>
  </si>
  <si>
    <t>Lead</t>
  </si>
  <si>
    <t>Person 1</t>
  </si>
  <si>
    <t>Person 2</t>
  </si>
  <si>
    <t>Person 3</t>
  </si>
  <si>
    <t>Draftperson</t>
  </si>
  <si>
    <t>KIADB - Mys</t>
  </si>
  <si>
    <t>Master planning</t>
  </si>
  <si>
    <t>LoD 200 - Schematic Concept &amp; Approvals</t>
  </si>
  <si>
    <t>LoD 100 - Contract + Design Brief</t>
  </si>
  <si>
    <t>Gagan</t>
  </si>
  <si>
    <t>Utpal</t>
  </si>
  <si>
    <t>Manali</t>
  </si>
  <si>
    <t xml:space="preserve">Step 1 </t>
  </si>
  <si>
    <t>Task Description</t>
  </si>
  <si>
    <t>User 1</t>
  </si>
  <si>
    <t>Step 2</t>
  </si>
  <si>
    <t>User 2</t>
  </si>
  <si>
    <t>Architecture</t>
  </si>
  <si>
    <t>Naveen Y</t>
  </si>
  <si>
    <t>Swathi</t>
  </si>
  <si>
    <t>DP Submitted &amp; Scrutiny in progress</t>
  </si>
  <si>
    <t>Chandan</t>
  </si>
  <si>
    <t>TMFT-Ph 3</t>
  </si>
  <si>
    <t>Package Release</t>
  </si>
  <si>
    <t>LoD 200 - Schematic Concept, Approvals</t>
  </si>
  <si>
    <t>Om Prakash</t>
  </si>
  <si>
    <t xml:space="preserve">Aparna </t>
  </si>
  <si>
    <t>LoD 200 - Schematic Concept</t>
  </si>
  <si>
    <t xml:space="preserve">Approvals </t>
  </si>
  <si>
    <t>LoD 200 - Marketing and Sales</t>
  </si>
  <si>
    <t>Structural</t>
  </si>
  <si>
    <t>Prakash C</t>
  </si>
  <si>
    <t>Vineetha</t>
  </si>
  <si>
    <t xml:space="preserve">Dhirender </t>
  </si>
  <si>
    <t>Rajath</t>
  </si>
  <si>
    <t>Arpitha</t>
  </si>
  <si>
    <t>MEP</t>
  </si>
  <si>
    <t>Salomi</t>
  </si>
  <si>
    <t>Eranna
Bhavya
Hareesha</t>
  </si>
  <si>
    <t>Avinash
Subash
Shreedhar</t>
  </si>
  <si>
    <t>Landscape</t>
  </si>
  <si>
    <t>Lajja</t>
  </si>
  <si>
    <t>Chetan</t>
  </si>
  <si>
    <t>Byatarayanpura [behind Mall of Asia]</t>
  </si>
  <si>
    <t>Sreeja</t>
  </si>
  <si>
    <t>Sinchana</t>
  </si>
  <si>
    <t>TR Mills Chamarajpet</t>
  </si>
  <si>
    <t xml:space="preserve">TR Mills </t>
  </si>
  <si>
    <t xml:space="preserve">LoD 100 - Contract + Design Brief </t>
  </si>
  <si>
    <t>Saji A</t>
  </si>
  <si>
    <t>Simran</t>
  </si>
  <si>
    <t>Arshad</t>
  </si>
  <si>
    <t>Varthur 52a</t>
  </si>
  <si>
    <t>Ayesha</t>
  </si>
  <si>
    <t>Nandi Hills 10a Sultanpete</t>
  </si>
  <si>
    <t>Cijey M</t>
  </si>
  <si>
    <t>Theodora</t>
  </si>
  <si>
    <t>Harohalli</t>
  </si>
  <si>
    <t>Megha</t>
  </si>
  <si>
    <t>Misty [Nava Raipur]</t>
  </si>
  <si>
    <t>Sreeja P</t>
  </si>
  <si>
    <t>LoD 300 - Pre Construction</t>
  </si>
  <si>
    <t>Approvals</t>
  </si>
  <si>
    <t>Lincy R</t>
  </si>
  <si>
    <t>Charan U T</t>
  </si>
  <si>
    <t>Hareesha
Bhavya
Rinu
Vallivel</t>
  </si>
  <si>
    <t>Lajja S</t>
  </si>
  <si>
    <t>Anisha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</si>
</sst>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</numFmts>
  <fonts count="21">
    <font>
      <sz val="10"/>
      <color theme="1"/>
      <name val="Meta-Normal"/>
      <family val="2"/>
    </font>
    <font>
      <sz val="11"/>
      <color theme="1"/>
      <name val="Neo Sans Pro Light"/>
      <family val="2"/>
    </font>
    <font>
      <sz val="11"/>
      <color theme="1"/>
      <name val="Aptos Narrow"/>
      <family val="2"/>
      <scheme val="minor"/>
    </font>
    <font>
      <sz val="10"/>
      <color theme="1"/>
      <name val="Meta-Normal"/>
      <family val="2"/>
    </font>
    <font>
      <sz val="12"/>
      <color theme="1"/>
      <name val="Aptos Narrow"/>
      <family val="2"/>
      <scheme val="minor"/>
    </font>
    <font>
      <sz val="8"/>
      <name val="Neo Sans Pro Light"/>
      <family val="2"/>
    </font>
    <font>
      <sz val="10"/>
      <name val="Arial"/>
      <family val="2"/>
    </font>
    <font>
      <sz val="10"/>
      <color theme="1"/>
      <name val="Helvetica Neue Light"/>
      <family val="2"/>
    </font>
    <font>
      <b/>
      <sz val="10"/>
      <color theme="1"/>
      <name val="Helvetica Neue Light"/>
      <family val="2"/>
    </font>
    <font>
      <sz val="10"/>
      <color theme="1"/>
      <name val="Meta-Normal"/>
    </font>
    <font>
      <b/>
      <sz val="10"/>
      <name val="Helvetica Neue Light"/>
      <family val="2"/>
    </font>
    <font>
      <sz val="10"/>
      <name val="Helvetica Neue Light"/>
      <family val="2"/>
    </font>
    <font>
      <b/>
      <sz val="10"/>
      <name val="Meta-Normal"/>
    </font>
    <font>
      <sz val="11"/>
      <color theme="1"/>
      <name val="Meta-Normal"/>
    </font>
    <font>
      <sz val="12"/>
      <color theme="1"/>
      <name val="Helvetica Neue Medium"/>
      <family val="2"/>
    </font>
    <font>
      <sz val="14"/>
      <color theme="0"/>
      <name val="Helvetica Neue Condensed Black"/>
      <family val="2"/>
    </font>
    <font>
      <sz val="11"/>
      <color theme="1"/>
      <name val="Meta-Normal"/>
      <family val="2"/>
    </font>
    <font>
      <b/>
      <sz val="14"/>
      <color theme="0"/>
      <name val="Meta-Normal"/>
    </font>
    <font>
      <b/>
      <sz val="14"/>
      <color theme="0"/>
      <name val="Meta-Normal"/>
      <family val="2"/>
    </font>
    <font>
      <b/>
      <sz val="10"/>
      <name val="Meta-Normal"/>
      <family val="2"/>
    </font>
    <font>
      <sz val="10"/>
      <color theme="4"/>
      <name val="Helvetica Neue Light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9">
    <xf numFmtId="0" fontId="0" fillId="0" borderId="0"/>
    <xf numFmtId="164" fontId="3" fillId="0" borderId="0" applyFont="0" applyFill="0" applyBorder="0" applyAlignment="0" applyProtection="0"/>
    <xf numFmtId="0" fontId="2" fillId="0" borderId="0"/>
    <xf numFmtId="0" fontId="3" fillId="0" borderId="0"/>
    <xf numFmtId="0" fontId="4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3" fillId="0" borderId="0" applyFont="0" applyFill="0" applyBorder="0" applyAlignment="0" applyProtection="0"/>
    <xf numFmtId="0" fontId="4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5" fillId="0" borderId="0"/>
    <xf numFmtId="43" fontId="3" fillId="0" borderId="0" applyFont="0" applyFill="0" applyBorder="0" applyAlignment="0" applyProtection="0"/>
    <xf numFmtId="0" fontId="4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" fillId="0" borderId="0"/>
    <xf numFmtId="0" fontId="1" fillId="0" borderId="0"/>
    <xf numFmtId="0" fontId="2" fillId="0" borderId="0"/>
  </cellStyleXfs>
  <cellXfs count="45">
    <xf numFmtId="0" fontId="0" fillId="0" borderId="0" xfId="0"/>
    <xf numFmtId="0" fontId="7" fillId="0" borderId="1" xfId="2" applyFont="1" applyBorder="1" applyAlignment="1">
      <alignment vertical="center"/>
    </xf>
    <xf numFmtId="0" fontId="7" fillId="0" borderId="0" xfId="2" applyFont="1" applyAlignment="1">
      <alignment vertical="center"/>
    </xf>
    <xf numFmtId="0" fontId="15" fillId="3" borderId="1" xfId="2" applyFont="1" applyFill="1" applyBorder="1" applyAlignment="1">
      <alignment vertical="center"/>
    </xf>
    <xf numFmtId="0" fontId="15" fillId="3" borderId="1" xfId="2" applyFont="1" applyFill="1" applyBorder="1" applyAlignment="1">
      <alignment vertical="center" wrapText="1"/>
    </xf>
    <xf numFmtId="0" fontId="14" fillId="4" borderId="1" xfId="2" applyFont="1" applyFill="1" applyBorder="1" applyAlignment="1">
      <alignment vertical="center"/>
    </xf>
    <xf numFmtId="0" fontId="7" fillId="0" borderId="0" xfId="2" applyFont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1" xfId="2" applyFont="1" applyBorder="1" applyAlignment="1">
      <alignment vertical="center" wrapText="1"/>
    </xf>
    <xf numFmtId="2" fontId="0" fillId="0" borderId="1" xfId="2" applyNumberFormat="1" applyFont="1" applyBorder="1" applyAlignment="1">
      <alignment vertical="center"/>
    </xf>
    <xf numFmtId="2" fontId="7" fillId="0" borderId="0" xfId="2" applyNumberFormat="1" applyFont="1" applyAlignment="1">
      <alignment vertical="center"/>
    </xf>
    <xf numFmtId="0" fontId="14" fillId="2" borderId="1" xfId="2" applyFont="1" applyFill="1" applyBorder="1" applyAlignment="1">
      <alignment horizontal="center" vertical="center"/>
    </xf>
    <xf numFmtId="0" fontId="7" fillId="0" borderId="2" xfId="2" applyFont="1" applyBorder="1" applyAlignment="1">
      <alignment vertical="center"/>
    </xf>
    <xf numFmtId="0" fontId="10" fillId="2" borderId="1" xfId="2" applyFont="1" applyFill="1" applyBorder="1" applyAlignment="1">
      <alignment vertical="center"/>
    </xf>
    <xf numFmtId="0" fontId="8" fillId="2" borderId="1" xfId="2" applyFont="1" applyFill="1" applyBorder="1" applyAlignment="1">
      <alignment vertical="center" wrapText="1"/>
    </xf>
    <xf numFmtId="166" fontId="17" fillId="3" borderId="1" xfId="1" applyNumberFormat="1" applyFont="1" applyFill="1" applyBorder="1" applyAlignment="1">
      <alignment horizontal="center" vertical="center"/>
    </xf>
    <xf numFmtId="165" fontId="18" fillId="3" borderId="1" xfId="1" applyNumberFormat="1" applyFont="1" applyFill="1" applyBorder="1" applyAlignment="1">
      <alignment horizontal="center" vertical="center"/>
    </xf>
    <xf numFmtId="165" fontId="0" fillId="0" borderId="1" xfId="1" applyNumberFormat="1" applyFont="1" applyBorder="1" applyAlignment="1">
      <alignment vertical="center"/>
    </xf>
    <xf numFmtId="0" fontId="14" fillId="2" borderId="1" xfId="2" applyFont="1" applyFill="1" applyBorder="1" applyAlignment="1">
      <alignment horizontal="center" vertical="center" wrapText="1"/>
    </xf>
    <xf numFmtId="0" fontId="7" fillId="0" borderId="2" xfId="2" applyFont="1" applyBorder="1" applyAlignment="1">
      <alignment horizontal="center" vertical="center"/>
    </xf>
    <xf numFmtId="2" fontId="9" fillId="0" borderId="1" xfId="2" applyNumberFormat="1" applyFont="1" applyBorder="1" applyAlignment="1">
      <alignment vertical="center"/>
    </xf>
    <xf numFmtId="1" fontId="9" fillId="0" borderId="1" xfId="2" applyNumberFormat="1" applyFont="1" applyBorder="1" applyAlignment="1">
      <alignment vertical="center"/>
    </xf>
    <xf numFmtId="0" fontId="14" fillId="4" borderId="1" xfId="2" applyFont="1" applyFill="1" applyBorder="1" applyAlignment="1">
      <alignment vertical="center" wrapText="1"/>
    </xf>
    <xf numFmtId="2" fontId="13" fillId="4" borderId="1" xfId="2" applyNumberFormat="1" applyFont="1" applyFill="1" applyBorder="1" applyAlignment="1">
      <alignment vertical="center"/>
    </xf>
    <xf numFmtId="2" fontId="12" fillId="2" borderId="1" xfId="2" applyNumberFormat="1" applyFont="1" applyFill="1" applyBorder="1" applyAlignment="1">
      <alignment vertical="center"/>
    </xf>
    <xf numFmtId="165" fontId="12" fillId="2" borderId="1" xfId="1" applyNumberFormat="1" applyFont="1" applyFill="1" applyBorder="1" applyAlignment="1">
      <alignment vertical="center"/>
    </xf>
    <xf numFmtId="2" fontId="16" fillId="4" borderId="1" xfId="2" applyNumberFormat="1" applyFont="1" applyFill="1" applyBorder="1" applyAlignment="1">
      <alignment vertical="center"/>
    </xf>
    <xf numFmtId="165" fontId="16" fillId="4" borderId="1" xfId="1" applyNumberFormat="1" applyFont="1" applyFill="1" applyBorder="1" applyAlignment="1">
      <alignment vertical="center"/>
    </xf>
    <xf numFmtId="0" fontId="11" fillId="0" borderId="0" xfId="2" applyFont="1" applyAlignment="1">
      <alignment vertical="center"/>
    </xf>
    <xf numFmtId="0" fontId="7" fillId="0" borderId="0" xfId="2" applyFont="1" applyAlignment="1">
      <alignment vertical="center" wrapText="1"/>
    </xf>
    <xf numFmtId="0" fontId="7" fillId="5" borderId="0" xfId="2" applyFont="1" applyFill="1" applyAlignment="1">
      <alignment vertical="center"/>
    </xf>
    <xf numFmtId="0" fontId="7" fillId="5" borderId="0" xfId="2" applyFont="1" applyFill="1" applyAlignment="1">
      <alignment horizontal="center" vertical="center"/>
    </xf>
    <xf numFmtId="165" fontId="18" fillId="3" borderId="1" xfId="1" applyNumberFormat="1" applyFont="1" applyFill="1" applyBorder="1" applyAlignment="1">
      <alignment horizontal="right" vertical="center"/>
    </xf>
    <xf numFmtId="15" fontId="0" fillId="0" borderId="1" xfId="2" applyNumberFormat="1" applyFont="1" applyBorder="1" applyAlignment="1">
      <alignment horizontal="center" vertical="center"/>
    </xf>
    <xf numFmtId="15" fontId="15" fillId="3" borderId="1" xfId="2" applyNumberFormat="1" applyFont="1" applyFill="1" applyBorder="1" applyAlignment="1">
      <alignment vertical="center" wrapText="1"/>
    </xf>
    <xf numFmtId="15" fontId="7" fillId="0" borderId="1" xfId="2" applyNumberFormat="1" applyFont="1" applyBorder="1" applyAlignment="1">
      <alignment vertical="center" wrapText="1"/>
    </xf>
    <xf numFmtId="15" fontId="14" fillId="2" borderId="1" xfId="2" applyNumberFormat="1" applyFont="1" applyFill="1" applyBorder="1" applyAlignment="1">
      <alignment horizontal="center" vertical="center"/>
    </xf>
    <xf numFmtId="15" fontId="14" fillId="4" borderId="1" xfId="2" applyNumberFormat="1" applyFont="1" applyFill="1" applyBorder="1" applyAlignment="1">
      <alignment vertical="center" wrapText="1"/>
    </xf>
    <xf numFmtId="15" fontId="8" fillId="2" borderId="1" xfId="2" applyNumberFormat="1" applyFont="1" applyFill="1" applyBorder="1" applyAlignment="1">
      <alignment vertical="center" wrapText="1"/>
    </xf>
    <xf numFmtId="15" fontId="7" fillId="0" borderId="0" xfId="2" applyNumberFormat="1" applyFont="1" applyAlignment="1">
      <alignment vertical="center" wrapText="1"/>
    </xf>
    <xf numFmtId="2" fontId="19" fillId="2" borderId="1" xfId="2" applyNumberFormat="1" applyFont="1" applyFill="1" applyBorder="1" applyAlignment="1">
      <alignment vertical="center"/>
    </xf>
    <xf numFmtId="165" fontId="19" fillId="2" borderId="1" xfId="1" applyNumberFormat="1" applyFont="1" applyFill="1" applyBorder="1" applyAlignment="1">
      <alignment vertical="center"/>
    </xf>
    <xf numFmtId="0" fontId="20" fillId="0" borderId="1" xfId="2" applyFont="1" applyBorder="1" applyAlignment="1">
      <alignment vertical="center"/>
    </xf>
    <xf numFmtId="0" fontId="20" fillId="0" borderId="1" xfId="2" applyFont="1" applyBorder="1" applyAlignment="1">
      <alignment vertical="center" wrapText="1"/>
    </xf>
    <xf numFmtId="0" fontId="20" fillId="0" borderId="1" xfId="2" applyFont="1" applyBorder="1" applyAlignment="1">
      <alignment horizontal="center" vertical="center" wrapText="1"/>
    </xf>
  </cellXfs>
  <cellStyles count="29">
    <cellStyle name="Comma" xfId="1" builtinId="3"/>
    <cellStyle name="Comma 10" xfId="22" xr:uid="{7DEE2C9A-C384-41B9-9C39-671BCA8A70B4}"/>
    <cellStyle name="Comma 2" xfId="6" xr:uid="{9974E87C-B3E8-4FCD-85D5-738EC5A00EBD}"/>
    <cellStyle name="Comma 2 2" xfId="15" xr:uid="{56E3BB82-B47C-4F8E-8C81-B7AE45EBD356}"/>
    <cellStyle name="Comma 2 2 2" xfId="18" xr:uid="{74D0584D-CE06-400C-9822-064532443BAD}"/>
    <cellStyle name="Comma 2 3" xfId="17" xr:uid="{75B5461C-6E48-455D-8A6A-467E583FFBE6}"/>
    <cellStyle name="Comma 2 4" xfId="20" xr:uid="{45C92782-944B-4D3C-A1F1-F1BF1422F133}"/>
    <cellStyle name="Comma 3" xfId="14" xr:uid="{60A7A182-7A5F-4172-B0D8-0297083A140B}"/>
    <cellStyle name="Comma 4" xfId="16" xr:uid="{A8AA4419-2BDF-487C-B3C3-91425DDFB4A2}"/>
    <cellStyle name="Comma 47" xfId="23" xr:uid="{5CB24E7C-3BED-4301-9BE7-D445FB20C459}"/>
    <cellStyle name="Comma 5" xfId="7" xr:uid="{552278EB-8DB7-4AB4-939D-74B16F96D747}"/>
    <cellStyle name="Comma 6" xfId="24" xr:uid="{8F64F0F1-AE23-4528-9461-18244EC3E3D6}"/>
    <cellStyle name="Normal" xfId="0" builtinId="0"/>
    <cellStyle name="Normal 170 2" xfId="4" xr:uid="{4B133F74-B308-4F27-AAC6-880253265B6A}"/>
    <cellStyle name="Normal 170 2 2" xfId="13" xr:uid="{C0FF7614-52E9-4BB9-90EE-9C2C4D0A634E}"/>
    <cellStyle name="Normal 170 2 2 2" xfId="11" xr:uid="{800CD04E-E8C2-4A36-8407-AB00702268E2}"/>
    <cellStyle name="Normal 170 2 2 3" xfId="21" xr:uid="{16651F48-3A16-4FE8-AB47-8D0E2375A284}"/>
    <cellStyle name="Normal 170 2 2 3 5" xfId="26" xr:uid="{E2E8F931-1A09-4522-81C6-EF9218A13C5A}"/>
    <cellStyle name="Normal 2" xfId="8" xr:uid="{9E5C3A08-B208-402D-8FFE-828530A336D4}"/>
    <cellStyle name="Normal 2 111" xfId="28" xr:uid="{BF3C3A79-D8AD-4AB5-9BE4-DE7FE84441CF}"/>
    <cellStyle name="Normal 3" xfId="9" xr:uid="{75325961-0C84-46B9-A78C-3AF447CB04F7}"/>
    <cellStyle name="Normal 3 3 2" xfId="19" xr:uid="{07C2A6DA-C14E-4B03-8B73-2E2F69B22545}"/>
    <cellStyle name="Normal 3 35" xfId="10" xr:uid="{6D4650CB-0A2A-4D5B-AB52-695BD12310F0}"/>
    <cellStyle name="Normal 4" xfId="2" xr:uid="{47204A2B-CF82-477F-8027-168EE23D2B09}"/>
    <cellStyle name="Normal 46" xfId="3" xr:uid="{4870A42E-E3CE-4C69-9ECF-500C8FF6AA76}"/>
    <cellStyle name="Normal 5" xfId="27" xr:uid="{9288BF0C-E91D-47EB-A104-7E112B2AD194}"/>
    <cellStyle name="Percent 2" xfId="12" xr:uid="{4C66D492-1276-4F92-86CC-4C6C4E71D4EC}"/>
    <cellStyle name="Percent 3" xfId="5" xr:uid="{D1DC7DAE-1327-4E4E-B6F1-65DACDB4E605}"/>
    <cellStyle name="Percent 4" xfId="25" xr:uid="{F8EC7DE0-350B-4187-B2C0-55F72F0B43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E1D6F29D-0150-4ADC-A54B-470EDF378CD3}"/>
  <namedSheetView name="View2" id="{A0C75254-A8A4-4F1A-8D36-BCFDCA47283D}"/>
</namedSheetViews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FE85D494-0FEE-441D-9FAC-9CE497BF92D1}"/>
  <namedSheetView name="View2" id="{DDB09B31-4BB1-4079-B700-A106605822CA}"/>
</namedSheetView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8B886-7B5C-450E-BFE4-A0EB7C41D4E8}">
  <sheetPr>
    <outlinePr summaryBelow="0" summaryRight="0"/>
    <pageSetUpPr fitToPage="1"/>
  </sheetPr>
  <dimension ref="A2:AB112"/>
  <sheetViews>
    <sheetView tabSelected="1" zoomScale="90" zoomScaleNormal="90" workbookViewId="0">
      <pane xSplit="2" ySplit="4" topLeftCell="C5" activePane="bottomRight" state="frozen"/>
      <selection pane="bottomRight" activeCell="T34" sqref="T34"/>
      <selection pane="bottomLeft" activeCell="AB15" sqref="AB15"/>
      <selection pane="topRight" activeCell="AB15" sqref="AB15"/>
    </sheetView>
  </sheetViews>
  <sheetFormatPr defaultColWidth="9.42578125" defaultRowHeight="12.75" outlineLevelRow="3" outlineLevelCol="1"/>
  <cols>
    <col min="1" max="1" width="0.5703125" style="2" customWidth="1"/>
    <col min="2" max="2" width="32.7109375" style="2" customWidth="1"/>
    <col min="3" max="3" width="53.7109375" style="29" customWidth="1"/>
    <col min="4" max="4" width="19.42578125" style="39" bestFit="1" customWidth="1"/>
    <col min="5" max="5" width="18.7109375" style="29" bestFit="1" customWidth="1"/>
    <col min="6" max="6" width="15.28515625" style="29" bestFit="1" customWidth="1"/>
    <col min="7" max="9" width="0.28515625" style="2" customWidth="1" outlineLevel="1"/>
    <col min="10" max="10" width="13.28515625" style="2" customWidth="1" outlineLevel="1"/>
    <col min="11" max="11" width="9.5703125" style="2" customWidth="1" outlineLevel="1"/>
    <col min="12" max="12" width="16.28515625" style="2" customWidth="1" outlineLevel="1"/>
    <col min="13" max="13" width="15.7109375" style="2" customWidth="1" outlineLevel="1"/>
    <col min="14" max="16" width="0.28515625" style="2" customWidth="1" outlineLevel="1"/>
    <col min="17" max="17" width="15.7109375" style="2" customWidth="1" outlineLevel="1"/>
    <col min="18" max="18" width="14.42578125" style="2" customWidth="1" outlineLevel="1"/>
    <col min="19" max="19" width="20.42578125" style="2" bestFit="1" customWidth="1" outlineLevel="1"/>
    <col min="20" max="20" width="22.140625" style="2" bestFit="1" customWidth="1" outlineLevel="1"/>
    <col min="21" max="22" width="15.7109375" style="2" customWidth="1" outlineLevel="1"/>
    <col min="23" max="25" width="0.28515625" style="2" customWidth="1"/>
    <col min="26" max="26" width="15.7109375" style="2" customWidth="1"/>
    <col min="27" max="27" width="9.42578125" style="2" bestFit="1" customWidth="1"/>
    <col min="28" max="16384" width="9.42578125" style="2"/>
  </cols>
  <sheetData>
    <row r="2" spans="1:27" ht="17.45">
      <c r="A2" s="1"/>
      <c r="B2" s="3" t="s">
        <v>0</v>
      </c>
      <c r="C2" s="4"/>
      <c r="D2" s="34"/>
      <c r="E2" s="4"/>
      <c r="F2" s="4"/>
      <c r="H2" s="30"/>
      <c r="J2" s="15">
        <f>SUBTOTAL(9,J6:J14)</f>
        <v>0</v>
      </c>
      <c r="K2" s="16">
        <f>SUBTOTAL(9,K6:K14)</f>
        <v>2</v>
      </c>
      <c r="L2" s="15">
        <f>SUBTOTAL(9,L6:L14)</f>
        <v>0</v>
      </c>
      <c r="M2" s="32">
        <f>SUBTOTAL(9,M6:M14)</f>
        <v>0</v>
      </c>
      <c r="N2" s="12"/>
      <c r="O2" s="30"/>
      <c r="Q2" s="3"/>
      <c r="R2" s="3"/>
      <c r="S2" s="3"/>
      <c r="T2" s="3"/>
      <c r="U2" s="3"/>
      <c r="V2" s="3"/>
      <c r="X2" s="30"/>
    </row>
    <row r="3" spans="1:27" ht="3" customHeight="1">
      <c r="A3" s="1"/>
      <c r="B3" s="1"/>
      <c r="C3" s="8"/>
      <c r="D3" s="35"/>
      <c r="E3" s="8"/>
      <c r="F3" s="8"/>
      <c r="H3" s="30"/>
      <c r="J3" s="1"/>
      <c r="K3" s="1"/>
      <c r="L3" s="1"/>
      <c r="M3" s="1"/>
      <c r="N3" s="12"/>
      <c r="O3" s="30"/>
      <c r="Q3" s="1"/>
      <c r="R3" s="1"/>
      <c r="S3" s="1"/>
      <c r="T3" s="1"/>
      <c r="U3" s="1"/>
      <c r="V3" s="1"/>
      <c r="X3" s="30"/>
    </row>
    <row r="4" spans="1:27" s="6" customFormat="1" ht="30">
      <c r="A4" s="7"/>
      <c r="B4" s="11" t="s">
        <v>1</v>
      </c>
      <c r="C4" s="18" t="s">
        <v>2</v>
      </c>
      <c r="D4" s="36" t="s">
        <v>3</v>
      </c>
      <c r="E4" s="11" t="s">
        <v>4</v>
      </c>
      <c r="F4" s="11" t="s">
        <v>5</v>
      </c>
      <c r="H4" s="31"/>
      <c r="J4" s="18" t="s">
        <v>6</v>
      </c>
      <c r="K4" s="18" t="s">
        <v>7</v>
      </c>
      <c r="L4" s="11" t="s">
        <v>8</v>
      </c>
      <c r="M4" s="18" t="s">
        <v>9</v>
      </c>
      <c r="N4" s="19"/>
      <c r="O4" s="31"/>
      <c r="Q4" s="11" t="s">
        <v>10</v>
      </c>
      <c r="R4" s="11" t="s">
        <v>11</v>
      </c>
      <c r="S4" s="11" t="s">
        <v>12</v>
      </c>
      <c r="T4" s="11" t="s">
        <v>13</v>
      </c>
      <c r="U4" s="11" t="s">
        <v>14</v>
      </c>
      <c r="V4" s="11" t="s">
        <v>15</v>
      </c>
      <c r="X4" s="31"/>
      <c r="Z4" s="2"/>
    </row>
    <row r="5" spans="1:27" ht="3" customHeight="1">
      <c r="A5" s="1"/>
      <c r="B5" s="1"/>
      <c r="C5" s="8"/>
      <c r="D5" s="35"/>
      <c r="E5" s="8"/>
      <c r="F5" s="8"/>
      <c r="H5" s="30"/>
      <c r="J5" s="20"/>
      <c r="K5" s="21"/>
      <c r="L5" s="20"/>
      <c r="M5" s="21"/>
      <c r="N5" s="12"/>
      <c r="O5" s="30"/>
      <c r="Q5" s="1"/>
      <c r="R5" s="1"/>
      <c r="S5" s="1"/>
      <c r="T5" s="1"/>
      <c r="U5" s="1"/>
      <c r="V5" s="1"/>
      <c r="X5" s="30"/>
      <c r="Z5" s="10"/>
      <c r="AA5" s="10"/>
    </row>
    <row r="6" spans="1:27" ht="15">
      <c r="A6" s="1"/>
      <c r="B6" s="5" t="s">
        <v>16</v>
      </c>
      <c r="C6" s="22"/>
      <c r="D6" s="37"/>
      <c r="E6" s="22"/>
      <c r="F6" s="22"/>
      <c r="H6" s="30"/>
      <c r="J6" s="23">
        <f>SUBTOTAL(9,J7:J14)</f>
        <v>0</v>
      </c>
      <c r="K6" s="23">
        <f>SUBTOTAL(9,K7:K14)</f>
        <v>2</v>
      </c>
      <c r="L6" s="23">
        <f>SUBTOTAL(9,L7:L14)</f>
        <v>0</v>
      </c>
      <c r="M6" s="23">
        <f>SUBTOTAL(9,M7:M14)</f>
        <v>0</v>
      </c>
      <c r="N6" s="12"/>
      <c r="O6" s="30"/>
      <c r="Q6" s="5"/>
      <c r="R6" s="5"/>
      <c r="S6" s="5"/>
      <c r="T6" s="5"/>
      <c r="U6" s="5"/>
      <c r="V6" s="5"/>
      <c r="X6" s="30"/>
      <c r="Z6" s="10"/>
      <c r="AA6" s="10"/>
    </row>
    <row r="7" spans="1:27" ht="13.15" outlineLevel="1">
      <c r="A7" s="1"/>
      <c r="B7" s="13" t="s">
        <v>17</v>
      </c>
      <c r="C7" s="14" t="s">
        <v>18</v>
      </c>
      <c r="D7" s="38"/>
      <c r="E7" s="13"/>
      <c r="F7" s="13"/>
      <c r="H7" s="30"/>
      <c r="J7" s="24">
        <f>SUBTOTAL(9,J8:J10)</f>
        <v>0</v>
      </c>
      <c r="K7" s="25">
        <f>SUBTOTAL(9,K8:K10)</f>
        <v>1</v>
      </c>
      <c r="L7" s="24">
        <f>SUBTOTAL(9,L8:L10)</f>
        <v>0</v>
      </c>
      <c r="M7" s="25">
        <f>SUBTOTAL(9,M8:M10)</f>
        <v>0</v>
      </c>
      <c r="N7" s="12"/>
      <c r="O7" s="30"/>
      <c r="Q7" s="13"/>
      <c r="R7" s="13"/>
      <c r="S7" s="13"/>
      <c r="T7" s="13"/>
      <c r="U7" s="13"/>
      <c r="V7" s="13"/>
      <c r="W7" s="12"/>
      <c r="X7" s="30"/>
    </row>
    <row r="8" spans="1:27" ht="13.15" outlineLevel="2">
      <c r="A8" s="1"/>
      <c r="B8" s="1" t="s">
        <v>16</v>
      </c>
      <c r="C8" s="8" t="s">
        <v>19</v>
      </c>
      <c r="D8" s="33">
        <v>46316</v>
      </c>
      <c r="E8" s="8" t="s">
        <v>20</v>
      </c>
      <c r="F8" s="8"/>
      <c r="H8" s="30"/>
      <c r="J8" s="9"/>
      <c r="K8" s="17">
        <v>1</v>
      </c>
      <c r="L8" s="9"/>
      <c r="M8" s="17"/>
      <c r="N8" s="12"/>
      <c r="O8" s="30"/>
      <c r="Q8" s="1" t="s">
        <v>20</v>
      </c>
      <c r="R8" s="1" t="s">
        <v>21</v>
      </c>
      <c r="S8" s="1" t="s">
        <v>22</v>
      </c>
      <c r="T8" s="1"/>
      <c r="U8" s="1"/>
      <c r="V8" s="1"/>
      <c r="X8" s="30"/>
    </row>
    <row r="9" spans="1:27" ht="13.15" outlineLevel="3">
      <c r="A9" s="1"/>
      <c r="B9" s="42" t="s">
        <v>23</v>
      </c>
      <c r="C9" s="43" t="s">
        <v>24</v>
      </c>
      <c r="D9" s="33"/>
      <c r="E9" s="44" t="s">
        <v>25</v>
      </c>
      <c r="F9" s="1"/>
      <c r="G9" s="12"/>
      <c r="H9" s="30"/>
      <c r="J9" s="9"/>
      <c r="K9" s="17"/>
      <c r="L9" s="9"/>
      <c r="M9" s="17"/>
      <c r="N9" s="12"/>
      <c r="O9" s="30"/>
      <c r="Q9" s="1"/>
      <c r="R9" s="1"/>
      <c r="S9" s="1"/>
      <c r="T9" s="1"/>
      <c r="U9" s="1"/>
      <c r="V9" s="1"/>
      <c r="X9" s="30"/>
    </row>
    <row r="10" spans="1:27" ht="13.15" outlineLevel="3">
      <c r="A10" s="1"/>
      <c r="B10" s="42" t="s">
        <v>26</v>
      </c>
      <c r="C10" s="43" t="s">
        <v>24</v>
      </c>
      <c r="D10" s="33"/>
      <c r="E10" s="44" t="s">
        <v>27</v>
      </c>
      <c r="F10" s="1"/>
      <c r="G10" s="12"/>
      <c r="H10" s="30"/>
      <c r="J10" s="9"/>
      <c r="K10" s="17"/>
      <c r="L10" s="9"/>
      <c r="M10" s="17"/>
      <c r="N10" s="12"/>
      <c r="O10" s="30"/>
      <c r="Q10" s="1"/>
      <c r="R10" s="1"/>
      <c r="S10" s="1"/>
      <c r="T10" s="1"/>
      <c r="U10" s="1"/>
      <c r="V10" s="1"/>
      <c r="X10" s="30"/>
    </row>
    <row r="11" spans="1:27" ht="13.15" outlineLevel="1">
      <c r="A11" s="1"/>
      <c r="B11" s="13" t="s">
        <v>28</v>
      </c>
      <c r="C11" s="14" t="s">
        <v>18</v>
      </c>
      <c r="D11" s="38"/>
      <c r="E11" s="13"/>
      <c r="F11" s="13"/>
      <c r="H11" s="30"/>
      <c r="J11" s="24">
        <f>SUBTOTAL(9,J12:J14)</f>
        <v>0</v>
      </c>
      <c r="K11" s="25">
        <f>SUBTOTAL(9,K12:K14)</f>
        <v>1</v>
      </c>
      <c r="L11" s="24">
        <f>SUBTOTAL(9,L12:L14)</f>
        <v>0</v>
      </c>
      <c r="M11" s="25">
        <f>SUBTOTAL(9,M12:M14)</f>
        <v>0</v>
      </c>
      <c r="N11" s="12"/>
      <c r="O11" s="30"/>
      <c r="Q11" s="13"/>
      <c r="R11" s="13"/>
      <c r="S11" s="13"/>
      <c r="T11" s="13"/>
      <c r="U11" s="13"/>
      <c r="V11" s="13"/>
      <c r="W11" s="12"/>
      <c r="X11" s="30"/>
    </row>
    <row r="12" spans="1:27" ht="13.15" outlineLevel="2">
      <c r="A12" s="1"/>
      <c r="B12" s="1" t="s">
        <v>16</v>
      </c>
      <c r="C12" s="8" t="s">
        <v>19</v>
      </c>
      <c r="D12" s="33">
        <v>46316</v>
      </c>
      <c r="E12" s="8" t="s">
        <v>29</v>
      </c>
      <c r="F12" s="8"/>
      <c r="H12" s="30"/>
      <c r="J12" s="9"/>
      <c r="K12" s="17">
        <v>1</v>
      </c>
      <c r="L12" s="9"/>
      <c r="M12" s="17"/>
      <c r="N12" s="12"/>
      <c r="O12" s="30"/>
      <c r="Q12" s="1" t="s">
        <v>29</v>
      </c>
      <c r="R12" s="1" t="s">
        <v>30</v>
      </c>
      <c r="S12" s="1" t="s">
        <v>22</v>
      </c>
      <c r="T12" s="1"/>
      <c r="U12" s="1"/>
      <c r="V12" s="1"/>
      <c r="X12" s="30"/>
    </row>
    <row r="13" spans="1:27" ht="13.5" outlineLevel="3">
      <c r="A13" s="1"/>
      <c r="B13" s="42" t="s">
        <v>23</v>
      </c>
      <c r="C13" s="43" t="s">
        <v>31</v>
      </c>
      <c r="D13" s="33"/>
      <c r="E13" s="44" t="s">
        <v>32</v>
      </c>
      <c r="F13" s="1"/>
      <c r="G13" s="12"/>
      <c r="H13" s="30"/>
      <c r="J13" s="9"/>
      <c r="K13" s="17"/>
      <c r="L13" s="9"/>
      <c r="M13" s="17"/>
      <c r="N13" s="12"/>
      <c r="O13" s="30"/>
      <c r="Q13" s="1"/>
      <c r="R13" s="1"/>
      <c r="S13" s="1"/>
      <c r="T13" s="1"/>
      <c r="U13" s="1"/>
      <c r="V13" s="1"/>
      <c r="X13" s="30"/>
    </row>
    <row r="14" spans="1:27" ht="13.15" outlineLevel="3">
      <c r="A14" s="1"/>
      <c r="B14" s="42" t="s">
        <v>26</v>
      </c>
      <c r="C14" s="43" t="s">
        <v>24</v>
      </c>
      <c r="D14" s="33"/>
      <c r="E14" s="44" t="s">
        <v>27</v>
      </c>
      <c r="F14" s="1"/>
      <c r="G14" s="12"/>
      <c r="H14" s="30"/>
      <c r="J14" s="9"/>
      <c r="K14" s="17"/>
      <c r="L14" s="9"/>
      <c r="M14" s="17"/>
      <c r="N14" s="12"/>
      <c r="O14" s="30"/>
      <c r="Q14" s="1"/>
      <c r="R14" s="1"/>
      <c r="S14" s="1"/>
      <c r="T14" s="1"/>
      <c r="U14" s="1"/>
      <c r="V14" s="1"/>
      <c r="X14" s="30"/>
    </row>
    <row r="15" spans="1:27" ht="15">
      <c r="A15" s="1"/>
      <c r="B15" s="5" t="s">
        <v>33</v>
      </c>
      <c r="C15" s="22" t="s">
        <v>34</v>
      </c>
      <c r="D15" s="37"/>
      <c r="E15" s="5"/>
      <c r="F15" s="5"/>
      <c r="H15" s="30"/>
      <c r="J15" s="26">
        <f>SUBTOTAL(9,J16:J44)</f>
        <v>0.89413480000000012</v>
      </c>
      <c r="K15" s="27">
        <f>SUBTOTAL(9,K16:K44)</f>
        <v>9</v>
      </c>
      <c r="L15" s="26">
        <f>SUBTOTAL(9,L16:L44)</f>
        <v>0</v>
      </c>
      <c r="M15" s="27">
        <f>SUBTOTAL(9,M16:M44)</f>
        <v>0</v>
      </c>
      <c r="N15" s="12"/>
      <c r="O15" s="30"/>
      <c r="Q15" s="5"/>
      <c r="R15" s="5"/>
      <c r="S15" s="5"/>
      <c r="T15" s="5"/>
      <c r="U15" s="5"/>
      <c r="V15" s="5"/>
      <c r="W15" s="12"/>
      <c r="X15" s="30"/>
    </row>
    <row r="16" spans="1:27" ht="13.15" outlineLevel="1">
      <c r="A16" s="1"/>
      <c r="B16" s="13" t="s">
        <v>28</v>
      </c>
      <c r="C16" s="14" t="s">
        <v>35</v>
      </c>
      <c r="D16" s="38"/>
      <c r="E16" s="13"/>
      <c r="F16" s="13"/>
      <c r="H16" s="30"/>
      <c r="J16" s="24">
        <f>SUBTOTAL(9,J17:J26)</f>
        <v>0.74184000000000005</v>
      </c>
      <c r="K16" s="25">
        <f>SUBTOTAL(9,K17:K26)</f>
        <v>4</v>
      </c>
      <c r="L16" s="24">
        <f>SUBTOTAL(9,L17:L26)</f>
        <v>0</v>
      </c>
      <c r="M16" s="25">
        <f>SUBTOTAL(9,M17:M26)</f>
        <v>0</v>
      </c>
      <c r="N16" s="12"/>
      <c r="O16" s="30"/>
      <c r="Q16" s="13"/>
      <c r="R16" s="13"/>
      <c r="S16" s="13"/>
      <c r="T16" s="13"/>
      <c r="U16" s="13"/>
      <c r="V16" s="13"/>
      <c r="W16" s="12"/>
      <c r="X16" s="30"/>
    </row>
    <row r="17" spans="1:24" ht="13.15" outlineLevel="2">
      <c r="A17" s="1"/>
      <c r="B17" s="1" t="s">
        <v>33</v>
      </c>
      <c r="C17" s="8" t="s">
        <v>19</v>
      </c>
      <c r="D17" s="33">
        <v>46303</v>
      </c>
      <c r="E17" s="8" t="s">
        <v>36</v>
      </c>
      <c r="F17" s="8"/>
      <c r="H17" s="30"/>
      <c r="J17" s="9">
        <v>0.24728000000000006</v>
      </c>
      <c r="K17" s="17">
        <v>1</v>
      </c>
      <c r="L17" s="9">
        <f>IF(M17=1,J17,0)</f>
        <v>0</v>
      </c>
      <c r="M17" s="17"/>
      <c r="N17" s="12"/>
      <c r="O17" s="30"/>
      <c r="Q17" s="1" t="s">
        <v>36</v>
      </c>
      <c r="R17" s="1" t="s">
        <v>37</v>
      </c>
      <c r="S17" s="1"/>
      <c r="T17" s="1"/>
      <c r="U17" s="1"/>
      <c r="V17" s="1"/>
      <c r="X17" s="30"/>
    </row>
    <row r="18" spans="1:24" ht="13.15" outlineLevel="3">
      <c r="A18" s="1"/>
      <c r="B18" s="42" t="s">
        <v>23</v>
      </c>
      <c r="C18" s="43" t="s">
        <v>24</v>
      </c>
      <c r="D18" s="33"/>
      <c r="E18" s="44" t="s">
        <v>25</v>
      </c>
      <c r="F18" s="1"/>
      <c r="G18" s="12"/>
      <c r="H18" s="30"/>
      <c r="J18" s="9"/>
      <c r="K18" s="17"/>
      <c r="L18" s="9"/>
      <c r="M18" s="17"/>
      <c r="N18" s="12"/>
      <c r="O18" s="30"/>
      <c r="Q18" s="1"/>
      <c r="R18" s="1"/>
      <c r="S18" s="1"/>
      <c r="T18" s="1"/>
      <c r="U18" s="1"/>
      <c r="V18" s="1"/>
      <c r="X18" s="30"/>
    </row>
    <row r="19" spans="1:24" ht="13.15" outlineLevel="3">
      <c r="A19" s="1"/>
      <c r="B19" s="42" t="s">
        <v>26</v>
      </c>
      <c r="C19" s="43" t="s">
        <v>24</v>
      </c>
      <c r="D19" s="33"/>
      <c r="E19" s="44" t="s">
        <v>27</v>
      </c>
      <c r="F19" s="1"/>
      <c r="G19" s="12"/>
      <c r="H19" s="30"/>
      <c r="J19" s="9"/>
      <c r="K19" s="17"/>
      <c r="L19" s="9"/>
      <c r="M19" s="17"/>
      <c r="N19" s="12"/>
      <c r="O19" s="30"/>
      <c r="Q19" s="1"/>
      <c r="R19" s="1"/>
      <c r="S19" s="1"/>
      <c r="T19" s="1"/>
      <c r="U19" s="1"/>
      <c r="V19" s="1"/>
      <c r="X19" s="30"/>
    </row>
    <row r="20" spans="1:24" ht="13.15" outlineLevel="2">
      <c r="A20" s="1"/>
      <c r="B20" s="1" t="s">
        <v>33</v>
      </c>
      <c r="C20" s="8" t="s">
        <v>38</v>
      </c>
      <c r="D20" s="33">
        <v>46358</v>
      </c>
      <c r="E20" s="8" t="s">
        <v>36</v>
      </c>
      <c r="F20" s="8"/>
      <c r="H20" s="30"/>
      <c r="J20" s="9">
        <v>0.24728000000000006</v>
      </c>
      <c r="K20" s="17">
        <v>1</v>
      </c>
      <c r="L20" s="9">
        <f>IF(M20=1,J20,0)</f>
        <v>0</v>
      </c>
      <c r="M20" s="17"/>
      <c r="N20" s="12"/>
      <c r="O20" s="30"/>
      <c r="Q20" s="1" t="s">
        <v>36</v>
      </c>
      <c r="R20" s="1" t="s">
        <v>37</v>
      </c>
      <c r="S20" s="1"/>
      <c r="T20" s="1"/>
      <c r="U20" s="1"/>
      <c r="V20" s="1"/>
      <c r="X20" s="30"/>
    </row>
    <row r="21" spans="1:24" ht="13.15" outlineLevel="3">
      <c r="A21" s="1"/>
      <c r="B21" s="42" t="s">
        <v>23</v>
      </c>
      <c r="C21" s="43" t="s">
        <v>24</v>
      </c>
      <c r="D21" s="33"/>
      <c r="E21" s="44" t="s">
        <v>25</v>
      </c>
      <c r="F21" s="1"/>
      <c r="G21" s="12"/>
      <c r="H21" s="30"/>
      <c r="J21" s="9"/>
      <c r="K21" s="17"/>
      <c r="L21" s="9"/>
      <c r="M21" s="17"/>
      <c r="N21" s="12"/>
      <c r="O21" s="30"/>
      <c r="Q21" s="1"/>
      <c r="R21" s="1"/>
      <c r="S21" s="1"/>
      <c r="T21" s="1"/>
      <c r="U21" s="1"/>
      <c r="V21" s="1"/>
      <c r="X21" s="30"/>
    </row>
    <row r="22" spans="1:24" ht="13.15" outlineLevel="3">
      <c r="A22" s="1"/>
      <c r="B22" s="42" t="s">
        <v>26</v>
      </c>
      <c r="C22" s="43" t="s">
        <v>24</v>
      </c>
      <c r="D22" s="33"/>
      <c r="E22" s="44" t="s">
        <v>27</v>
      </c>
      <c r="F22" s="1"/>
      <c r="G22" s="12"/>
      <c r="H22" s="30"/>
      <c r="J22" s="9"/>
      <c r="K22" s="17"/>
      <c r="L22" s="9"/>
      <c r="M22" s="17"/>
      <c r="N22" s="12"/>
      <c r="O22" s="30"/>
      <c r="Q22" s="1"/>
      <c r="R22" s="1"/>
      <c r="S22" s="1"/>
      <c r="T22" s="1"/>
      <c r="U22" s="1"/>
      <c r="V22" s="1"/>
      <c r="X22" s="30"/>
    </row>
    <row r="23" spans="1:24" ht="13.15" outlineLevel="2">
      <c r="A23" s="1"/>
      <c r="B23" s="1" t="s">
        <v>33</v>
      </c>
      <c r="C23" s="8" t="s">
        <v>39</v>
      </c>
      <c r="D23" s="33">
        <v>46373</v>
      </c>
      <c r="E23" s="8" t="s">
        <v>36</v>
      </c>
      <c r="F23" s="8"/>
      <c r="H23" s="30"/>
      <c r="J23" s="9">
        <v>0.12364</v>
      </c>
      <c r="K23" s="17">
        <v>1</v>
      </c>
      <c r="L23" s="9">
        <f>IF(M23=1,J23,0)</f>
        <v>0</v>
      </c>
      <c r="M23" s="17"/>
      <c r="N23" s="12"/>
      <c r="O23" s="30"/>
      <c r="Q23" s="1" t="s">
        <v>36</v>
      </c>
      <c r="R23" s="1" t="s">
        <v>37</v>
      </c>
      <c r="S23" s="1"/>
      <c r="T23" s="1"/>
      <c r="U23" s="1"/>
      <c r="V23" s="1"/>
      <c r="X23" s="30"/>
    </row>
    <row r="24" spans="1:24" ht="13.15" outlineLevel="3">
      <c r="A24" s="1"/>
      <c r="B24" s="42" t="s">
        <v>23</v>
      </c>
      <c r="C24" s="43" t="s">
        <v>24</v>
      </c>
      <c r="D24" s="33"/>
      <c r="E24" s="44" t="s">
        <v>25</v>
      </c>
      <c r="F24" s="1"/>
      <c r="G24" s="12"/>
      <c r="H24" s="30"/>
      <c r="J24" s="9"/>
      <c r="K24" s="17"/>
      <c r="L24" s="9"/>
      <c r="M24" s="17"/>
      <c r="N24" s="12"/>
      <c r="O24" s="30"/>
      <c r="Q24" s="1"/>
      <c r="R24" s="1"/>
      <c r="S24" s="1"/>
      <c r="T24" s="1"/>
      <c r="U24" s="1"/>
      <c r="V24" s="1"/>
      <c r="X24" s="30"/>
    </row>
    <row r="25" spans="1:24" ht="13.15" outlineLevel="3">
      <c r="A25" s="1"/>
      <c r="B25" s="42" t="s">
        <v>26</v>
      </c>
      <c r="C25" s="43" t="s">
        <v>24</v>
      </c>
      <c r="D25" s="33"/>
      <c r="E25" s="44" t="s">
        <v>27</v>
      </c>
      <c r="F25" s="1"/>
      <c r="G25" s="12"/>
      <c r="H25" s="30"/>
      <c r="J25" s="9"/>
      <c r="K25" s="17"/>
      <c r="L25" s="9"/>
      <c r="M25" s="17"/>
      <c r="N25" s="12"/>
      <c r="O25" s="30"/>
      <c r="Q25" s="1"/>
      <c r="R25" s="1"/>
      <c r="S25" s="1"/>
      <c r="T25" s="1"/>
      <c r="U25" s="1"/>
      <c r="V25" s="1"/>
      <c r="X25" s="30"/>
    </row>
    <row r="26" spans="1:24" ht="13.15" outlineLevel="2">
      <c r="A26" s="1"/>
      <c r="B26" s="1" t="s">
        <v>33</v>
      </c>
      <c r="C26" s="8" t="s">
        <v>40</v>
      </c>
      <c r="D26" s="33">
        <v>46387</v>
      </c>
      <c r="E26" s="8" t="s">
        <v>36</v>
      </c>
      <c r="F26" s="8"/>
      <c r="H26" s="30"/>
      <c r="J26" s="9">
        <v>0.12364000000000003</v>
      </c>
      <c r="K26" s="17">
        <v>1</v>
      </c>
      <c r="L26" s="9">
        <f>IF(M26=1,J26,0)</f>
        <v>0</v>
      </c>
      <c r="M26" s="17"/>
      <c r="N26" s="12"/>
      <c r="O26" s="30"/>
      <c r="Q26" s="1" t="s">
        <v>36</v>
      </c>
      <c r="R26" s="1" t="s">
        <v>37</v>
      </c>
      <c r="S26" s="1"/>
      <c r="T26" s="1"/>
      <c r="U26" s="1"/>
      <c r="V26" s="1"/>
      <c r="X26" s="30"/>
    </row>
    <row r="27" spans="1:24" ht="13.15" outlineLevel="3">
      <c r="A27" s="1"/>
      <c r="B27" s="42" t="s">
        <v>23</v>
      </c>
      <c r="C27" s="43" t="s">
        <v>24</v>
      </c>
      <c r="D27" s="33"/>
      <c r="E27" s="44" t="s">
        <v>25</v>
      </c>
      <c r="F27" s="1"/>
      <c r="G27" s="12"/>
      <c r="H27" s="30"/>
      <c r="J27" s="9"/>
      <c r="K27" s="17"/>
      <c r="L27" s="9"/>
      <c r="M27" s="17"/>
      <c r="N27" s="12"/>
      <c r="O27" s="30"/>
      <c r="Q27" s="1"/>
      <c r="R27" s="1"/>
      <c r="S27" s="1"/>
      <c r="T27" s="1"/>
      <c r="U27" s="1"/>
      <c r="V27" s="1"/>
      <c r="X27" s="30"/>
    </row>
    <row r="28" spans="1:24" ht="13.15" outlineLevel="3">
      <c r="A28" s="1"/>
      <c r="B28" s="42" t="s">
        <v>26</v>
      </c>
      <c r="C28" s="43" t="s">
        <v>24</v>
      </c>
      <c r="D28" s="33"/>
      <c r="E28" s="44" t="s">
        <v>27</v>
      </c>
      <c r="F28" s="1"/>
      <c r="G28" s="12"/>
      <c r="H28" s="30"/>
      <c r="J28" s="9"/>
      <c r="K28" s="17"/>
      <c r="L28" s="9"/>
      <c r="M28" s="17"/>
      <c r="N28" s="12"/>
      <c r="O28" s="30"/>
      <c r="Q28" s="1"/>
      <c r="R28" s="1"/>
      <c r="S28" s="1"/>
      <c r="T28" s="1"/>
      <c r="U28" s="1"/>
      <c r="V28" s="1"/>
      <c r="X28" s="30"/>
    </row>
    <row r="29" spans="1:24" ht="13.15" outlineLevel="1">
      <c r="A29" s="1"/>
      <c r="B29" s="13" t="s">
        <v>41</v>
      </c>
      <c r="C29" s="14" t="s">
        <v>38</v>
      </c>
      <c r="D29" s="38"/>
      <c r="E29" s="13"/>
      <c r="F29" s="13"/>
      <c r="H29" s="30"/>
      <c r="J29" s="24">
        <f>SUBTOTAL(9,J30)</f>
        <v>7.8635040000000003E-2</v>
      </c>
      <c r="K29" s="25">
        <f>SUBTOTAL(9,K30)</f>
        <v>1</v>
      </c>
      <c r="L29" s="24">
        <f>SUBTOTAL(9,L30)</f>
        <v>0</v>
      </c>
      <c r="M29" s="25">
        <f>SUBTOTAL(9,M30)</f>
        <v>0</v>
      </c>
      <c r="N29" s="12"/>
      <c r="O29" s="30"/>
      <c r="Q29" s="13"/>
      <c r="R29" s="13"/>
      <c r="S29" s="13"/>
      <c r="T29" s="13"/>
      <c r="U29" s="13"/>
      <c r="V29" s="13"/>
      <c r="W29" s="12"/>
      <c r="X29" s="30"/>
    </row>
    <row r="30" spans="1:24" ht="13.15" outlineLevel="2">
      <c r="A30" s="1"/>
      <c r="B30" s="1" t="s">
        <v>33</v>
      </c>
      <c r="C30" s="8" t="s">
        <v>38</v>
      </c>
      <c r="D30" s="33">
        <v>46358</v>
      </c>
      <c r="E30" s="8" t="s">
        <v>42</v>
      </c>
      <c r="F30" s="8"/>
      <c r="H30" s="30"/>
      <c r="J30" s="9">
        <v>7.8635040000000003E-2</v>
      </c>
      <c r="K30" s="17">
        <v>1</v>
      </c>
      <c r="L30" s="9">
        <f>IF(M30=1,J30,0)</f>
        <v>0</v>
      </c>
      <c r="M30" s="17"/>
      <c r="N30" s="12"/>
      <c r="O30" s="30"/>
      <c r="Q30" s="1" t="s">
        <v>42</v>
      </c>
      <c r="R30" s="1" t="s">
        <v>43</v>
      </c>
      <c r="S30" s="1" t="s">
        <v>44</v>
      </c>
      <c r="T30" s="1" t="s">
        <v>45</v>
      </c>
      <c r="U30" s="1" t="s">
        <v>46</v>
      </c>
      <c r="V30" s="1"/>
      <c r="X30" s="30"/>
    </row>
    <row r="31" spans="1:24" ht="13.15" outlineLevel="3">
      <c r="A31" s="1"/>
      <c r="B31" s="42" t="s">
        <v>23</v>
      </c>
      <c r="C31" s="43" t="s">
        <v>24</v>
      </c>
      <c r="D31" s="33"/>
      <c r="E31" s="44" t="s">
        <v>25</v>
      </c>
      <c r="F31" s="1"/>
      <c r="G31" s="12"/>
      <c r="H31" s="30"/>
      <c r="J31" s="9"/>
      <c r="K31" s="17"/>
      <c r="L31" s="9"/>
      <c r="M31" s="17"/>
      <c r="N31" s="12"/>
      <c r="O31" s="30"/>
      <c r="Q31" s="1"/>
      <c r="R31" s="1"/>
      <c r="S31" s="1"/>
      <c r="T31" s="1"/>
      <c r="U31" s="1"/>
      <c r="V31" s="1"/>
      <c r="X31" s="30"/>
    </row>
    <row r="32" spans="1:24" ht="13.15" outlineLevel="3">
      <c r="A32" s="1"/>
      <c r="B32" s="42" t="s">
        <v>26</v>
      </c>
      <c r="C32" s="43" t="s">
        <v>24</v>
      </c>
      <c r="D32" s="33"/>
      <c r="E32" s="44" t="s">
        <v>27</v>
      </c>
      <c r="F32" s="1"/>
      <c r="G32" s="12"/>
      <c r="H32" s="30"/>
      <c r="J32" s="9"/>
      <c r="K32" s="17"/>
      <c r="L32" s="9"/>
      <c r="M32" s="17"/>
      <c r="N32" s="12"/>
      <c r="O32" s="30"/>
      <c r="Q32" s="1"/>
      <c r="R32" s="1"/>
      <c r="S32" s="1"/>
      <c r="T32" s="1"/>
      <c r="U32" s="1"/>
      <c r="V32" s="1"/>
      <c r="X32" s="30"/>
    </row>
    <row r="33" spans="1:24" ht="13.15" outlineLevel="1">
      <c r="A33" s="1"/>
      <c r="B33" s="13" t="s">
        <v>47</v>
      </c>
      <c r="C33" s="14" t="s">
        <v>35</v>
      </c>
      <c r="D33" s="38"/>
      <c r="E33" s="13"/>
      <c r="F33" s="13"/>
      <c r="H33" s="30"/>
      <c r="J33" s="24">
        <f>SUBTOTAL(9,J34:J37)</f>
        <v>3.9179040000000005E-2</v>
      </c>
      <c r="K33" s="25">
        <f>SUBTOTAL(9,K34:K37)</f>
        <v>2</v>
      </c>
      <c r="L33" s="24">
        <f>SUBTOTAL(9,L34:L37)</f>
        <v>0</v>
      </c>
      <c r="M33" s="25">
        <f>SUBTOTAL(9,M34:M37)</f>
        <v>0</v>
      </c>
      <c r="N33" s="12"/>
      <c r="O33" s="30"/>
      <c r="Q33" s="13"/>
      <c r="R33" s="13"/>
      <c r="S33" s="13"/>
      <c r="T33" s="13"/>
      <c r="U33" s="13"/>
      <c r="V33" s="13"/>
      <c r="W33" s="12"/>
      <c r="X33" s="30"/>
    </row>
    <row r="34" spans="1:24" ht="13.15" outlineLevel="2">
      <c r="A34" s="1"/>
      <c r="B34" s="1" t="s">
        <v>33</v>
      </c>
      <c r="C34" s="8" t="s">
        <v>38</v>
      </c>
      <c r="D34" s="33">
        <v>46358</v>
      </c>
      <c r="E34" s="8" t="s">
        <v>20</v>
      </c>
      <c r="F34" s="8"/>
      <c r="H34" s="30"/>
      <c r="J34" s="9">
        <v>2.9179040000000003E-2</v>
      </c>
      <c r="K34" s="17">
        <v>1</v>
      </c>
      <c r="L34" s="9">
        <f>IF(M34=1,J34,0)</f>
        <v>0</v>
      </c>
      <c r="M34" s="17"/>
      <c r="N34" s="12"/>
      <c r="O34" s="30"/>
      <c r="Q34" s="1" t="s">
        <v>20</v>
      </c>
      <c r="R34" s="1" t="s">
        <v>48</v>
      </c>
      <c r="S34" s="1" t="s">
        <v>49</v>
      </c>
      <c r="T34" s="1" t="s">
        <v>50</v>
      </c>
      <c r="U34" s="1"/>
      <c r="V34" s="1"/>
      <c r="X34" s="30"/>
    </row>
    <row r="35" spans="1:24" ht="13.15" outlineLevel="3">
      <c r="A35" s="1"/>
      <c r="B35" s="42" t="s">
        <v>23</v>
      </c>
      <c r="C35" s="43" t="s">
        <v>24</v>
      </c>
      <c r="D35" s="33"/>
      <c r="E35" s="44" t="s">
        <v>25</v>
      </c>
      <c r="F35" s="1"/>
      <c r="G35" s="12"/>
      <c r="H35" s="30"/>
      <c r="J35" s="9"/>
      <c r="K35" s="17"/>
      <c r="L35" s="9"/>
      <c r="M35" s="17"/>
      <c r="N35" s="12"/>
      <c r="O35" s="30"/>
      <c r="Q35" s="1"/>
      <c r="R35" s="1"/>
      <c r="S35" s="1"/>
      <c r="T35" s="1"/>
      <c r="U35" s="1"/>
      <c r="V35" s="1"/>
      <c r="X35" s="30"/>
    </row>
    <row r="36" spans="1:24" ht="13.15" outlineLevel="3">
      <c r="A36" s="1"/>
      <c r="B36" s="42" t="s">
        <v>26</v>
      </c>
      <c r="C36" s="43" t="s">
        <v>24</v>
      </c>
      <c r="D36" s="33"/>
      <c r="E36" s="44" t="s">
        <v>27</v>
      </c>
      <c r="F36" s="1"/>
      <c r="G36" s="12"/>
      <c r="H36" s="30"/>
      <c r="J36" s="9"/>
      <c r="K36" s="17"/>
      <c r="L36" s="9"/>
      <c r="M36" s="17"/>
      <c r="N36" s="12"/>
      <c r="O36" s="30"/>
      <c r="Q36" s="1"/>
      <c r="R36" s="1"/>
      <c r="S36" s="1"/>
      <c r="T36" s="1"/>
      <c r="U36" s="1"/>
      <c r="V36" s="1"/>
      <c r="X36" s="30"/>
    </row>
    <row r="37" spans="1:24" ht="13.15" outlineLevel="2">
      <c r="A37" s="1"/>
      <c r="B37" s="1" t="s">
        <v>33</v>
      </c>
      <c r="C37" s="8" t="s">
        <v>39</v>
      </c>
      <c r="D37" s="33">
        <v>46360</v>
      </c>
      <c r="E37" s="8" t="s">
        <v>20</v>
      </c>
      <c r="F37" s="8"/>
      <c r="H37" s="30"/>
      <c r="J37" s="9">
        <v>0.01</v>
      </c>
      <c r="K37" s="17">
        <v>1</v>
      </c>
      <c r="L37" s="9">
        <f>IF(M37=1,J37,0)</f>
        <v>0</v>
      </c>
      <c r="M37" s="17"/>
      <c r="N37" s="12"/>
      <c r="O37" s="30"/>
      <c r="Q37" s="1" t="s">
        <v>20</v>
      </c>
      <c r="R37" s="1" t="s">
        <v>48</v>
      </c>
      <c r="S37" s="1" t="s">
        <v>49</v>
      </c>
      <c r="T37" s="1" t="s">
        <v>50</v>
      </c>
      <c r="U37" s="1"/>
      <c r="V37" s="1"/>
      <c r="X37" s="30"/>
    </row>
    <row r="38" spans="1:24" ht="13.15" outlineLevel="3">
      <c r="A38" s="1"/>
      <c r="B38" s="42" t="s">
        <v>23</v>
      </c>
      <c r="C38" s="43" t="s">
        <v>24</v>
      </c>
      <c r="D38" s="33"/>
      <c r="E38" s="44" t="s">
        <v>25</v>
      </c>
      <c r="F38" s="1"/>
      <c r="G38" s="12"/>
      <c r="H38" s="30"/>
      <c r="J38" s="9"/>
      <c r="K38" s="17"/>
      <c r="L38" s="9"/>
      <c r="M38" s="17"/>
      <c r="N38" s="12"/>
      <c r="O38" s="30"/>
      <c r="Q38" s="1"/>
      <c r="R38" s="1"/>
      <c r="S38" s="1"/>
      <c r="T38" s="1"/>
      <c r="U38" s="1"/>
      <c r="V38" s="1"/>
      <c r="X38" s="30"/>
    </row>
    <row r="39" spans="1:24" ht="13.15" outlineLevel="3">
      <c r="A39" s="1"/>
      <c r="B39" s="42" t="s">
        <v>26</v>
      </c>
      <c r="C39" s="43" t="s">
        <v>24</v>
      </c>
      <c r="D39" s="33"/>
      <c r="E39" s="44" t="s">
        <v>27</v>
      </c>
      <c r="F39" s="1"/>
      <c r="G39" s="12"/>
      <c r="H39" s="30"/>
      <c r="J39" s="9"/>
      <c r="K39" s="17"/>
      <c r="L39" s="9"/>
      <c r="M39" s="17"/>
      <c r="N39" s="12"/>
      <c r="O39" s="30"/>
      <c r="Q39" s="1"/>
      <c r="R39" s="1"/>
      <c r="S39" s="1"/>
      <c r="T39" s="1"/>
      <c r="U39" s="1"/>
      <c r="V39" s="1"/>
      <c r="X39" s="30"/>
    </row>
    <row r="40" spans="1:24" ht="13.15" outlineLevel="1">
      <c r="A40" s="1"/>
      <c r="B40" s="13" t="s">
        <v>51</v>
      </c>
      <c r="C40" s="14" t="s">
        <v>35</v>
      </c>
      <c r="D40" s="38"/>
      <c r="E40" s="13"/>
      <c r="F40" s="13"/>
      <c r="H40" s="30"/>
      <c r="J40" s="24">
        <f>SUBTOTAL(9,J41:J44)</f>
        <v>3.4480719999999999E-2</v>
      </c>
      <c r="K40" s="25">
        <f>SUBTOTAL(9,K41:K44)</f>
        <v>2</v>
      </c>
      <c r="L40" s="24">
        <f>SUBTOTAL(9,L44)</f>
        <v>0</v>
      </c>
      <c r="M40" s="25">
        <f>SUBTOTAL(9,M44)</f>
        <v>0</v>
      </c>
      <c r="N40" s="12"/>
      <c r="O40" s="30"/>
      <c r="Q40" s="13"/>
      <c r="R40" s="13"/>
      <c r="S40" s="13"/>
      <c r="T40" s="13"/>
      <c r="U40" s="13"/>
      <c r="V40" s="13"/>
      <c r="W40" s="12"/>
      <c r="X40" s="30"/>
    </row>
    <row r="41" spans="1:24" ht="13.15" outlineLevel="2">
      <c r="A41" s="1"/>
      <c r="B41" s="1" t="s">
        <v>33</v>
      </c>
      <c r="C41" s="8" t="s">
        <v>38</v>
      </c>
      <c r="D41" s="33">
        <v>46358</v>
      </c>
      <c r="E41" s="8" t="s">
        <v>20</v>
      </c>
      <c r="F41" s="8"/>
      <c r="H41" s="30"/>
      <c r="J41" s="9">
        <v>2.4480720000000001E-2</v>
      </c>
      <c r="K41" s="17">
        <v>1</v>
      </c>
      <c r="L41" s="9">
        <f>IF(M41=1,J41,0)</f>
        <v>0</v>
      </c>
      <c r="M41" s="17"/>
      <c r="N41" s="12"/>
      <c r="O41" s="30"/>
      <c r="Q41" s="1" t="s">
        <v>20</v>
      </c>
      <c r="R41" s="1" t="s">
        <v>52</v>
      </c>
      <c r="S41" s="1" t="s">
        <v>53</v>
      </c>
      <c r="T41" s="1"/>
      <c r="U41" s="1"/>
      <c r="V41" s="1"/>
      <c r="X41" s="30"/>
    </row>
    <row r="42" spans="1:24" ht="13.15" outlineLevel="3">
      <c r="A42" s="1"/>
      <c r="B42" s="42" t="s">
        <v>23</v>
      </c>
      <c r="C42" s="43" t="s">
        <v>24</v>
      </c>
      <c r="D42" s="33"/>
      <c r="E42" s="44" t="s">
        <v>25</v>
      </c>
      <c r="F42" s="1"/>
      <c r="G42" s="12"/>
      <c r="H42" s="30"/>
      <c r="J42" s="9"/>
      <c r="K42" s="17"/>
      <c r="L42" s="9"/>
      <c r="M42" s="17"/>
      <c r="N42" s="12"/>
      <c r="O42" s="30"/>
      <c r="Q42" s="1"/>
      <c r="R42" s="1"/>
      <c r="S42" s="1"/>
      <c r="T42" s="1"/>
      <c r="U42" s="1"/>
      <c r="V42" s="1"/>
      <c r="X42" s="30"/>
    </row>
    <row r="43" spans="1:24" ht="13.15" outlineLevel="3">
      <c r="A43" s="1"/>
      <c r="B43" s="42" t="s">
        <v>26</v>
      </c>
      <c r="C43" s="43" t="s">
        <v>24</v>
      </c>
      <c r="D43" s="33"/>
      <c r="E43" s="44" t="s">
        <v>27</v>
      </c>
      <c r="F43" s="1"/>
      <c r="G43" s="12"/>
      <c r="H43" s="30"/>
      <c r="J43" s="9"/>
      <c r="K43" s="17"/>
      <c r="L43" s="9"/>
      <c r="M43" s="17"/>
      <c r="N43" s="12"/>
      <c r="O43" s="30"/>
      <c r="Q43" s="1"/>
      <c r="R43" s="1"/>
      <c r="S43" s="1"/>
      <c r="T43" s="1"/>
      <c r="U43" s="1"/>
      <c r="V43" s="1"/>
      <c r="X43" s="30"/>
    </row>
    <row r="44" spans="1:24" ht="13.15" outlineLevel="2">
      <c r="A44" s="1"/>
      <c r="B44" s="1" t="s">
        <v>33</v>
      </c>
      <c r="C44" s="8" t="s">
        <v>39</v>
      </c>
      <c r="D44" s="33">
        <v>46360</v>
      </c>
      <c r="E44" s="8" t="s">
        <v>20</v>
      </c>
      <c r="F44" s="8"/>
      <c r="H44" s="30"/>
      <c r="J44" s="9">
        <v>0.01</v>
      </c>
      <c r="K44" s="17">
        <v>1</v>
      </c>
      <c r="L44" s="9">
        <f>IF(M44=1,J44,0)</f>
        <v>0</v>
      </c>
      <c r="M44" s="17"/>
      <c r="N44" s="12"/>
      <c r="O44" s="30"/>
      <c r="Q44" s="1" t="s">
        <v>20</v>
      </c>
      <c r="R44" s="1" t="s">
        <v>52</v>
      </c>
      <c r="S44" s="1" t="s">
        <v>53</v>
      </c>
      <c r="T44" s="1"/>
      <c r="U44" s="1"/>
      <c r="V44" s="1"/>
      <c r="X44" s="30"/>
    </row>
    <row r="45" spans="1:24" ht="13.15" outlineLevel="3">
      <c r="A45" s="1"/>
      <c r="B45" s="42" t="s">
        <v>23</v>
      </c>
      <c r="C45" s="43" t="s">
        <v>24</v>
      </c>
      <c r="D45" s="33"/>
      <c r="E45" s="44" t="s">
        <v>25</v>
      </c>
      <c r="F45" s="1"/>
      <c r="G45" s="12"/>
      <c r="H45" s="30"/>
      <c r="J45" s="9"/>
      <c r="K45" s="17"/>
      <c r="L45" s="9"/>
      <c r="M45" s="17"/>
      <c r="N45" s="12"/>
      <c r="O45" s="30"/>
      <c r="Q45" s="1"/>
      <c r="R45" s="1"/>
      <c r="S45" s="1"/>
      <c r="T45" s="1"/>
      <c r="U45" s="1"/>
      <c r="V45" s="1"/>
      <c r="X45" s="30"/>
    </row>
    <row r="46" spans="1:24" ht="13.15" outlineLevel="3">
      <c r="A46" s="1"/>
      <c r="B46" s="42" t="s">
        <v>26</v>
      </c>
      <c r="C46" s="43" t="s">
        <v>24</v>
      </c>
      <c r="D46" s="33"/>
      <c r="E46" s="44" t="s">
        <v>27</v>
      </c>
      <c r="F46" s="1"/>
      <c r="G46" s="12"/>
      <c r="H46" s="30"/>
      <c r="J46" s="9"/>
      <c r="K46" s="17"/>
      <c r="L46" s="9"/>
      <c r="M46" s="17"/>
      <c r="N46" s="12"/>
      <c r="O46" s="30"/>
      <c r="Q46" s="1"/>
      <c r="R46" s="1"/>
      <c r="S46" s="1"/>
      <c r="T46" s="1"/>
      <c r="U46" s="1"/>
      <c r="V46" s="1"/>
      <c r="X46" s="30"/>
    </row>
    <row r="47" spans="1:24" ht="15">
      <c r="A47" s="1"/>
      <c r="B47" s="5" t="s">
        <v>54</v>
      </c>
      <c r="C47" s="22" t="s">
        <v>34</v>
      </c>
      <c r="D47" s="37"/>
      <c r="E47" s="5"/>
      <c r="F47" s="5"/>
      <c r="H47" s="30"/>
      <c r="J47" s="26">
        <f>SUBTOTAL(9,J48:J49)</f>
        <v>1.6141000000000003</v>
      </c>
      <c r="K47" s="27">
        <f>SUBTOTAL(9,K48:K49)</f>
        <v>1</v>
      </c>
      <c r="L47" s="26">
        <f>SUBTOTAL(9,L48:L49)</f>
        <v>0</v>
      </c>
      <c r="M47" s="27">
        <f>SUBTOTAL(9,M48:M49)</f>
        <v>0</v>
      </c>
      <c r="N47" s="12"/>
      <c r="O47" s="30"/>
      <c r="Q47" s="5"/>
      <c r="R47" s="5"/>
      <c r="S47" s="5"/>
      <c r="T47" s="5"/>
      <c r="U47" s="5"/>
      <c r="V47" s="5"/>
      <c r="W47" s="12"/>
      <c r="X47" s="30"/>
    </row>
    <row r="48" spans="1:24" ht="13.15" outlineLevel="1">
      <c r="A48" s="1"/>
      <c r="B48" s="13" t="s">
        <v>28</v>
      </c>
      <c r="C48" s="14" t="s">
        <v>19</v>
      </c>
      <c r="D48" s="38"/>
      <c r="E48" s="13"/>
      <c r="F48" s="13"/>
      <c r="H48" s="30"/>
      <c r="J48" s="24">
        <f>SUBTOTAL(9,J49)</f>
        <v>1.6141000000000003</v>
      </c>
      <c r="K48" s="25">
        <f>SUBTOTAL(9,K49)</f>
        <v>1</v>
      </c>
      <c r="L48" s="24">
        <f>SUBTOTAL(9,L49)</f>
        <v>0</v>
      </c>
      <c r="M48" s="25">
        <f>SUBTOTAL(9,M49)</f>
        <v>0</v>
      </c>
      <c r="N48" s="12"/>
      <c r="O48" s="30"/>
      <c r="Q48" s="13"/>
      <c r="R48" s="13"/>
      <c r="S48" s="13"/>
      <c r="T48" s="13"/>
      <c r="U48" s="13"/>
      <c r="V48" s="13"/>
      <c r="W48" s="12"/>
      <c r="X48" s="30"/>
    </row>
    <row r="49" spans="1:28" ht="13.15" outlineLevel="2">
      <c r="A49" s="1"/>
      <c r="B49" s="1" t="s">
        <v>54</v>
      </c>
      <c r="C49" s="8" t="s">
        <v>19</v>
      </c>
      <c r="D49" s="33">
        <v>46326</v>
      </c>
      <c r="E49" s="1" t="s">
        <v>36</v>
      </c>
      <c r="F49" s="1"/>
      <c r="H49" s="30"/>
      <c r="J49" s="9">
        <v>1.6141000000000003</v>
      </c>
      <c r="K49" s="17">
        <v>1</v>
      </c>
      <c r="L49" s="9">
        <f>IF(M49=1,J49,0)</f>
        <v>0</v>
      </c>
      <c r="M49" s="17"/>
      <c r="N49" s="12"/>
      <c r="O49" s="30"/>
      <c r="Q49" s="1" t="s">
        <v>36</v>
      </c>
      <c r="R49" s="1" t="s">
        <v>36</v>
      </c>
      <c r="S49" s="1" t="s">
        <v>55</v>
      </c>
      <c r="T49" s="1" t="s">
        <v>56</v>
      </c>
      <c r="U49" s="1"/>
      <c r="V49" s="1"/>
      <c r="W49" s="12"/>
      <c r="X49" s="30"/>
    </row>
    <row r="50" spans="1:28" ht="13.15" outlineLevel="3">
      <c r="A50" s="1"/>
      <c r="B50" s="42" t="s">
        <v>23</v>
      </c>
      <c r="C50" s="43" t="s">
        <v>24</v>
      </c>
      <c r="D50" s="33"/>
      <c r="E50" s="44" t="s">
        <v>25</v>
      </c>
      <c r="F50" s="1"/>
      <c r="G50" s="12"/>
      <c r="H50" s="30"/>
      <c r="J50" s="9"/>
      <c r="K50" s="17"/>
      <c r="L50" s="9"/>
      <c r="M50" s="17"/>
      <c r="N50" s="12"/>
      <c r="O50" s="30"/>
      <c r="Q50" s="1"/>
      <c r="R50" s="1"/>
      <c r="S50" s="1"/>
      <c r="T50" s="1"/>
      <c r="U50" s="1"/>
      <c r="V50" s="1"/>
      <c r="X50" s="30"/>
    </row>
    <row r="51" spans="1:28" ht="13.15" outlineLevel="3">
      <c r="A51" s="1"/>
      <c r="B51" s="42" t="s">
        <v>26</v>
      </c>
      <c r="C51" s="43" t="s">
        <v>24</v>
      </c>
      <c r="D51" s="33"/>
      <c r="E51" s="44" t="s">
        <v>27</v>
      </c>
      <c r="F51" s="1"/>
      <c r="G51" s="12"/>
      <c r="H51" s="30"/>
      <c r="J51" s="9"/>
      <c r="K51" s="17"/>
      <c r="L51" s="9"/>
      <c r="M51" s="17"/>
      <c r="N51" s="12"/>
      <c r="O51" s="30"/>
      <c r="Q51" s="1"/>
      <c r="R51" s="1"/>
      <c r="S51" s="1"/>
      <c r="T51" s="1"/>
      <c r="U51" s="1"/>
      <c r="V51" s="1"/>
      <c r="X51" s="30"/>
    </row>
    <row r="52" spans="1:28" ht="15">
      <c r="A52" s="1"/>
      <c r="B52" s="5" t="s">
        <v>57</v>
      </c>
      <c r="C52" s="22" t="s">
        <v>34</v>
      </c>
      <c r="D52" s="37"/>
      <c r="E52" s="5"/>
      <c r="F52" s="5"/>
      <c r="H52" s="30"/>
      <c r="J52" s="26">
        <f>SUBTOTAL(9,J53:J54)</f>
        <v>5.9650000000000007</v>
      </c>
      <c r="K52" s="27">
        <f>SUBTOTAL(9,K53:K54)</f>
        <v>1</v>
      </c>
      <c r="L52" s="26">
        <f>SUBTOTAL(9,L53:L54)</f>
        <v>0</v>
      </c>
      <c r="M52" s="27">
        <f>SUBTOTAL(9,M53:M54)</f>
        <v>0</v>
      </c>
      <c r="N52" s="12"/>
      <c r="O52" s="30"/>
      <c r="Q52" s="5"/>
      <c r="R52" s="5"/>
      <c r="S52" s="5"/>
      <c r="T52" s="5"/>
      <c r="U52" s="5"/>
      <c r="V52" s="5"/>
      <c r="W52" s="12"/>
      <c r="X52" s="30"/>
    </row>
    <row r="53" spans="1:28" ht="13.15" outlineLevel="1">
      <c r="A53" s="1"/>
      <c r="B53" s="13" t="s">
        <v>28</v>
      </c>
      <c r="C53" s="14" t="s">
        <v>19</v>
      </c>
      <c r="D53" s="38"/>
      <c r="E53" s="13"/>
      <c r="F53" s="13"/>
      <c r="H53" s="30"/>
      <c r="J53" s="24">
        <f>SUBTOTAL(9,J54)</f>
        <v>5.9650000000000007</v>
      </c>
      <c r="K53" s="25">
        <f>SUBTOTAL(9,K54)</f>
        <v>1</v>
      </c>
      <c r="L53" s="24">
        <f>SUBTOTAL(9,L54)</f>
        <v>0</v>
      </c>
      <c r="M53" s="25">
        <f>SUBTOTAL(9,M54)</f>
        <v>0</v>
      </c>
      <c r="N53" s="12"/>
      <c r="O53" s="30"/>
      <c r="Q53" s="13"/>
      <c r="R53" s="13"/>
      <c r="S53" s="13"/>
      <c r="T53" s="13"/>
      <c r="U53" s="13"/>
      <c r="V53" s="13"/>
      <c r="W53" s="12"/>
      <c r="X53" s="30"/>
    </row>
    <row r="54" spans="1:28" ht="13.15" outlineLevel="2">
      <c r="A54" s="1"/>
      <c r="B54" s="1" t="s">
        <v>58</v>
      </c>
      <c r="C54" s="8" t="s">
        <v>59</v>
      </c>
      <c r="D54" s="33">
        <v>46326</v>
      </c>
      <c r="E54" s="8" t="s">
        <v>60</v>
      </c>
      <c r="F54" s="8"/>
      <c r="H54" s="30"/>
      <c r="J54" s="9">
        <v>5.9650000000000007</v>
      </c>
      <c r="K54" s="17">
        <v>1</v>
      </c>
      <c r="L54" s="9">
        <f>IF(M54=1,J54,0)</f>
        <v>0</v>
      </c>
      <c r="M54" s="17"/>
      <c r="N54" s="12"/>
      <c r="O54" s="30"/>
      <c r="Q54" s="1" t="s">
        <v>60</v>
      </c>
      <c r="R54" s="1" t="s">
        <v>61</v>
      </c>
      <c r="S54" s="1" t="s">
        <v>62</v>
      </c>
      <c r="T54" s="1"/>
      <c r="U54" s="1"/>
      <c r="V54" s="1"/>
      <c r="X54" s="30"/>
    </row>
    <row r="55" spans="1:28" ht="13.15" outlineLevel="3">
      <c r="A55" s="1"/>
      <c r="B55" s="42" t="s">
        <v>23</v>
      </c>
      <c r="C55" s="43" t="s">
        <v>24</v>
      </c>
      <c r="D55" s="33"/>
      <c r="E55" s="44" t="s">
        <v>25</v>
      </c>
      <c r="F55" s="1"/>
      <c r="G55" s="12"/>
      <c r="H55" s="30"/>
      <c r="J55" s="9"/>
      <c r="K55" s="17"/>
      <c r="L55" s="9"/>
      <c r="M55" s="17"/>
      <c r="N55" s="12"/>
      <c r="O55" s="30"/>
      <c r="Q55" s="1"/>
      <c r="R55" s="1"/>
      <c r="S55" s="1"/>
      <c r="T55" s="1"/>
      <c r="U55" s="1"/>
      <c r="V55" s="1"/>
      <c r="X55" s="30"/>
    </row>
    <row r="56" spans="1:28" ht="13.15" outlineLevel="3">
      <c r="A56" s="1"/>
      <c r="B56" s="42" t="s">
        <v>26</v>
      </c>
      <c r="C56" s="43" t="s">
        <v>24</v>
      </c>
      <c r="D56" s="33"/>
      <c r="E56" s="44" t="s">
        <v>27</v>
      </c>
      <c r="F56" s="1"/>
      <c r="G56" s="12"/>
      <c r="H56" s="30"/>
      <c r="J56" s="9"/>
      <c r="K56" s="17"/>
      <c r="L56" s="9"/>
      <c r="M56" s="17"/>
      <c r="N56" s="12"/>
      <c r="O56" s="30"/>
      <c r="Q56" s="1"/>
      <c r="R56" s="1"/>
      <c r="S56" s="1"/>
      <c r="T56" s="1"/>
      <c r="U56" s="1"/>
      <c r="V56" s="1"/>
      <c r="X56" s="30"/>
    </row>
    <row r="57" spans="1:28" ht="15">
      <c r="A57" s="1"/>
      <c r="B57" s="5" t="s">
        <v>63</v>
      </c>
      <c r="C57" s="22" t="s">
        <v>34</v>
      </c>
      <c r="D57" s="37"/>
      <c r="E57" s="5"/>
      <c r="F57" s="5"/>
      <c r="H57" s="30"/>
      <c r="J57" s="26">
        <f>SUBTOTAL(9,J58:J59)</f>
        <v>18.399999999999999</v>
      </c>
      <c r="K57" s="27">
        <f>SUBTOTAL(9,K58:K59)</f>
        <v>1</v>
      </c>
      <c r="L57" s="26">
        <f>SUBTOTAL(9,L58:L59)</f>
        <v>0</v>
      </c>
      <c r="M57" s="27">
        <f>SUBTOTAL(9,M58:M59)</f>
        <v>0</v>
      </c>
      <c r="N57" s="12"/>
      <c r="O57" s="30"/>
      <c r="Q57" s="5"/>
      <c r="R57" s="5"/>
      <c r="S57" s="5"/>
      <c r="T57" s="5"/>
      <c r="U57" s="5"/>
      <c r="V57" s="5"/>
      <c r="W57" s="12"/>
      <c r="X57" s="30"/>
    </row>
    <row r="58" spans="1:28" ht="13.15" outlineLevel="1">
      <c r="A58" s="1"/>
      <c r="B58" s="13" t="s">
        <v>28</v>
      </c>
      <c r="C58" s="14" t="s">
        <v>19</v>
      </c>
      <c r="D58" s="38"/>
      <c r="E58" s="13"/>
      <c r="F58" s="13"/>
      <c r="H58" s="30"/>
      <c r="J58" s="24">
        <f>SUBTOTAL(9,J59)</f>
        <v>18.399999999999999</v>
      </c>
      <c r="K58" s="25">
        <f>SUBTOTAL(9,K59)</f>
        <v>1</v>
      </c>
      <c r="L58" s="24">
        <f>SUBTOTAL(9,L59)</f>
        <v>0</v>
      </c>
      <c r="M58" s="25">
        <f>SUBTOTAL(9,M59)</f>
        <v>0</v>
      </c>
      <c r="N58" s="12"/>
      <c r="O58" s="30"/>
      <c r="Q58" s="13"/>
      <c r="R58" s="13"/>
      <c r="S58" s="13"/>
      <c r="T58" s="13"/>
      <c r="U58" s="13"/>
      <c r="V58" s="13"/>
      <c r="W58" s="12"/>
      <c r="X58" s="30"/>
    </row>
    <row r="59" spans="1:28" ht="13.15" outlineLevel="2">
      <c r="A59" s="1"/>
      <c r="B59" s="1" t="s">
        <v>63</v>
      </c>
      <c r="C59" s="8" t="s">
        <v>19</v>
      </c>
      <c r="D59" s="33">
        <v>46326</v>
      </c>
      <c r="E59" s="8" t="s">
        <v>60</v>
      </c>
      <c r="F59" s="8"/>
      <c r="H59" s="30"/>
      <c r="J59" s="9">
        <v>18.399999999999999</v>
      </c>
      <c r="K59" s="17">
        <v>1</v>
      </c>
      <c r="L59" s="9">
        <f>IF(M59=1,J59,0)</f>
        <v>0</v>
      </c>
      <c r="M59" s="17"/>
      <c r="N59" s="12"/>
      <c r="O59" s="30"/>
      <c r="Q59" s="1" t="s">
        <v>60</v>
      </c>
      <c r="R59" s="1" t="s">
        <v>64</v>
      </c>
      <c r="S59" s="1"/>
      <c r="T59" s="1"/>
      <c r="U59" s="1"/>
      <c r="V59" s="1"/>
      <c r="X59" s="30"/>
    </row>
    <row r="60" spans="1:28" s="28" customFormat="1" ht="13.15" outlineLevel="3">
      <c r="A60" s="1"/>
      <c r="B60" s="42" t="s">
        <v>23</v>
      </c>
      <c r="C60" s="43" t="s">
        <v>24</v>
      </c>
      <c r="D60" s="33"/>
      <c r="E60" s="44" t="s">
        <v>25</v>
      </c>
      <c r="F60" s="1"/>
      <c r="G60" s="12"/>
      <c r="H60" s="30"/>
      <c r="I60" s="2"/>
      <c r="J60" s="9"/>
      <c r="K60" s="17"/>
      <c r="L60" s="9"/>
      <c r="M60" s="17"/>
      <c r="N60" s="12"/>
      <c r="O60" s="30"/>
      <c r="P60" s="2"/>
      <c r="Q60" s="1"/>
      <c r="R60" s="1"/>
      <c r="S60" s="1"/>
      <c r="T60" s="1"/>
      <c r="U60" s="1"/>
      <c r="V60" s="1"/>
      <c r="W60" s="2"/>
      <c r="X60" s="30"/>
      <c r="Y60" s="2"/>
      <c r="Z60" s="2"/>
      <c r="AA60" s="2"/>
      <c r="AB60" s="2"/>
    </row>
    <row r="61" spans="1:28" s="28" customFormat="1" ht="13.15" outlineLevel="3">
      <c r="A61" s="1"/>
      <c r="B61" s="42" t="s">
        <v>26</v>
      </c>
      <c r="C61" s="43" t="s">
        <v>24</v>
      </c>
      <c r="D61" s="33"/>
      <c r="E61" s="44" t="s">
        <v>27</v>
      </c>
      <c r="F61" s="1"/>
      <c r="G61" s="12"/>
      <c r="H61" s="30"/>
      <c r="I61" s="2"/>
      <c r="J61" s="9"/>
      <c r="K61" s="17"/>
      <c r="L61" s="9"/>
      <c r="M61" s="17"/>
      <c r="N61" s="12"/>
      <c r="O61" s="30"/>
      <c r="P61" s="2"/>
      <c r="Q61" s="1"/>
      <c r="R61" s="1"/>
      <c r="S61" s="1"/>
      <c r="T61" s="1"/>
      <c r="U61" s="1"/>
      <c r="V61" s="1"/>
      <c r="W61" s="2"/>
      <c r="X61" s="30"/>
      <c r="Y61" s="2"/>
      <c r="Z61" s="2"/>
      <c r="AA61" s="2"/>
      <c r="AB61" s="2"/>
    </row>
    <row r="62" spans="1:28" ht="15">
      <c r="A62" s="1"/>
      <c r="B62" s="5" t="s">
        <v>65</v>
      </c>
      <c r="C62" s="22" t="s">
        <v>34</v>
      </c>
      <c r="D62" s="37"/>
      <c r="E62" s="5"/>
      <c r="F62" s="5"/>
      <c r="H62" s="30"/>
      <c r="J62" s="26">
        <f>SUBTOTAL(9,J63:J64)</f>
        <v>0</v>
      </c>
      <c r="K62" s="27">
        <f>SUBTOTAL(9,K63:K64)</f>
        <v>1</v>
      </c>
      <c r="L62" s="26">
        <f>SUBTOTAL(9,L63:L64)</f>
        <v>0</v>
      </c>
      <c r="M62" s="27">
        <f>SUBTOTAL(9,M63:M64)</f>
        <v>0</v>
      </c>
      <c r="N62" s="12"/>
      <c r="O62" s="30"/>
      <c r="Q62" s="5"/>
      <c r="R62" s="5"/>
      <c r="S62" s="5"/>
      <c r="T62" s="5"/>
      <c r="U62" s="5"/>
      <c r="V62" s="5"/>
      <c r="W62" s="12"/>
      <c r="X62" s="30"/>
    </row>
    <row r="63" spans="1:28" ht="13.15" outlineLevel="1">
      <c r="A63" s="1"/>
      <c r="B63" s="13" t="s">
        <v>28</v>
      </c>
      <c r="C63" s="14" t="s">
        <v>19</v>
      </c>
      <c r="D63" s="38"/>
      <c r="E63" s="13"/>
      <c r="F63" s="13"/>
      <c r="H63" s="30"/>
      <c r="J63" s="24">
        <f>SUBTOTAL(9,J64)</f>
        <v>0</v>
      </c>
      <c r="K63" s="25">
        <f>SUBTOTAL(9,K64)</f>
        <v>1</v>
      </c>
      <c r="L63" s="24">
        <f>SUBTOTAL(9,L64)</f>
        <v>0</v>
      </c>
      <c r="M63" s="25">
        <f>SUBTOTAL(9,M64)</f>
        <v>0</v>
      </c>
      <c r="N63" s="12"/>
      <c r="O63" s="30"/>
      <c r="Q63" s="13"/>
      <c r="R63" s="13"/>
      <c r="S63" s="13"/>
      <c r="T63" s="13"/>
      <c r="U63" s="13"/>
      <c r="V63" s="13"/>
      <c r="W63" s="12"/>
      <c r="X63" s="30"/>
    </row>
    <row r="64" spans="1:28" ht="13.15" outlineLevel="2">
      <c r="A64" s="1"/>
      <c r="B64" s="1" t="s">
        <v>65</v>
      </c>
      <c r="C64" s="8" t="s">
        <v>19</v>
      </c>
      <c r="D64" s="33">
        <v>46356</v>
      </c>
      <c r="E64" s="8" t="s">
        <v>66</v>
      </c>
      <c r="F64" s="8"/>
      <c r="H64" s="30"/>
      <c r="J64" s="9"/>
      <c r="K64" s="17">
        <v>1</v>
      </c>
      <c r="L64" s="9">
        <f>IF(M64=1,J64,0)</f>
        <v>0</v>
      </c>
      <c r="M64" s="17"/>
      <c r="N64" s="12"/>
      <c r="O64" s="30"/>
      <c r="Q64" s="1" t="s">
        <v>66</v>
      </c>
      <c r="R64" s="1" t="s">
        <v>67</v>
      </c>
      <c r="S64" s="1"/>
      <c r="T64" s="1"/>
      <c r="U64" s="1"/>
      <c r="V64" s="1"/>
      <c r="X64" s="30"/>
    </row>
    <row r="65" spans="1:27" ht="13.15" outlineLevel="2">
      <c r="A65" s="1"/>
      <c r="B65" s="42" t="s">
        <v>23</v>
      </c>
      <c r="C65" s="43" t="s">
        <v>24</v>
      </c>
      <c r="D65" s="33"/>
      <c r="E65" s="44" t="s">
        <v>25</v>
      </c>
      <c r="F65" s="1"/>
      <c r="G65" s="12"/>
      <c r="H65" s="30"/>
      <c r="J65" s="9"/>
      <c r="K65" s="17"/>
      <c r="L65" s="9"/>
      <c r="M65" s="17"/>
      <c r="N65" s="12"/>
      <c r="O65" s="30"/>
      <c r="Q65" s="1"/>
      <c r="R65" s="1"/>
      <c r="S65" s="1"/>
      <c r="T65" s="1"/>
      <c r="U65" s="1"/>
      <c r="V65" s="1"/>
      <c r="X65" s="30"/>
    </row>
    <row r="66" spans="1:27" ht="13.15" outlineLevel="2">
      <c r="A66" s="1"/>
      <c r="B66" s="42" t="s">
        <v>26</v>
      </c>
      <c r="C66" s="43" t="s">
        <v>24</v>
      </c>
      <c r="D66" s="33"/>
      <c r="E66" s="44" t="s">
        <v>27</v>
      </c>
      <c r="F66" s="1"/>
      <c r="G66" s="12"/>
      <c r="H66" s="30"/>
      <c r="J66" s="9"/>
      <c r="K66" s="17"/>
      <c r="L66" s="9"/>
      <c r="M66" s="17"/>
      <c r="N66" s="12"/>
      <c r="O66" s="30"/>
      <c r="Q66" s="1"/>
      <c r="R66" s="1"/>
      <c r="S66" s="1"/>
      <c r="T66" s="1"/>
      <c r="U66" s="1"/>
      <c r="V66" s="1"/>
      <c r="X66" s="30"/>
    </row>
    <row r="67" spans="1:27" ht="15">
      <c r="A67" s="1"/>
      <c r="B67" s="5" t="s">
        <v>68</v>
      </c>
      <c r="C67" s="22"/>
      <c r="D67" s="37"/>
      <c r="E67" s="22"/>
      <c r="F67" s="22"/>
      <c r="H67" s="30"/>
      <c r="J67" s="26">
        <f>SUBTOTAL(9,J68:J74)</f>
        <v>0.85499999999999998</v>
      </c>
      <c r="K67" s="26">
        <f>SUBTOTAL(9,K68:K71)</f>
        <v>1</v>
      </c>
      <c r="L67" s="26">
        <f>SUBTOTAL(9,L68:L71)</f>
        <v>0</v>
      </c>
      <c r="M67" s="26">
        <f>SUBTOTAL(9,M68:M74)</f>
        <v>0</v>
      </c>
      <c r="N67" s="12"/>
      <c r="O67" s="30"/>
      <c r="Q67" s="5"/>
      <c r="R67" s="5"/>
      <c r="S67" s="5"/>
      <c r="T67" s="5"/>
      <c r="U67" s="5"/>
      <c r="V67" s="5"/>
      <c r="X67" s="30"/>
      <c r="Z67" s="10"/>
      <c r="AA67" s="10"/>
    </row>
    <row r="68" spans="1:27" ht="13.15" outlineLevel="1">
      <c r="A68" s="1"/>
      <c r="B68" s="13" t="s">
        <v>17</v>
      </c>
      <c r="C68" s="14" t="s">
        <v>18</v>
      </c>
      <c r="D68" s="38"/>
      <c r="E68" s="13"/>
      <c r="F68" s="13"/>
      <c r="H68" s="30"/>
      <c r="J68" s="40">
        <f>SUBTOTAL(9,J69:J71)</f>
        <v>0.85499999999999998</v>
      </c>
      <c r="K68" s="41">
        <f>SUBTOTAL(9,K69:K71)</f>
        <v>1</v>
      </c>
      <c r="L68" s="40">
        <f>SUBTOTAL(9,L69:L71)</f>
        <v>0</v>
      </c>
      <c r="M68" s="41">
        <f>SUBTOTAL(9,M69:M71)</f>
        <v>0</v>
      </c>
      <c r="N68" s="12"/>
      <c r="O68" s="30"/>
      <c r="Q68" s="13"/>
      <c r="R68" s="13"/>
      <c r="S68" s="13"/>
      <c r="T68" s="13"/>
      <c r="U68" s="13"/>
      <c r="V68" s="13"/>
      <c r="W68" s="12"/>
      <c r="X68" s="30"/>
    </row>
    <row r="69" spans="1:27" ht="13.15" outlineLevel="2">
      <c r="A69" s="1"/>
      <c r="B69" s="1" t="s">
        <v>68</v>
      </c>
      <c r="C69" s="8" t="s">
        <v>19</v>
      </c>
      <c r="D69" s="33">
        <v>46310</v>
      </c>
      <c r="E69" s="8" t="s">
        <v>20</v>
      </c>
      <c r="F69" s="8"/>
      <c r="H69" s="30"/>
      <c r="J69" s="9">
        <v>0.85499999999999998</v>
      </c>
      <c r="K69" s="17">
        <v>1</v>
      </c>
      <c r="L69" s="9"/>
      <c r="M69" s="17"/>
      <c r="N69" s="12"/>
      <c r="O69" s="30"/>
      <c r="Q69" s="1" t="s">
        <v>20</v>
      </c>
      <c r="R69" s="1" t="s">
        <v>21</v>
      </c>
      <c r="S69" s="1" t="s">
        <v>69</v>
      </c>
      <c r="T69" s="1"/>
      <c r="U69" s="1"/>
      <c r="V69" s="1"/>
      <c r="X69" s="30"/>
    </row>
    <row r="70" spans="1:27" ht="13.15" outlineLevel="2">
      <c r="A70" s="1"/>
      <c r="B70" s="42" t="s">
        <v>23</v>
      </c>
      <c r="C70" s="43" t="s">
        <v>24</v>
      </c>
      <c r="D70" s="33"/>
      <c r="E70" s="44" t="s">
        <v>25</v>
      </c>
      <c r="F70" s="1"/>
      <c r="G70" s="12"/>
      <c r="H70" s="30"/>
      <c r="J70" s="9"/>
      <c r="K70" s="17"/>
      <c r="L70" s="9"/>
      <c r="M70" s="17"/>
      <c r="N70" s="12"/>
      <c r="O70" s="30"/>
      <c r="Q70" s="1"/>
      <c r="R70" s="1"/>
      <c r="S70" s="1"/>
      <c r="T70" s="1"/>
      <c r="U70" s="1"/>
      <c r="V70" s="1"/>
      <c r="X70" s="30"/>
    </row>
    <row r="71" spans="1:27" ht="13.15" outlineLevel="2">
      <c r="A71" s="1"/>
      <c r="B71" s="42" t="s">
        <v>26</v>
      </c>
      <c r="C71" s="43" t="s">
        <v>24</v>
      </c>
      <c r="D71" s="33"/>
      <c r="E71" s="44" t="s">
        <v>27</v>
      </c>
      <c r="F71" s="1"/>
      <c r="G71" s="12"/>
      <c r="H71" s="30"/>
      <c r="J71" s="9"/>
      <c r="K71" s="17"/>
      <c r="L71" s="9"/>
      <c r="M71" s="17"/>
      <c r="N71" s="12"/>
      <c r="O71" s="30"/>
      <c r="Q71" s="1"/>
      <c r="R71" s="1"/>
      <c r="S71" s="1"/>
      <c r="T71" s="1"/>
      <c r="U71" s="1"/>
      <c r="V71" s="1"/>
      <c r="X71" s="30"/>
    </row>
    <row r="72" spans="1:27" ht="15">
      <c r="A72" s="1"/>
      <c r="B72" s="5" t="s">
        <v>70</v>
      </c>
      <c r="C72" s="22"/>
      <c r="D72" s="37"/>
      <c r="E72" s="22"/>
      <c r="F72" s="22"/>
      <c r="H72" s="30"/>
      <c r="J72" s="26">
        <f>SUBTOTAL(9,J73:J109)</f>
        <v>0</v>
      </c>
      <c r="K72" s="26">
        <f>SUBTOTAL(9,K73:K109)</f>
        <v>12</v>
      </c>
      <c r="L72" s="26">
        <f>SUBTOTAL(9,L73:L109)</f>
        <v>0</v>
      </c>
      <c r="M72" s="26">
        <f>SUBTOTAL(9,M73:M109)</f>
        <v>0</v>
      </c>
      <c r="N72" s="12"/>
      <c r="O72" s="30"/>
      <c r="Q72" s="5"/>
      <c r="R72" s="5"/>
      <c r="S72" s="5"/>
      <c r="T72" s="5"/>
      <c r="U72" s="5"/>
      <c r="V72" s="5"/>
      <c r="X72" s="30"/>
      <c r="Z72" s="10"/>
      <c r="AA72" s="10"/>
    </row>
    <row r="73" spans="1:27" ht="13.15" outlineLevel="1">
      <c r="A73" s="1"/>
      <c r="B73" s="13" t="s">
        <v>28</v>
      </c>
      <c r="C73" s="14" t="s">
        <v>19</v>
      </c>
      <c r="D73" s="38"/>
      <c r="E73" s="13"/>
      <c r="F73" s="13"/>
      <c r="H73" s="30"/>
      <c r="J73" s="41">
        <f>SUBTOTAL(9,J74:J83)</f>
        <v>0</v>
      </c>
      <c r="K73" s="41">
        <f>SUBTOTAL(9,K74:K83)</f>
        <v>4</v>
      </c>
      <c r="L73" s="41">
        <f>SUBTOTAL(9,L74:L83)</f>
        <v>0</v>
      </c>
      <c r="M73" s="41">
        <f>SUBTOTAL(9,M74:M83)</f>
        <v>0</v>
      </c>
      <c r="N73" s="12"/>
      <c r="O73" s="30"/>
      <c r="Q73" s="13"/>
      <c r="R73" s="13"/>
      <c r="S73" s="13"/>
      <c r="T73" s="13"/>
      <c r="U73" s="13"/>
      <c r="V73" s="13"/>
      <c r="W73" s="12"/>
      <c r="X73" s="30"/>
    </row>
    <row r="74" spans="1:27" ht="13.15" outlineLevel="2">
      <c r="A74" s="1"/>
      <c r="B74" s="1" t="s">
        <v>70</v>
      </c>
      <c r="C74" s="8" t="s">
        <v>19</v>
      </c>
      <c r="D74" s="33">
        <v>46341</v>
      </c>
      <c r="E74" s="8" t="s">
        <v>36</v>
      </c>
      <c r="F74" s="8"/>
      <c r="H74" s="30"/>
      <c r="J74" s="8"/>
      <c r="K74" s="8">
        <v>1</v>
      </c>
      <c r="L74" s="8"/>
      <c r="M74" s="8"/>
      <c r="N74" s="12"/>
      <c r="O74" s="30"/>
      <c r="Q74" s="1" t="s">
        <v>36</v>
      </c>
      <c r="R74" s="1" t="s">
        <v>71</v>
      </c>
      <c r="S74" s="1"/>
      <c r="T74" s="1"/>
      <c r="U74" s="1"/>
      <c r="V74" s="1"/>
      <c r="X74" s="30"/>
    </row>
    <row r="75" spans="1:27" ht="13.15" outlineLevel="3">
      <c r="A75" s="1"/>
      <c r="B75" s="42" t="s">
        <v>23</v>
      </c>
      <c r="C75" s="43" t="s">
        <v>24</v>
      </c>
      <c r="D75" s="33"/>
      <c r="E75" s="44" t="s">
        <v>25</v>
      </c>
      <c r="F75" s="1"/>
      <c r="G75" s="12"/>
      <c r="H75" s="30"/>
      <c r="J75" s="9"/>
      <c r="K75" s="17"/>
      <c r="L75" s="9"/>
      <c r="M75" s="17"/>
      <c r="N75" s="12"/>
      <c r="O75" s="30"/>
      <c r="Q75" s="1"/>
      <c r="R75" s="1"/>
      <c r="S75" s="1"/>
      <c r="T75" s="1"/>
      <c r="U75" s="1"/>
      <c r="V75" s="1"/>
      <c r="X75" s="30"/>
    </row>
    <row r="76" spans="1:27" ht="13.15" outlineLevel="3">
      <c r="A76" s="1"/>
      <c r="B76" s="42" t="s">
        <v>26</v>
      </c>
      <c r="C76" s="43" t="s">
        <v>24</v>
      </c>
      <c r="D76" s="33"/>
      <c r="E76" s="44" t="s">
        <v>27</v>
      </c>
      <c r="F76" s="1"/>
      <c r="G76" s="12"/>
      <c r="H76" s="30"/>
      <c r="J76" s="9"/>
      <c r="K76" s="17"/>
      <c r="L76" s="9"/>
      <c r="M76" s="17"/>
      <c r="N76" s="12"/>
      <c r="O76" s="30"/>
      <c r="Q76" s="1"/>
      <c r="R76" s="1"/>
      <c r="S76" s="1"/>
      <c r="T76" s="1"/>
      <c r="U76" s="1"/>
      <c r="V76" s="1"/>
      <c r="X76" s="30"/>
    </row>
    <row r="77" spans="1:27" ht="13.15" outlineLevel="2">
      <c r="B77" s="1" t="s">
        <v>70</v>
      </c>
      <c r="C77" s="8" t="s">
        <v>38</v>
      </c>
      <c r="D77" s="33">
        <v>46356</v>
      </c>
      <c r="E77" s="1" t="s">
        <v>36</v>
      </c>
      <c r="F77" s="1"/>
      <c r="H77" s="30"/>
      <c r="J77" s="8"/>
      <c r="K77" s="8">
        <v>1</v>
      </c>
      <c r="L77" s="8"/>
      <c r="M77" s="8"/>
      <c r="O77" s="30"/>
      <c r="Q77" s="1" t="s">
        <v>36</v>
      </c>
      <c r="R77" s="1" t="s">
        <v>71</v>
      </c>
      <c r="X77" s="30"/>
    </row>
    <row r="78" spans="1:27" ht="13.15" outlineLevel="3">
      <c r="A78" s="1"/>
      <c r="B78" s="42" t="s">
        <v>23</v>
      </c>
      <c r="C78" s="43" t="s">
        <v>24</v>
      </c>
      <c r="D78" s="33"/>
      <c r="E78" s="44" t="s">
        <v>25</v>
      </c>
      <c r="F78" s="1"/>
      <c r="G78" s="12"/>
      <c r="H78" s="30"/>
      <c r="J78" s="9"/>
      <c r="K78" s="17"/>
      <c r="L78" s="9"/>
      <c r="M78" s="17"/>
      <c r="N78" s="12"/>
      <c r="O78" s="30"/>
      <c r="Q78" s="1"/>
      <c r="R78" s="1"/>
      <c r="S78" s="1"/>
      <c r="T78" s="1"/>
      <c r="U78" s="1"/>
      <c r="V78" s="1"/>
      <c r="X78" s="30"/>
    </row>
    <row r="79" spans="1:27" ht="13.15" outlineLevel="3">
      <c r="A79" s="1"/>
      <c r="B79" s="42" t="s">
        <v>26</v>
      </c>
      <c r="C79" s="43" t="s">
        <v>24</v>
      </c>
      <c r="D79" s="33"/>
      <c r="E79" s="44" t="s">
        <v>27</v>
      </c>
      <c r="F79" s="1"/>
      <c r="G79" s="12"/>
      <c r="H79" s="30"/>
      <c r="J79" s="9"/>
      <c r="K79" s="17"/>
      <c r="L79" s="9"/>
      <c r="M79" s="17"/>
      <c r="N79" s="12"/>
      <c r="O79" s="30"/>
      <c r="Q79" s="1"/>
      <c r="R79" s="1"/>
      <c r="S79" s="1"/>
      <c r="T79" s="1"/>
      <c r="U79" s="1"/>
      <c r="V79" s="1"/>
      <c r="X79" s="30"/>
    </row>
    <row r="80" spans="1:27" ht="13.15" outlineLevel="2">
      <c r="B80" s="1" t="s">
        <v>70</v>
      </c>
      <c r="C80" s="8" t="s">
        <v>72</v>
      </c>
      <c r="D80" s="33">
        <v>46371</v>
      </c>
      <c r="E80" s="1" t="s">
        <v>36</v>
      </c>
      <c r="F80" s="1"/>
      <c r="H80" s="30"/>
      <c r="J80" s="8"/>
      <c r="K80" s="8">
        <v>1</v>
      </c>
      <c r="L80" s="8"/>
      <c r="M80" s="8"/>
      <c r="O80" s="30"/>
      <c r="Q80" s="1" t="s">
        <v>36</v>
      </c>
      <c r="R80" s="1" t="s">
        <v>71</v>
      </c>
      <c r="X80" s="30"/>
    </row>
    <row r="81" spans="1:24" ht="13.15" outlineLevel="3">
      <c r="A81" s="1"/>
      <c r="B81" s="42" t="s">
        <v>23</v>
      </c>
      <c r="C81" s="43" t="s">
        <v>24</v>
      </c>
      <c r="D81" s="33"/>
      <c r="E81" s="44" t="s">
        <v>25</v>
      </c>
      <c r="F81" s="1"/>
      <c r="G81" s="12"/>
      <c r="H81" s="30"/>
      <c r="J81" s="9"/>
      <c r="K81" s="17"/>
      <c r="L81" s="9"/>
      <c r="M81" s="17"/>
      <c r="N81" s="12"/>
      <c r="O81" s="30"/>
      <c r="Q81" s="1"/>
      <c r="R81" s="1"/>
      <c r="S81" s="1"/>
      <c r="T81" s="1"/>
      <c r="U81" s="1"/>
      <c r="V81" s="1"/>
      <c r="X81" s="30"/>
    </row>
    <row r="82" spans="1:24" ht="13.15" outlineLevel="3">
      <c r="A82" s="1"/>
      <c r="B82" s="42" t="s">
        <v>26</v>
      </c>
      <c r="C82" s="43" t="s">
        <v>24</v>
      </c>
      <c r="D82" s="33"/>
      <c r="E82" s="44" t="s">
        <v>27</v>
      </c>
      <c r="F82" s="1"/>
      <c r="G82" s="12"/>
      <c r="H82" s="30"/>
      <c r="J82" s="9"/>
      <c r="K82" s="17"/>
      <c r="L82" s="9"/>
      <c r="M82" s="17"/>
      <c r="N82" s="12"/>
      <c r="O82" s="30"/>
      <c r="Q82" s="1"/>
      <c r="R82" s="1"/>
      <c r="S82" s="1"/>
      <c r="T82" s="1"/>
      <c r="U82" s="1"/>
      <c r="V82" s="1"/>
      <c r="X82" s="30"/>
    </row>
    <row r="83" spans="1:24" ht="13.9" customHeight="1" outlineLevel="2">
      <c r="B83" s="1" t="s">
        <v>70</v>
      </c>
      <c r="C83" s="8" t="s">
        <v>73</v>
      </c>
      <c r="D83" s="33">
        <v>46356</v>
      </c>
      <c r="E83" s="8" t="s">
        <v>36</v>
      </c>
      <c r="F83" s="8"/>
      <c r="H83" s="30"/>
      <c r="J83" s="8"/>
      <c r="K83" s="8">
        <v>1</v>
      </c>
      <c r="L83" s="8"/>
      <c r="M83" s="8"/>
      <c r="O83" s="30"/>
      <c r="Q83" s="1" t="s">
        <v>36</v>
      </c>
      <c r="R83" s="1" t="s">
        <v>71</v>
      </c>
      <c r="X83" s="30"/>
    </row>
    <row r="84" spans="1:24" ht="13.15" outlineLevel="3">
      <c r="A84" s="1"/>
      <c r="B84" s="42" t="s">
        <v>23</v>
      </c>
      <c r="C84" s="43" t="s">
        <v>24</v>
      </c>
      <c r="D84" s="33"/>
      <c r="E84" s="44" t="s">
        <v>25</v>
      </c>
      <c r="F84" s="1"/>
      <c r="G84" s="12"/>
      <c r="H84" s="30"/>
      <c r="J84" s="9"/>
      <c r="K84" s="17"/>
      <c r="L84" s="9"/>
      <c r="M84" s="17"/>
      <c r="N84" s="12"/>
      <c r="O84" s="30"/>
      <c r="Q84" s="1"/>
      <c r="R84" s="1"/>
      <c r="S84" s="1"/>
      <c r="T84" s="1"/>
      <c r="U84" s="1"/>
      <c r="V84" s="1"/>
      <c r="X84" s="30"/>
    </row>
    <row r="85" spans="1:24" ht="13.15" outlineLevel="3">
      <c r="A85" s="1"/>
      <c r="B85" s="42" t="s">
        <v>26</v>
      </c>
      <c r="C85" s="43" t="s">
        <v>24</v>
      </c>
      <c r="D85" s="33"/>
      <c r="E85" s="44" t="s">
        <v>27</v>
      </c>
      <c r="F85" s="1"/>
      <c r="G85" s="12"/>
      <c r="H85" s="30"/>
      <c r="J85" s="9"/>
      <c r="K85" s="17"/>
      <c r="L85" s="9"/>
      <c r="M85" s="17"/>
      <c r="N85" s="12"/>
      <c r="O85" s="30"/>
      <c r="Q85" s="1"/>
      <c r="R85" s="1"/>
      <c r="S85" s="1"/>
      <c r="T85" s="1"/>
      <c r="U85" s="1"/>
      <c r="V85" s="1"/>
      <c r="X85" s="30"/>
    </row>
    <row r="86" spans="1:24" ht="13.15" outlineLevel="1">
      <c r="A86" s="1"/>
      <c r="B86" s="13" t="s">
        <v>41</v>
      </c>
      <c r="C86" s="14"/>
      <c r="D86" s="38"/>
      <c r="E86" s="13"/>
      <c r="F86" s="13"/>
      <c r="H86" s="30"/>
      <c r="J86" s="41">
        <f>SUBTOTAL(9,J87:J90)</f>
        <v>0</v>
      </c>
      <c r="K86" s="41">
        <f>SUBTOTAL(9,K87:K90)</f>
        <v>2</v>
      </c>
      <c r="L86" s="41">
        <f>SUBTOTAL(9,L87:L90)</f>
        <v>0</v>
      </c>
      <c r="M86" s="41">
        <f>SUBTOTAL(9,M87:M90)</f>
        <v>0</v>
      </c>
      <c r="N86" s="12"/>
      <c r="O86" s="30"/>
      <c r="Q86" s="13"/>
      <c r="R86" s="13"/>
      <c r="S86" s="13"/>
      <c r="T86" s="13"/>
      <c r="U86" s="13"/>
      <c r="V86" s="13"/>
      <c r="W86" s="12"/>
      <c r="X86" s="30"/>
    </row>
    <row r="87" spans="1:24" ht="13.15" outlineLevel="2">
      <c r="B87" s="1" t="s">
        <v>70</v>
      </c>
      <c r="C87" s="8" t="s">
        <v>38</v>
      </c>
      <c r="D87" s="33">
        <v>46371</v>
      </c>
      <c r="E87" s="8" t="s">
        <v>42</v>
      </c>
      <c r="F87" s="8"/>
      <c r="H87" s="30"/>
      <c r="J87" s="8"/>
      <c r="K87" s="8">
        <v>1</v>
      </c>
      <c r="L87" s="8"/>
      <c r="M87" s="8"/>
      <c r="O87" s="30"/>
      <c r="Q87" s="8" t="s">
        <v>42</v>
      </c>
      <c r="R87" s="2" t="s">
        <v>74</v>
      </c>
      <c r="S87" s="2" t="s">
        <v>75</v>
      </c>
      <c r="X87" s="30"/>
    </row>
    <row r="88" spans="1:24" ht="13.15" outlineLevel="3">
      <c r="A88" s="1"/>
      <c r="B88" s="42" t="s">
        <v>23</v>
      </c>
      <c r="C88" s="43" t="s">
        <v>24</v>
      </c>
      <c r="D88" s="33"/>
      <c r="E88" s="44" t="s">
        <v>25</v>
      </c>
      <c r="F88" s="1"/>
      <c r="G88" s="12"/>
      <c r="H88" s="30"/>
      <c r="J88" s="9"/>
      <c r="K88" s="17"/>
      <c r="L88" s="9"/>
      <c r="M88" s="17"/>
      <c r="N88" s="12"/>
      <c r="O88" s="30"/>
      <c r="Q88" s="1"/>
      <c r="R88" s="1"/>
      <c r="S88" s="1"/>
      <c r="T88" s="1"/>
      <c r="U88" s="1"/>
      <c r="V88" s="1"/>
      <c r="X88" s="30"/>
    </row>
    <row r="89" spans="1:24" ht="13.15" outlineLevel="3">
      <c r="A89" s="1"/>
      <c r="B89" s="42" t="s">
        <v>26</v>
      </c>
      <c r="C89" s="43" t="s">
        <v>24</v>
      </c>
      <c r="D89" s="33"/>
      <c r="E89" s="44" t="s">
        <v>27</v>
      </c>
      <c r="F89" s="1"/>
      <c r="G89" s="12"/>
      <c r="H89" s="30"/>
      <c r="J89" s="9"/>
      <c r="K89" s="17"/>
      <c r="L89" s="9"/>
      <c r="M89" s="17"/>
      <c r="N89" s="12"/>
      <c r="O89" s="30"/>
      <c r="Q89" s="1"/>
      <c r="R89" s="1"/>
      <c r="S89" s="1"/>
      <c r="T89" s="1"/>
      <c r="U89" s="1"/>
      <c r="V89" s="1"/>
      <c r="X89" s="30"/>
    </row>
    <row r="90" spans="1:24" ht="13.15" outlineLevel="2">
      <c r="B90" s="1" t="s">
        <v>70</v>
      </c>
      <c r="C90" s="8" t="s">
        <v>72</v>
      </c>
      <c r="D90" s="33">
        <v>46386</v>
      </c>
      <c r="E90" s="8" t="s">
        <v>42</v>
      </c>
      <c r="F90" s="8"/>
      <c r="H90" s="30"/>
      <c r="J90" s="8"/>
      <c r="K90" s="8">
        <v>1</v>
      </c>
      <c r="L90" s="8"/>
      <c r="M90" s="8"/>
      <c r="O90" s="30"/>
      <c r="Q90" s="8" t="s">
        <v>42</v>
      </c>
      <c r="R90" s="2" t="s">
        <v>74</v>
      </c>
      <c r="S90" s="2" t="s">
        <v>75</v>
      </c>
    </row>
    <row r="91" spans="1:24" ht="13.15" outlineLevel="3">
      <c r="A91" s="1"/>
      <c r="B91" s="42" t="s">
        <v>23</v>
      </c>
      <c r="C91" s="43" t="s">
        <v>24</v>
      </c>
      <c r="D91" s="33"/>
      <c r="E91" s="44" t="s">
        <v>25</v>
      </c>
      <c r="F91" s="1"/>
      <c r="G91" s="12"/>
      <c r="H91" s="30"/>
      <c r="J91" s="9"/>
      <c r="K91" s="17"/>
      <c r="L91" s="9"/>
      <c r="M91" s="17"/>
      <c r="N91" s="12"/>
      <c r="O91" s="30"/>
      <c r="Q91" s="1"/>
      <c r="R91" s="1"/>
      <c r="S91" s="1"/>
      <c r="T91" s="1"/>
      <c r="U91" s="1"/>
      <c r="V91" s="1"/>
      <c r="X91" s="30"/>
    </row>
    <row r="92" spans="1:24" ht="13.15" outlineLevel="3">
      <c r="A92" s="1"/>
      <c r="B92" s="42" t="s">
        <v>26</v>
      </c>
      <c r="C92" s="43" t="s">
        <v>24</v>
      </c>
      <c r="D92" s="33"/>
      <c r="E92" s="44" t="s">
        <v>27</v>
      </c>
      <c r="F92" s="1"/>
      <c r="G92" s="12"/>
      <c r="H92" s="30"/>
      <c r="J92" s="9"/>
      <c r="K92" s="17"/>
      <c r="L92" s="9"/>
      <c r="M92" s="17"/>
      <c r="N92" s="12"/>
      <c r="O92" s="30"/>
      <c r="Q92" s="1"/>
      <c r="R92" s="1"/>
      <c r="S92" s="1"/>
      <c r="T92" s="1"/>
      <c r="U92" s="1"/>
      <c r="V92" s="1"/>
      <c r="X92" s="30"/>
    </row>
    <row r="93" spans="1:24" ht="13.15" outlineLevel="1">
      <c r="A93" s="1"/>
      <c r="B93" s="13" t="s">
        <v>47</v>
      </c>
      <c r="C93" s="14"/>
      <c r="D93" s="38"/>
      <c r="E93" s="13"/>
      <c r="F93" s="13"/>
      <c r="H93" s="30"/>
      <c r="J93" s="41">
        <f>SUBTOTAL(9,J94:J100)</f>
        <v>0</v>
      </c>
      <c r="K93" s="41">
        <f>SUBTOTAL(9,K94:K100)</f>
        <v>3</v>
      </c>
      <c r="L93" s="41">
        <f>SUBTOTAL(9,L94:L100)</f>
        <v>0</v>
      </c>
      <c r="M93" s="41">
        <f>SUBTOTAL(9,M94:M100)</f>
        <v>0</v>
      </c>
      <c r="N93" s="12"/>
      <c r="O93" s="30"/>
      <c r="Q93" s="13"/>
      <c r="R93" s="13"/>
      <c r="S93" s="13"/>
      <c r="T93" s="13"/>
      <c r="U93" s="13"/>
      <c r="V93" s="13"/>
      <c r="W93" s="12"/>
      <c r="X93" s="30"/>
    </row>
    <row r="94" spans="1:24" ht="52.9" outlineLevel="2">
      <c r="B94" s="1" t="s">
        <v>70</v>
      </c>
      <c r="C94" s="8" t="s">
        <v>38</v>
      </c>
      <c r="D94" s="33">
        <v>46371</v>
      </c>
      <c r="E94" s="8" t="s">
        <v>20</v>
      </c>
      <c r="F94" s="8"/>
      <c r="H94" s="30"/>
      <c r="J94" s="8"/>
      <c r="K94" s="8">
        <v>1</v>
      </c>
      <c r="L94" s="8"/>
      <c r="M94" s="8"/>
      <c r="O94" s="30"/>
      <c r="Q94" s="1" t="s">
        <v>20</v>
      </c>
      <c r="R94" s="1" t="s">
        <v>48</v>
      </c>
      <c r="S94" s="8" t="s">
        <v>76</v>
      </c>
      <c r="X94" s="30"/>
    </row>
    <row r="95" spans="1:24" ht="13.15" outlineLevel="3">
      <c r="A95" s="1"/>
      <c r="B95" s="42" t="s">
        <v>23</v>
      </c>
      <c r="C95" s="43" t="s">
        <v>24</v>
      </c>
      <c r="D95" s="33"/>
      <c r="E95" s="44" t="s">
        <v>25</v>
      </c>
      <c r="F95" s="1"/>
      <c r="G95" s="12"/>
      <c r="H95" s="30"/>
      <c r="J95" s="9"/>
      <c r="K95" s="17"/>
      <c r="L95" s="9"/>
      <c r="M95" s="17"/>
      <c r="N95" s="12"/>
      <c r="O95" s="30"/>
      <c r="Q95" s="1"/>
      <c r="R95" s="1"/>
      <c r="S95" s="1"/>
      <c r="T95" s="1"/>
      <c r="U95" s="1"/>
      <c r="V95" s="1"/>
      <c r="X95" s="30"/>
    </row>
    <row r="96" spans="1:24" ht="13.15" outlineLevel="3">
      <c r="A96" s="1"/>
      <c r="B96" s="42" t="s">
        <v>26</v>
      </c>
      <c r="C96" s="43" t="s">
        <v>24</v>
      </c>
      <c r="D96" s="33"/>
      <c r="E96" s="44" t="s">
        <v>27</v>
      </c>
      <c r="F96" s="1"/>
      <c r="G96" s="12"/>
      <c r="H96" s="30"/>
      <c r="J96" s="9"/>
      <c r="K96" s="17"/>
      <c r="L96" s="9"/>
      <c r="M96" s="17"/>
      <c r="N96" s="12"/>
      <c r="O96" s="30"/>
      <c r="Q96" s="1"/>
      <c r="R96" s="1"/>
      <c r="S96" s="1"/>
      <c r="T96" s="1"/>
      <c r="U96" s="1"/>
      <c r="V96" s="1"/>
      <c r="X96" s="30"/>
    </row>
    <row r="97" spans="1:24" ht="52.9" outlineLevel="2">
      <c r="B97" s="1" t="s">
        <v>70</v>
      </c>
      <c r="C97" s="8" t="s">
        <v>72</v>
      </c>
      <c r="D97" s="33">
        <v>46386</v>
      </c>
      <c r="E97" s="8" t="s">
        <v>20</v>
      </c>
      <c r="F97" s="8"/>
      <c r="H97" s="30"/>
      <c r="J97" s="8"/>
      <c r="K97" s="8">
        <v>1</v>
      </c>
      <c r="L97" s="8"/>
      <c r="M97" s="8"/>
      <c r="O97" s="30"/>
      <c r="Q97" s="1" t="s">
        <v>20</v>
      </c>
      <c r="R97" s="1" t="s">
        <v>48</v>
      </c>
      <c r="S97" s="8" t="s">
        <v>76</v>
      </c>
    </row>
    <row r="98" spans="1:24" ht="13.15" outlineLevel="3">
      <c r="A98" s="1"/>
      <c r="B98" s="42" t="s">
        <v>23</v>
      </c>
      <c r="C98" s="43" t="s">
        <v>24</v>
      </c>
      <c r="D98" s="33"/>
      <c r="E98" s="44" t="s">
        <v>25</v>
      </c>
      <c r="F98" s="1"/>
      <c r="G98" s="12"/>
      <c r="H98" s="30"/>
      <c r="J98" s="9"/>
      <c r="K98" s="17"/>
      <c r="L98" s="9"/>
      <c r="M98" s="17"/>
      <c r="N98" s="12"/>
      <c r="O98" s="30"/>
      <c r="Q98" s="1"/>
      <c r="R98" s="1"/>
      <c r="S98" s="1"/>
      <c r="T98" s="1"/>
      <c r="U98" s="1"/>
      <c r="V98" s="1"/>
      <c r="X98" s="30"/>
    </row>
    <row r="99" spans="1:24" ht="13.15" outlineLevel="3">
      <c r="A99" s="1"/>
      <c r="B99" s="42" t="s">
        <v>26</v>
      </c>
      <c r="C99" s="43" t="s">
        <v>24</v>
      </c>
      <c r="D99" s="33"/>
      <c r="E99" s="44" t="s">
        <v>27</v>
      </c>
      <c r="F99" s="1"/>
      <c r="G99" s="12"/>
      <c r="H99" s="30"/>
      <c r="J99" s="9"/>
      <c r="K99" s="17"/>
      <c r="L99" s="9"/>
      <c r="M99" s="17"/>
      <c r="N99" s="12"/>
      <c r="O99" s="30"/>
      <c r="Q99" s="1"/>
      <c r="R99" s="1"/>
      <c r="S99" s="1"/>
      <c r="T99" s="1"/>
      <c r="U99" s="1"/>
      <c r="V99" s="1"/>
      <c r="X99" s="30"/>
    </row>
    <row r="100" spans="1:24" ht="52.9" outlineLevel="2">
      <c r="B100" s="1" t="s">
        <v>70</v>
      </c>
      <c r="C100" s="8" t="s">
        <v>73</v>
      </c>
      <c r="D100" s="33">
        <v>46356</v>
      </c>
      <c r="E100" s="8" t="s">
        <v>20</v>
      </c>
      <c r="F100" s="8"/>
      <c r="H100" s="30"/>
      <c r="J100" s="8"/>
      <c r="K100" s="8">
        <v>1</v>
      </c>
      <c r="L100" s="8"/>
      <c r="M100" s="8"/>
      <c r="O100" s="30"/>
      <c r="Q100" s="1" t="s">
        <v>20</v>
      </c>
      <c r="R100" s="1" t="s">
        <v>48</v>
      </c>
      <c r="S100" s="8" t="s">
        <v>76</v>
      </c>
    </row>
    <row r="101" spans="1:24" ht="13.15" outlineLevel="3">
      <c r="A101" s="1"/>
      <c r="B101" s="42" t="s">
        <v>26</v>
      </c>
      <c r="C101" s="43" t="s">
        <v>24</v>
      </c>
      <c r="D101" s="33"/>
      <c r="E101" s="44" t="s">
        <v>27</v>
      </c>
      <c r="F101" s="1"/>
      <c r="G101" s="12"/>
      <c r="H101" s="30"/>
      <c r="J101" s="9"/>
      <c r="K101" s="17"/>
      <c r="L101" s="9"/>
      <c r="M101" s="17"/>
      <c r="N101" s="12"/>
      <c r="O101" s="30"/>
      <c r="Q101" s="1"/>
      <c r="R101" s="1"/>
      <c r="S101" s="1"/>
      <c r="T101" s="1"/>
      <c r="U101" s="1"/>
      <c r="V101" s="1"/>
      <c r="X101" s="30"/>
    </row>
    <row r="102" spans="1:24" ht="13.15" outlineLevel="1">
      <c r="A102" s="1"/>
      <c r="B102" s="13" t="s">
        <v>51</v>
      </c>
      <c r="C102" s="14"/>
      <c r="D102" s="38"/>
      <c r="E102" s="13"/>
      <c r="F102" s="13"/>
      <c r="H102" s="30"/>
      <c r="J102" s="41">
        <f>SUBTOTAL(9,J103:J111)</f>
        <v>0</v>
      </c>
      <c r="K102" s="41">
        <f>SUBTOTAL(9,K103:K111)</f>
        <v>3</v>
      </c>
      <c r="L102" s="41">
        <f>SUBTOTAL(9,L103:L111)</f>
        <v>0</v>
      </c>
      <c r="M102" s="41">
        <f>SUBTOTAL(9,M103:M111)</f>
        <v>0</v>
      </c>
      <c r="O102" s="30"/>
      <c r="Q102" s="40"/>
      <c r="R102" s="13"/>
      <c r="S102" s="13"/>
      <c r="T102" s="13"/>
      <c r="U102" s="13"/>
      <c r="V102" s="13"/>
      <c r="W102" s="12"/>
      <c r="X102" s="30"/>
    </row>
    <row r="103" spans="1:24" ht="13.15" outlineLevel="2">
      <c r="B103" s="8" t="s">
        <v>70</v>
      </c>
      <c r="C103" s="8" t="s">
        <v>38</v>
      </c>
      <c r="D103" s="33">
        <v>46376</v>
      </c>
      <c r="E103" s="8" t="s">
        <v>20</v>
      </c>
      <c r="F103" s="8"/>
      <c r="H103" s="30"/>
      <c r="J103" s="8"/>
      <c r="K103" s="8">
        <v>1</v>
      </c>
      <c r="L103" s="8"/>
      <c r="M103" s="8"/>
      <c r="O103" s="30"/>
      <c r="Q103" s="1" t="s">
        <v>20</v>
      </c>
      <c r="R103" s="8" t="s">
        <v>77</v>
      </c>
      <c r="S103" s="2" t="s">
        <v>78</v>
      </c>
      <c r="X103" s="30"/>
    </row>
    <row r="104" spans="1:24" ht="13.15" outlineLevel="3">
      <c r="A104" s="1"/>
      <c r="B104" s="42" t="s">
        <v>23</v>
      </c>
      <c r="C104" s="43" t="s">
        <v>24</v>
      </c>
      <c r="D104" s="33"/>
      <c r="E104" s="44" t="s">
        <v>25</v>
      </c>
      <c r="F104" s="1"/>
      <c r="G104" s="12"/>
      <c r="H104" s="30"/>
      <c r="J104" s="9"/>
      <c r="K104" s="17"/>
      <c r="L104" s="9"/>
      <c r="M104" s="17"/>
      <c r="N104" s="12"/>
      <c r="O104" s="30"/>
      <c r="Q104" s="1"/>
      <c r="R104" s="1"/>
      <c r="S104" s="1"/>
      <c r="T104" s="1"/>
      <c r="U104" s="1"/>
      <c r="V104" s="1"/>
      <c r="X104" s="30"/>
    </row>
    <row r="105" spans="1:24" ht="13.15" outlineLevel="3">
      <c r="A105" s="1"/>
      <c r="B105" s="42" t="s">
        <v>26</v>
      </c>
      <c r="C105" s="43" t="s">
        <v>24</v>
      </c>
      <c r="D105" s="33"/>
      <c r="E105" s="44" t="s">
        <v>27</v>
      </c>
      <c r="F105" s="1"/>
      <c r="G105" s="12"/>
      <c r="H105" s="30"/>
      <c r="J105" s="9"/>
      <c r="K105" s="17"/>
      <c r="L105" s="9"/>
      <c r="M105" s="17"/>
      <c r="N105" s="12"/>
      <c r="O105" s="30"/>
      <c r="Q105" s="1"/>
      <c r="R105" s="1"/>
      <c r="S105" s="1"/>
      <c r="T105" s="1"/>
      <c r="U105" s="1"/>
      <c r="V105" s="1"/>
      <c r="X105" s="30"/>
    </row>
    <row r="106" spans="1:24" ht="13.15" outlineLevel="2">
      <c r="B106" s="8" t="s">
        <v>70</v>
      </c>
      <c r="C106" s="8" t="s">
        <v>72</v>
      </c>
      <c r="D106" s="33">
        <v>46386</v>
      </c>
      <c r="E106" s="8" t="s">
        <v>20</v>
      </c>
      <c r="F106" s="8"/>
      <c r="H106" s="30"/>
      <c r="J106" s="8"/>
      <c r="K106" s="8">
        <v>1</v>
      </c>
      <c r="L106" s="8"/>
      <c r="M106" s="8"/>
      <c r="O106" s="30"/>
      <c r="Q106" s="1" t="s">
        <v>20</v>
      </c>
      <c r="R106" s="8" t="s">
        <v>77</v>
      </c>
      <c r="S106" s="2" t="s">
        <v>78</v>
      </c>
    </row>
    <row r="107" spans="1:24" ht="13.15" outlineLevel="3">
      <c r="A107" s="1"/>
      <c r="B107" s="42" t="s">
        <v>23</v>
      </c>
      <c r="C107" s="43" t="s">
        <v>24</v>
      </c>
      <c r="D107" s="33"/>
      <c r="E107" s="44" t="s">
        <v>25</v>
      </c>
      <c r="F107" s="1"/>
      <c r="G107" s="12"/>
      <c r="H107" s="30"/>
      <c r="J107" s="9"/>
      <c r="K107" s="17"/>
      <c r="L107" s="9"/>
      <c r="M107" s="17"/>
      <c r="N107" s="12"/>
      <c r="O107" s="30"/>
      <c r="Q107" s="1"/>
      <c r="R107" s="1"/>
      <c r="S107" s="1"/>
      <c r="T107" s="1"/>
      <c r="U107" s="1"/>
      <c r="V107" s="1"/>
      <c r="X107" s="30"/>
    </row>
    <row r="108" spans="1:24" ht="13.15" outlineLevel="3">
      <c r="A108" s="1"/>
      <c r="B108" s="42" t="s">
        <v>26</v>
      </c>
      <c r="C108" s="43" t="s">
        <v>24</v>
      </c>
      <c r="D108" s="33"/>
      <c r="E108" s="44" t="s">
        <v>27</v>
      </c>
      <c r="F108" s="1"/>
      <c r="G108" s="12"/>
      <c r="H108" s="30"/>
      <c r="J108" s="9"/>
      <c r="K108" s="17"/>
      <c r="L108" s="9"/>
      <c r="M108" s="17"/>
      <c r="N108" s="12"/>
      <c r="O108" s="30"/>
      <c r="Q108" s="1"/>
      <c r="R108" s="1"/>
      <c r="S108" s="1"/>
      <c r="T108" s="1"/>
      <c r="U108" s="1"/>
      <c r="V108" s="1"/>
      <c r="X108" s="30"/>
    </row>
    <row r="109" spans="1:24" ht="13.15" outlineLevel="2">
      <c r="B109" s="8" t="s">
        <v>70</v>
      </c>
      <c r="C109" s="8" t="s">
        <v>73</v>
      </c>
      <c r="D109" s="33">
        <v>46356</v>
      </c>
      <c r="E109" s="8" t="s">
        <v>20</v>
      </c>
      <c r="F109" s="8"/>
      <c r="H109" s="30"/>
      <c r="J109" s="8"/>
      <c r="K109" s="8">
        <v>1</v>
      </c>
      <c r="L109" s="8"/>
      <c r="M109" s="8"/>
      <c r="O109" s="30"/>
      <c r="Q109" s="1" t="s">
        <v>20</v>
      </c>
      <c r="R109" s="8" t="s">
        <v>77</v>
      </c>
      <c r="S109" s="2" t="s">
        <v>78</v>
      </c>
    </row>
    <row r="110" spans="1:24" ht="13.15" outlineLevel="3">
      <c r="A110" s="1"/>
      <c r="B110" s="42" t="s">
        <v>23</v>
      </c>
      <c r="C110" s="43" t="s">
        <v>24</v>
      </c>
      <c r="D110" s="33"/>
      <c r="E110" s="44" t="s">
        <v>25</v>
      </c>
      <c r="F110" s="1"/>
      <c r="G110" s="12"/>
      <c r="H110" s="30"/>
      <c r="J110" s="9"/>
      <c r="K110" s="17"/>
      <c r="L110" s="9"/>
      <c r="M110" s="17"/>
      <c r="N110" s="12"/>
      <c r="O110" s="30"/>
      <c r="Q110" s="1"/>
      <c r="R110" s="1"/>
      <c r="S110" s="1"/>
      <c r="T110" s="1"/>
      <c r="U110" s="1"/>
      <c r="V110" s="1"/>
      <c r="X110" s="30"/>
    </row>
    <row r="111" spans="1:24" ht="13.15" outlineLevel="3">
      <c r="A111" s="1"/>
      <c r="B111" s="42" t="s">
        <v>26</v>
      </c>
      <c r="C111" s="43" t="s">
        <v>24</v>
      </c>
      <c r="D111" s="33"/>
      <c r="E111" s="44" t="s">
        <v>27</v>
      </c>
      <c r="F111" s="1"/>
      <c r="G111" s="12"/>
      <c r="H111" s="30"/>
      <c r="J111" s="9"/>
      <c r="K111" s="17"/>
      <c r="L111" s="9"/>
      <c r="M111" s="17"/>
      <c r="N111" s="12"/>
      <c r="O111" s="30"/>
      <c r="Q111" s="1"/>
      <c r="R111" s="1"/>
      <c r="S111" s="1"/>
      <c r="T111" s="1"/>
      <c r="U111" s="1"/>
      <c r="V111" s="1"/>
      <c r="X111" s="30"/>
    </row>
    <row r="112" spans="1:24" ht="13.15"/>
  </sheetData>
  <autoFilter ref="B4:Y17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52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BD44E-7C23-49AA-BB15-582623E04E70}">
  <sheetPr>
    <outlinePr summaryBelow="0" summaryRight="0"/>
    <pageSetUpPr fitToPage="1"/>
  </sheetPr>
  <dimension ref="A2:AB111"/>
  <sheetViews>
    <sheetView zoomScale="90" zoomScaleNormal="90" workbookViewId="0">
      <pane xSplit="2" ySplit="4" topLeftCell="C5" activePane="bottomRight" state="frozen"/>
      <selection pane="bottomRight" activeCell="A78" sqref="A78"/>
      <selection pane="bottomLeft" activeCell="AB15" sqref="AB15"/>
      <selection pane="topRight" activeCell="AB15" sqref="AB15"/>
    </sheetView>
  </sheetViews>
  <sheetFormatPr defaultColWidth="9.42578125" defaultRowHeight="13.15" outlineLevelRow="3" outlineLevelCol="1"/>
  <cols>
    <col min="1" max="1" width="0.5703125" style="2" customWidth="1"/>
    <col min="2" max="2" width="22.7109375" style="2" customWidth="1"/>
    <col min="3" max="3" width="53.7109375" style="29" customWidth="1"/>
    <col min="4" max="4" width="19.42578125" style="39" bestFit="1" customWidth="1"/>
    <col min="5" max="5" width="18.7109375" style="29" bestFit="1" customWidth="1"/>
    <col min="6" max="6" width="15.28515625" style="29" bestFit="1" customWidth="1"/>
    <col min="7" max="9" width="0.28515625" style="2" customWidth="1" outlineLevel="1"/>
    <col min="10" max="10" width="13.28515625" style="2" customWidth="1" outlineLevel="1"/>
    <col min="11" max="11" width="9.5703125" style="2" customWidth="1" outlineLevel="1"/>
    <col min="12" max="12" width="16.28515625" style="2" customWidth="1" outlineLevel="1"/>
    <col min="13" max="13" width="15.7109375" style="2" customWidth="1" outlineLevel="1"/>
    <col min="14" max="16" width="0.28515625" style="2" customWidth="1" outlineLevel="1"/>
    <col min="17" max="17" width="15.7109375" style="2" customWidth="1" outlineLevel="1"/>
    <col min="18" max="20" width="14.42578125" style="2" customWidth="1" outlineLevel="1"/>
    <col min="21" max="22" width="15.7109375" style="2" customWidth="1" outlineLevel="1"/>
    <col min="23" max="25" width="0.28515625" style="2" customWidth="1"/>
    <col min="26" max="26" width="15.7109375" style="2" customWidth="1"/>
    <col min="27" max="27" width="9.42578125" style="2" bestFit="1" customWidth="1"/>
    <col min="28" max="16384" width="9.42578125" style="2"/>
  </cols>
  <sheetData>
    <row r="2" spans="1:27" ht="17.45">
      <c r="A2" s="1"/>
      <c r="B2" s="3" t="s">
        <v>0</v>
      </c>
      <c r="C2" s="4"/>
      <c r="D2" s="34"/>
      <c r="E2" s="4"/>
      <c r="F2" s="4"/>
      <c r="H2" s="30"/>
      <c r="J2" s="15">
        <f>SUBTOTAL(9,J6:J14)</f>
        <v>0</v>
      </c>
      <c r="K2" s="16">
        <f>SUBTOTAL(9,K6:K14)</f>
        <v>2</v>
      </c>
      <c r="L2" s="15">
        <f>SUBTOTAL(9,L6:L14)</f>
        <v>0</v>
      </c>
      <c r="M2" s="32">
        <f>SUBTOTAL(9,M6:M14)</f>
        <v>0</v>
      </c>
      <c r="N2" s="12"/>
      <c r="O2" s="30"/>
      <c r="Q2" s="3"/>
      <c r="R2" s="3"/>
      <c r="S2" s="3"/>
      <c r="T2" s="3"/>
      <c r="U2" s="3"/>
      <c r="V2" s="3"/>
      <c r="X2" s="30"/>
    </row>
    <row r="3" spans="1:27" ht="3" customHeight="1">
      <c r="A3" s="1"/>
      <c r="B3" s="1"/>
      <c r="C3" s="8"/>
      <c r="D3" s="35"/>
      <c r="E3" s="8"/>
      <c r="F3" s="8"/>
      <c r="H3" s="30"/>
      <c r="J3" s="1"/>
      <c r="K3" s="1"/>
      <c r="L3" s="1"/>
      <c r="M3" s="1"/>
      <c r="N3" s="12"/>
      <c r="O3" s="30"/>
      <c r="Q3" s="1"/>
      <c r="R3" s="1"/>
      <c r="S3" s="1"/>
      <c r="T3" s="1"/>
      <c r="U3" s="1"/>
      <c r="V3" s="1"/>
      <c r="X3" s="30"/>
    </row>
    <row r="4" spans="1:27" s="6" customFormat="1" ht="30">
      <c r="A4" s="7"/>
      <c r="B4" s="11" t="s">
        <v>1</v>
      </c>
      <c r="C4" s="18" t="s">
        <v>2</v>
      </c>
      <c r="D4" s="36" t="s">
        <v>3</v>
      </c>
      <c r="E4" s="11" t="s">
        <v>4</v>
      </c>
      <c r="F4" s="11" t="s">
        <v>5</v>
      </c>
      <c r="H4" s="31"/>
      <c r="J4" s="18" t="s">
        <v>6</v>
      </c>
      <c r="K4" s="18" t="s">
        <v>7</v>
      </c>
      <c r="L4" s="11" t="s">
        <v>8</v>
      </c>
      <c r="M4" s="18" t="s">
        <v>9</v>
      </c>
      <c r="N4" s="19"/>
      <c r="O4" s="31"/>
      <c r="Q4" s="11" t="s">
        <v>10</v>
      </c>
      <c r="R4" s="11" t="s">
        <v>11</v>
      </c>
      <c r="S4" s="11" t="s">
        <v>12</v>
      </c>
      <c r="T4" s="11" t="s">
        <v>13</v>
      </c>
      <c r="U4" s="11" t="s">
        <v>14</v>
      </c>
      <c r="V4" s="11" t="s">
        <v>15</v>
      </c>
      <c r="X4" s="31"/>
      <c r="Z4" s="2"/>
    </row>
    <row r="5" spans="1:27" ht="3" customHeight="1">
      <c r="A5" s="1"/>
      <c r="B5" s="1"/>
      <c r="C5" s="8"/>
      <c r="D5" s="35"/>
      <c r="E5" s="8"/>
      <c r="F5" s="8"/>
      <c r="H5" s="30"/>
      <c r="J5" s="20"/>
      <c r="K5" s="21"/>
      <c r="L5" s="20"/>
      <c r="M5" s="21"/>
      <c r="N5" s="12"/>
      <c r="O5" s="30"/>
      <c r="Q5" s="1"/>
      <c r="R5" s="1"/>
      <c r="S5" s="1"/>
      <c r="T5" s="1"/>
      <c r="U5" s="1"/>
      <c r="V5" s="1"/>
      <c r="X5" s="30"/>
      <c r="Z5" s="10"/>
      <c r="AA5" s="10"/>
    </row>
    <row r="6" spans="1:27" ht="15">
      <c r="A6" s="1"/>
      <c r="B6" s="5" t="s">
        <v>16</v>
      </c>
      <c r="C6" s="22"/>
      <c r="D6" s="37"/>
      <c r="E6" s="22"/>
      <c r="F6" s="22"/>
      <c r="H6" s="30"/>
      <c r="J6" s="23">
        <f>SUBTOTAL(9,J7:J14)</f>
        <v>0</v>
      </c>
      <c r="K6" s="23">
        <f>SUBTOTAL(9,K7:K14)</f>
        <v>2</v>
      </c>
      <c r="L6" s="23">
        <f>SUBTOTAL(9,L7:L14)</f>
        <v>0</v>
      </c>
      <c r="M6" s="23">
        <f>SUBTOTAL(9,M7:M14)</f>
        <v>0</v>
      </c>
      <c r="N6" s="12"/>
      <c r="O6" s="30"/>
      <c r="Q6" s="5"/>
      <c r="R6" s="5"/>
      <c r="S6" s="5"/>
      <c r="T6" s="5"/>
      <c r="U6" s="5"/>
      <c r="V6" s="5"/>
      <c r="X6" s="30"/>
      <c r="Z6" s="10"/>
      <c r="AA6" s="10"/>
    </row>
    <row r="7" spans="1:27" outlineLevel="1">
      <c r="A7" s="1"/>
      <c r="B7" s="13" t="s">
        <v>17</v>
      </c>
      <c r="C7" s="14" t="s">
        <v>18</v>
      </c>
      <c r="D7" s="38"/>
      <c r="E7" s="13"/>
      <c r="F7" s="13"/>
      <c r="H7" s="30"/>
      <c r="J7" s="24">
        <f>SUBTOTAL(9,J8:J10)</f>
        <v>0</v>
      </c>
      <c r="K7" s="25">
        <f>SUBTOTAL(9,K8:K10)</f>
        <v>1</v>
      </c>
      <c r="L7" s="24">
        <f>SUBTOTAL(9,L8:L10)</f>
        <v>0</v>
      </c>
      <c r="M7" s="25">
        <f>SUBTOTAL(9,M8:M10)</f>
        <v>0</v>
      </c>
      <c r="N7" s="12"/>
      <c r="O7" s="30"/>
      <c r="Q7" s="13"/>
      <c r="R7" s="13"/>
      <c r="S7" s="13"/>
      <c r="T7" s="13"/>
      <c r="U7" s="13"/>
      <c r="V7" s="13"/>
      <c r="W7" s="12"/>
      <c r="X7" s="30"/>
    </row>
    <row r="8" spans="1:27" outlineLevel="2">
      <c r="A8" s="1"/>
      <c r="B8" s="1" t="s">
        <v>16</v>
      </c>
      <c r="C8" s="8" t="s">
        <v>19</v>
      </c>
      <c r="D8" s="33">
        <v>46316</v>
      </c>
      <c r="E8" s="8" t="s">
        <v>20</v>
      </c>
      <c r="F8" s="8"/>
      <c r="H8" s="30"/>
      <c r="J8" s="9"/>
      <c r="K8" s="17">
        <v>1</v>
      </c>
      <c r="L8" s="9"/>
      <c r="M8" s="17"/>
      <c r="N8" s="12"/>
      <c r="O8" s="30"/>
      <c r="Q8" s="1" t="s">
        <v>20</v>
      </c>
      <c r="R8" s="1" t="s">
        <v>21</v>
      </c>
      <c r="S8" s="1" t="s">
        <v>22</v>
      </c>
      <c r="T8" s="1"/>
      <c r="U8" s="1"/>
      <c r="V8" s="1"/>
      <c r="X8" s="30"/>
    </row>
    <row r="9" spans="1:27" outlineLevel="3">
      <c r="A9" s="1"/>
      <c r="B9" s="42" t="s">
        <v>23</v>
      </c>
      <c r="C9" s="43" t="s">
        <v>24</v>
      </c>
      <c r="D9" s="33"/>
      <c r="E9" s="44" t="s">
        <v>25</v>
      </c>
      <c r="F9" s="1"/>
      <c r="G9" s="12"/>
      <c r="H9" s="30"/>
      <c r="J9" s="9"/>
      <c r="K9" s="17"/>
      <c r="L9" s="9"/>
      <c r="M9" s="17"/>
      <c r="N9" s="12"/>
      <c r="O9" s="30"/>
      <c r="Q9" s="1"/>
      <c r="R9" s="1"/>
      <c r="S9" s="1"/>
      <c r="T9" s="1"/>
      <c r="U9" s="1"/>
      <c r="V9" s="1"/>
      <c r="X9" s="30"/>
    </row>
    <row r="10" spans="1:27" outlineLevel="3">
      <c r="A10" s="1"/>
      <c r="B10" s="42" t="s">
        <v>26</v>
      </c>
      <c r="C10" s="43" t="s">
        <v>24</v>
      </c>
      <c r="D10" s="33"/>
      <c r="E10" s="44" t="s">
        <v>27</v>
      </c>
      <c r="F10" s="1"/>
      <c r="G10" s="12"/>
      <c r="H10" s="30"/>
      <c r="J10" s="9"/>
      <c r="K10" s="17"/>
      <c r="L10" s="9"/>
      <c r="M10" s="17"/>
      <c r="N10" s="12"/>
      <c r="O10" s="30"/>
      <c r="Q10" s="1"/>
      <c r="R10" s="1"/>
      <c r="S10" s="1"/>
      <c r="T10" s="1"/>
      <c r="U10" s="1"/>
      <c r="V10" s="1"/>
      <c r="X10" s="30"/>
    </row>
    <row r="11" spans="1:27" outlineLevel="1">
      <c r="A11" s="1"/>
      <c r="B11" s="13" t="s">
        <v>28</v>
      </c>
      <c r="C11" s="14" t="s">
        <v>18</v>
      </c>
      <c r="D11" s="38"/>
      <c r="E11" s="13"/>
      <c r="F11" s="13"/>
      <c r="H11" s="30"/>
      <c r="J11" s="24">
        <f>SUBTOTAL(9,J12:J14)</f>
        <v>0</v>
      </c>
      <c r="K11" s="25">
        <f>SUBTOTAL(9,K12:K14)</f>
        <v>1</v>
      </c>
      <c r="L11" s="24">
        <f>SUBTOTAL(9,L12:L14)</f>
        <v>0</v>
      </c>
      <c r="M11" s="25">
        <f>SUBTOTAL(9,M12:M14)</f>
        <v>0</v>
      </c>
      <c r="N11" s="12"/>
      <c r="O11" s="30"/>
      <c r="Q11" s="13"/>
      <c r="R11" s="13"/>
      <c r="S11" s="13"/>
      <c r="T11" s="13"/>
      <c r="U11" s="13"/>
      <c r="V11" s="13"/>
      <c r="W11" s="12"/>
      <c r="X11" s="30"/>
    </row>
    <row r="12" spans="1:27" outlineLevel="2">
      <c r="A12" s="1"/>
      <c r="B12" s="1" t="s">
        <v>16</v>
      </c>
      <c r="C12" s="8" t="s">
        <v>19</v>
      </c>
      <c r="D12" s="33">
        <v>46316</v>
      </c>
      <c r="E12" s="8" t="s">
        <v>29</v>
      </c>
      <c r="F12" s="8"/>
      <c r="H12" s="30"/>
      <c r="J12" s="9"/>
      <c r="K12" s="17">
        <v>1</v>
      </c>
      <c r="L12" s="9"/>
      <c r="M12" s="17"/>
      <c r="N12" s="12"/>
      <c r="O12" s="30"/>
      <c r="Q12" s="1" t="s">
        <v>29</v>
      </c>
      <c r="R12" s="1" t="s">
        <v>30</v>
      </c>
      <c r="S12" s="1" t="s">
        <v>22</v>
      </c>
      <c r="T12" s="1"/>
      <c r="U12" s="1"/>
      <c r="V12" s="1"/>
      <c r="X12" s="30"/>
    </row>
    <row r="13" spans="1:27" outlineLevel="3">
      <c r="A13" s="1"/>
      <c r="B13" s="42" t="s">
        <v>23</v>
      </c>
      <c r="C13" s="43" t="s">
        <v>24</v>
      </c>
      <c r="D13" s="33"/>
      <c r="E13" s="44" t="s">
        <v>25</v>
      </c>
      <c r="F13" s="1"/>
      <c r="G13" s="12"/>
      <c r="H13" s="30"/>
      <c r="J13" s="9"/>
      <c r="K13" s="17"/>
      <c r="L13" s="9"/>
      <c r="M13" s="17"/>
      <c r="N13" s="12"/>
      <c r="O13" s="30"/>
      <c r="Q13" s="1"/>
      <c r="R13" s="1"/>
      <c r="S13" s="1"/>
      <c r="T13" s="1"/>
      <c r="U13" s="1"/>
      <c r="V13" s="1"/>
      <c r="X13" s="30"/>
    </row>
    <row r="14" spans="1:27" outlineLevel="3">
      <c r="A14" s="1"/>
      <c r="B14" s="42" t="s">
        <v>26</v>
      </c>
      <c r="C14" s="43" t="s">
        <v>24</v>
      </c>
      <c r="D14" s="33"/>
      <c r="E14" s="44" t="s">
        <v>27</v>
      </c>
      <c r="F14" s="1"/>
      <c r="G14" s="12"/>
      <c r="H14" s="30"/>
      <c r="J14" s="9"/>
      <c r="K14" s="17"/>
      <c r="L14" s="9"/>
      <c r="M14" s="17"/>
      <c r="N14" s="12"/>
      <c r="O14" s="30"/>
      <c r="Q14" s="1"/>
      <c r="R14" s="1"/>
      <c r="S14" s="1"/>
      <c r="T14" s="1"/>
      <c r="U14" s="1"/>
      <c r="V14" s="1"/>
      <c r="X14" s="30"/>
    </row>
    <row r="15" spans="1:27" ht="15">
      <c r="A15" s="1"/>
      <c r="B15" s="5" t="s">
        <v>33</v>
      </c>
      <c r="C15" s="22" t="s">
        <v>34</v>
      </c>
      <c r="D15" s="37"/>
      <c r="E15" s="5"/>
      <c r="F15" s="5"/>
      <c r="H15" s="30"/>
      <c r="J15" s="26">
        <f>SUBTOTAL(9,J16:J44)</f>
        <v>0.89413480000000012</v>
      </c>
      <c r="K15" s="27">
        <f>SUBTOTAL(9,K16:K44)</f>
        <v>9</v>
      </c>
      <c r="L15" s="26">
        <f>SUBTOTAL(9,L16:L44)</f>
        <v>0</v>
      </c>
      <c r="M15" s="27">
        <f>SUBTOTAL(9,M16:M44)</f>
        <v>0</v>
      </c>
      <c r="N15" s="12"/>
      <c r="O15" s="30"/>
      <c r="Q15" s="5"/>
      <c r="R15" s="5"/>
      <c r="S15" s="5"/>
      <c r="T15" s="5"/>
      <c r="U15" s="5"/>
      <c r="V15" s="5"/>
      <c r="W15" s="12"/>
      <c r="X15" s="30"/>
    </row>
    <row r="16" spans="1:27" outlineLevel="1">
      <c r="A16" s="1"/>
      <c r="B16" s="13" t="s">
        <v>28</v>
      </c>
      <c r="C16" s="14" t="s">
        <v>35</v>
      </c>
      <c r="D16" s="38"/>
      <c r="E16" s="13"/>
      <c r="F16" s="13"/>
      <c r="H16" s="30"/>
      <c r="J16" s="24">
        <f>SUBTOTAL(9,J17:J26)</f>
        <v>0.74184000000000005</v>
      </c>
      <c r="K16" s="25">
        <f>SUBTOTAL(9,K17:K26)</f>
        <v>4</v>
      </c>
      <c r="L16" s="24">
        <f>SUBTOTAL(9,L17:L26)</f>
        <v>0</v>
      </c>
      <c r="M16" s="25">
        <f>SUBTOTAL(9,M17:M26)</f>
        <v>0</v>
      </c>
      <c r="N16" s="12"/>
      <c r="O16" s="30"/>
      <c r="Q16" s="13"/>
      <c r="R16" s="13"/>
      <c r="S16" s="13"/>
      <c r="T16" s="13"/>
      <c r="U16" s="13"/>
      <c r="V16" s="13"/>
      <c r="W16" s="12"/>
      <c r="X16" s="30"/>
    </row>
    <row r="17" spans="1:24" outlineLevel="2">
      <c r="A17" s="1"/>
      <c r="B17" s="1" t="s">
        <v>33</v>
      </c>
      <c r="C17" s="8" t="s">
        <v>19</v>
      </c>
      <c r="D17" s="33">
        <v>46303</v>
      </c>
      <c r="E17" s="8" t="s">
        <v>36</v>
      </c>
      <c r="F17" s="8"/>
      <c r="H17" s="30"/>
      <c r="J17" s="9">
        <v>0.24728000000000006</v>
      </c>
      <c r="K17" s="17">
        <v>1</v>
      </c>
      <c r="L17" s="9">
        <f>IF(M17=1,J17,0)</f>
        <v>0</v>
      </c>
      <c r="M17" s="17"/>
      <c r="N17" s="12"/>
      <c r="O17" s="30"/>
      <c r="Q17" s="1" t="s">
        <v>36</v>
      </c>
      <c r="R17" s="1" t="s">
        <v>37</v>
      </c>
      <c r="S17" s="1"/>
      <c r="T17" s="1"/>
      <c r="U17" s="1"/>
      <c r="V17" s="1"/>
      <c r="X17" s="30"/>
    </row>
    <row r="18" spans="1:24" outlineLevel="3">
      <c r="A18" s="1"/>
      <c r="B18" s="42" t="s">
        <v>23</v>
      </c>
      <c r="C18" s="43" t="s">
        <v>24</v>
      </c>
      <c r="D18" s="33"/>
      <c r="E18" s="44" t="s">
        <v>25</v>
      </c>
      <c r="F18" s="1"/>
      <c r="G18" s="12"/>
      <c r="H18" s="30"/>
      <c r="J18" s="9"/>
      <c r="K18" s="17"/>
      <c r="L18" s="9"/>
      <c r="M18" s="17"/>
      <c r="N18" s="12"/>
      <c r="O18" s="30"/>
      <c r="Q18" s="1"/>
      <c r="R18" s="1"/>
      <c r="S18" s="1"/>
      <c r="T18" s="1"/>
      <c r="U18" s="1"/>
      <c r="V18" s="1"/>
      <c r="X18" s="30"/>
    </row>
    <row r="19" spans="1:24" outlineLevel="3">
      <c r="A19" s="1"/>
      <c r="B19" s="42" t="s">
        <v>26</v>
      </c>
      <c r="C19" s="43" t="s">
        <v>24</v>
      </c>
      <c r="D19" s="33"/>
      <c r="E19" s="44" t="s">
        <v>27</v>
      </c>
      <c r="F19" s="1"/>
      <c r="G19" s="12"/>
      <c r="H19" s="30"/>
      <c r="J19" s="9"/>
      <c r="K19" s="17"/>
      <c r="L19" s="9"/>
      <c r="M19" s="17"/>
      <c r="N19" s="12"/>
      <c r="O19" s="30"/>
      <c r="Q19" s="1"/>
      <c r="R19" s="1"/>
      <c r="S19" s="1"/>
      <c r="T19" s="1"/>
      <c r="U19" s="1"/>
      <c r="V19" s="1"/>
      <c r="X19" s="30"/>
    </row>
    <row r="20" spans="1:24" outlineLevel="2">
      <c r="A20" s="1"/>
      <c r="B20" s="1" t="s">
        <v>33</v>
      </c>
      <c r="C20" s="8" t="s">
        <v>38</v>
      </c>
      <c r="D20" s="33">
        <v>46358</v>
      </c>
      <c r="E20" s="8" t="s">
        <v>36</v>
      </c>
      <c r="F20" s="8"/>
      <c r="H20" s="30"/>
      <c r="J20" s="9">
        <v>0.24728000000000006</v>
      </c>
      <c r="K20" s="17">
        <v>1</v>
      </c>
      <c r="L20" s="9">
        <f>IF(M20=1,J20,0)</f>
        <v>0</v>
      </c>
      <c r="M20" s="17"/>
      <c r="N20" s="12"/>
      <c r="O20" s="30"/>
      <c r="Q20" s="1" t="s">
        <v>36</v>
      </c>
      <c r="R20" s="1" t="s">
        <v>37</v>
      </c>
      <c r="S20" s="1"/>
      <c r="T20" s="1"/>
      <c r="U20" s="1"/>
      <c r="V20" s="1"/>
      <c r="X20" s="30"/>
    </row>
    <row r="21" spans="1:24" outlineLevel="3">
      <c r="A21" s="1"/>
      <c r="B21" s="42" t="s">
        <v>23</v>
      </c>
      <c r="C21" s="43" t="s">
        <v>24</v>
      </c>
      <c r="D21" s="33"/>
      <c r="E21" s="44" t="s">
        <v>25</v>
      </c>
      <c r="F21" s="1"/>
      <c r="G21" s="12"/>
      <c r="H21" s="30"/>
      <c r="J21" s="9"/>
      <c r="K21" s="17"/>
      <c r="L21" s="9"/>
      <c r="M21" s="17"/>
      <c r="N21" s="12"/>
      <c r="O21" s="30"/>
      <c r="Q21" s="1"/>
      <c r="R21" s="1"/>
      <c r="S21" s="1"/>
      <c r="T21" s="1"/>
      <c r="U21" s="1"/>
      <c r="V21" s="1"/>
      <c r="X21" s="30"/>
    </row>
    <row r="22" spans="1:24" outlineLevel="3">
      <c r="A22" s="1"/>
      <c r="B22" s="42" t="s">
        <v>26</v>
      </c>
      <c r="C22" s="43" t="s">
        <v>24</v>
      </c>
      <c r="D22" s="33"/>
      <c r="E22" s="44" t="s">
        <v>27</v>
      </c>
      <c r="F22" s="1"/>
      <c r="G22" s="12"/>
      <c r="H22" s="30"/>
      <c r="J22" s="9"/>
      <c r="K22" s="17"/>
      <c r="L22" s="9"/>
      <c r="M22" s="17"/>
      <c r="N22" s="12"/>
      <c r="O22" s="30"/>
      <c r="Q22" s="1"/>
      <c r="R22" s="1"/>
      <c r="S22" s="1"/>
      <c r="T22" s="1"/>
      <c r="U22" s="1"/>
      <c r="V22" s="1"/>
      <c r="X22" s="30"/>
    </row>
    <row r="23" spans="1:24" outlineLevel="2">
      <c r="A23" s="1"/>
      <c r="B23" s="1" t="s">
        <v>33</v>
      </c>
      <c r="C23" s="8" t="s">
        <v>39</v>
      </c>
      <c r="D23" s="33">
        <v>46373</v>
      </c>
      <c r="E23" s="8" t="s">
        <v>36</v>
      </c>
      <c r="F23" s="8"/>
      <c r="H23" s="30"/>
      <c r="J23" s="9">
        <v>0.12364</v>
      </c>
      <c r="K23" s="17">
        <v>1</v>
      </c>
      <c r="L23" s="9">
        <f>IF(M23=1,J23,0)</f>
        <v>0</v>
      </c>
      <c r="M23" s="17"/>
      <c r="N23" s="12"/>
      <c r="O23" s="30"/>
      <c r="Q23" s="1" t="s">
        <v>36</v>
      </c>
      <c r="R23" s="1" t="s">
        <v>37</v>
      </c>
      <c r="S23" s="1"/>
      <c r="T23" s="1"/>
      <c r="U23" s="1"/>
      <c r="V23" s="1"/>
      <c r="X23" s="30"/>
    </row>
    <row r="24" spans="1:24" outlineLevel="3">
      <c r="A24" s="1"/>
      <c r="B24" s="42" t="s">
        <v>23</v>
      </c>
      <c r="C24" s="43" t="s">
        <v>24</v>
      </c>
      <c r="D24" s="33"/>
      <c r="E24" s="44" t="s">
        <v>25</v>
      </c>
      <c r="F24" s="1"/>
      <c r="G24" s="12"/>
      <c r="H24" s="30"/>
      <c r="J24" s="9"/>
      <c r="K24" s="17"/>
      <c r="L24" s="9"/>
      <c r="M24" s="17"/>
      <c r="N24" s="12"/>
      <c r="O24" s="30"/>
      <c r="Q24" s="1"/>
      <c r="R24" s="1"/>
      <c r="S24" s="1"/>
      <c r="T24" s="1"/>
      <c r="U24" s="1"/>
      <c r="V24" s="1"/>
      <c r="X24" s="30"/>
    </row>
    <row r="25" spans="1:24" outlineLevel="3">
      <c r="A25" s="1"/>
      <c r="B25" s="42" t="s">
        <v>26</v>
      </c>
      <c r="C25" s="43" t="s">
        <v>24</v>
      </c>
      <c r="D25" s="33"/>
      <c r="E25" s="44" t="s">
        <v>27</v>
      </c>
      <c r="F25" s="1"/>
      <c r="G25" s="12"/>
      <c r="H25" s="30"/>
      <c r="J25" s="9"/>
      <c r="K25" s="17"/>
      <c r="L25" s="9"/>
      <c r="M25" s="17"/>
      <c r="N25" s="12"/>
      <c r="O25" s="30"/>
      <c r="Q25" s="1"/>
      <c r="R25" s="1"/>
      <c r="S25" s="1"/>
      <c r="T25" s="1"/>
      <c r="U25" s="1"/>
      <c r="V25" s="1"/>
      <c r="X25" s="30"/>
    </row>
    <row r="26" spans="1:24" outlineLevel="2">
      <c r="A26" s="1"/>
      <c r="B26" s="1" t="s">
        <v>33</v>
      </c>
      <c r="C26" s="8" t="s">
        <v>40</v>
      </c>
      <c r="D26" s="33">
        <v>46387</v>
      </c>
      <c r="E26" s="8" t="s">
        <v>36</v>
      </c>
      <c r="F26" s="8"/>
      <c r="H26" s="30"/>
      <c r="J26" s="9">
        <v>0.12364000000000003</v>
      </c>
      <c r="K26" s="17">
        <v>1</v>
      </c>
      <c r="L26" s="9">
        <f>IF(M26=1,J26,0)</f>
        <v>0</v>
      </c>
      <c r="M26" s="17"/>
      <c r="N26" s="12"/>
      <c r="O26" s="30"/>
      <c r="Q26" s="1" t="s">
        <v>36</v>
      </c>
      <c r="R26" s="1" t="s">
        <v>37</v>
      </c>
      <c r="S26" s="1"/>
      <c r="T26" s="1"/>
      <c r="U26" s="1"/>
      <c r="V26" s="1"/>
      <c r="X26" s="30"/>
    </row>
    <row r="27" spans="1:24" outlineLevel="3">
      <c r="A27" s="1"/>
      <c r="B27" s="42" t="s">
        <v>23</v>
      </c>
      <c r="C27" s="43" t="s">
        <v>24</v>
      </c>
      <c r="D27" s="33"/>
      <c r="E27" s="44" t="s">
        <v>25</v>
      </c>
      <c r="F27" s="1"/>
      <c r="G27" s="12"/>
      <c r="H27" s="30"/>
      <c r="J27" s="9"/>
      <c r="K27" s="17"/>
      <c r="L27" s="9"/>
      <c r="M27" s="17"/>
      <c r="N27" s="12"/>
      <c r="O27" s="30"/>
      <c r="Q27" s="1"/>
      <c r="R27" s="1"/>
      <c r="S27" s="1"/>
      <c r="T27" s="1"/>
      <c r="U27" s="1"/>
      <c r="V27" s="1"/>
      <c r="X27" s="30"/>
    </row>
    <row r="28" spans="1:24" outlineLevel="3">
      <c r="A28" s="1"/>
      <c r="B28" s="42" t="s">
        <v>26</v>
      </c>
      <c r="C28" s="43" t="s">
        <v>24</v>
      </c>
      <c r="D28" s="33"/>
      <c r="E28" s="44" t="s">
        <v>27</v>
      </c>
      <c r="F28" s="1"/>
      <c r="G28" s="12"/>
      <c r="H28" s="30"/>
      <c r="J28" s="9"/>
      <c r="K28" s="17"/>
      <c r="L28" s="9"/>
      <c r="M28" s="17"/>
      <c r="N28" s="12"/>
      <c r="O28" s="30"/>
      <c r="Q28" s="1"/>
      <c r="R28" s="1"/>
      <c r="S28" s="1"/>
      <c r="T28" s="1"/>
      <c r="U28" s="1"/>
      <c r="V28" s="1"/>
      <c r="X28" s="30"/>
    </row>
    <row r="29" spans="1:24" outlineLevel="1">
      <c r="A29" s="1"/>
      <c r="B29" s="13" t="s">
        <v>41</v>
      </c>
      <c r="C29" s="14" t="s">
        <v>38</v>
      </c>
      <c r="D29" s="38"/>
      <c r="E29" s="13"/>
      <c r="F29" s="13"/>
      <c r="H29" s="30"/>
      <c r="J29" s="24">
        <f>SUBTOTAL(9,J30)</f>
        <v>7.8635040000000003E-2</v>
      </c>
      <c r="K29" s="25">
        <f>SUBTOTAL(9,K30)</f>
        <v>1</v>
      </c>
      <c r="L29" s="24">
        <f>SUBTOTAL(9,L30)</f>
        <v>0</v>
      </c>
      <c r="M29" s="25">
        <f>SUBTOTAL(9,M30)</f>
        <v>0</v>
      </c>
      <c r="N29" s="12"/>
      <c r="O29" s="30"/>
      <c r="Q29" s="13"/>
      <c r="R29" s="13"/>
      <c r="S29" s="13"/>
      <c r="T29" s="13"/>
      <c r="U29" s="13"/>
      <c r="V29" s="13"/>
      <c r="W29" s="12"/>
      <c r="X29" s="30"/>
    </row>
    <row r="30" spans="1:24" outlineLevel="2">
      <c r="A30" s="1"/>
      <c r="B30" s="1" t="s">
        <v>33</v>
      </c>
      <c r="C30" s="8" t="s">
        <v>38</v>
      </c>
      <c r="D30" s="33">
        <v>46358</v>
      </c>
      <c r="E30" s="8" t="s">
        <v>42</v>
      </c>
      <c r="F30" s="8"/>
      <c r="H30" s="30"/>
      <c r="J30" s="9">
        <v>7.8635040000000003E-2</v>
      </c>
      <c r="K30" s="17">
        <v>1</v>
      </c>
      <c r="L30" s="9">
        <f>IF(M30=1,J30,0)</f>
        <v>0</v>
      </c>
      <c r="M30" s="17"/>
      <c r="N30" s="12"/>
      <c r="O30" s="30"/>
      <c r="Q30" s="1" t="s">
        <v>42</v>
      </c>
      <c r="R30" s="1" t="s">
        <v>43</v>
      </c>
      <c r="S30" s="1" t="s">
        <v>44</v>
      </c>
      <c r="T30" s="1" t="s">
        <v>45</v>
      </c>
      <c r="U30" s="1" t="s">
        <v>46</v>
      </c>
      <c r="V30" s="1"/>
      <c r="X30" s="30"/>
    </row>
    <row r="31" spans="1:24" outlineLevel="3">
      <c r="A31" s="1"/>
      <c r="B31" s="42" t="s">
        <v>23</v>
      </c>
      <c r="C31" s="43" t="s">
        <v>24</v>
      </c>
      <c r="D31" s="33"/>
      <c r="E31" s="44" t="s">
        <v>25</v>
      </c>
      <c r="F31" s="1"/>
      <c r="G31" s="12"/>
      <c r="H31" s="30"/>
      <c r="J31" s="9"/>
      <c r="K31" s="17"/>
      <c r="L31" s="9"/>
      <c r="M31" s="17"/>
      <c r="N31" s="12"/>
      <c r="O31" s="30"/>
      <c r="Q31" s="1"/>
      <c r="R31" s="1"/>
      <c r="S31" s="1"/>
      <c r="T31" s="1"/>
      <c r="U31" s="1"/>
      <c r="V31" s="1"/>
      <c r="X31" s="30"/>
    </row>
    <row r="32" spans="1:24" outlineLevel="3">
      <c r="A32" s="1"/>
      <c r="B32" s="42" t="s">
        <v>26</v>
      </c>
      <c r="C32" s="43" t="s">
        <v>24</v>
      </c>
      <c r="D32" s="33"/>
      <c r="E32" s="44" t="s">
        <v>27</v>
      </c>
      <c r="F32" s="1"/>
      <c r="G32" s="12"/>
      <c r="H32" s="30"/>
      <c r="J32" s="9"/>
      <c r="K32" s="17"/>
      <c r="L32" s="9"/>
      <c r="M32" s="17"/>
      <c r="N32" s="12"/>
      <c r="O32" s="30"/>
      <c r="Q32" s="1"/>
      <c r="R32" s="1"/>
      <c r="S32" s="1"/>
      <c r="T32" s="1"/>
      <c r="U32" s="1"/>
      <c r="V32" s="1"/>
      <c r="X32" s="30"/>
    </row>
    <row r="33" spans="1:24" outlineLevel="1">
      <c r="A33" s="1"/>
      <c r="B33" s="13" t="s">
        <v>47</v>
      </c>
      <c r="C33" s="14" t="s">
        <v>35</v>
      </c>
      <c r="D33" s="38"/>
      <c r="E33" s="13"/>
      <c r="F33" s="13"/>
      <c r="H33" s="30"/>
      <c r="J33" s="24">
        <f>SUBTOTAL(9,J34:J37)</f>
        <v>3.9179040000000005E-2</v>
      </c>
      <c r="K33" s="25">
        <f>SUBTOTAL(9,K34:K37)</f>
        <v>2</v>
      </c>
      <c r="L33" s="24">
        <f>SUBTOTAL(9,L34:L37)</f>
        <v>0</v>
      </c>
      <c r="M33" s="25">
        <f>SUBTOTAL(9,M34:M37)</f>
        <v>0</v>
      </c>
      <c r="N33" s="12"/>
      <c r="O33" s="30"/>
      <c r="Q33" s="13"/>
      <c r="R33" s="13"/>
      <c r="S33" s="13"/>
      <c r="T33" s="13"/>
      <c r="U33" s="13"/>
      <c r="V33" s="13"/>
      <c r="W33" s="12"/>
      <c r="X33" s="30"/>
    </row>
    <row r="34" spans="1:24" outlineLevel="2">
      <c r="A34" s="1"/>
      <c r="B34" s="1" t="s">
        <v>33</v>
      </c>
      <c r="C34" s="8" t="s">
        <v>38</v>
      </c>
      <c r="D34" s="33">
        <v>46358</v>
      </c>
      <c r="E34" s="8" t="s">
        <v>20</v>
      </c>
      <c r="F34" s="8"/>
      <c r="H34" s="30"/>
      <c r="J34" s="9">
        <v>2.9179040000000003E-2</v>
      </c>
      <c r="K34" s="17">
        <v>1</v>
      </c>
      <c r="L34" s="9">
        <f>IF(M34=1,J34,0)</f>
        <v>0</v>
      </c>
      <c r="M34" s="17"/>
      <c r="N34" s="12"/>
      <c r="O34" s="30"/>
      <c r="Q34" s="1" t="s">
        <v>20</v>
      </c>
      <c r="R34" s="1" t="s">
        <v>48</v>
      </c>
      <c r="S34" s="1" t="s">
        <v>49</v>
      </c>
      <c r="T34" s="1" t="s">
        <v>50</v>
      </c>
      <c r="U34" s="1"/>
      <c r="V34" s="1"/>
      <c r="X34" s="30"/>
    </row>
    <row r="35" spans="1:24" outlineLevel="3">
      <c r="A35" s="1"/>
      <c r="B35" s="42" t="s">
        <v>23</v>
      </c>
      <c r="C35" s="43" t="s">
        <v>24</v>
      </c>
      <c r="D35" s="33"/>
      <c r="E35" s="44" t="s">
        <v>25</v>
      </c>
      <c r="F35" s="1"/>
      <c r="G35" s="12"/>
      <c r="H35" s="30"/>
      <c r="J35" s="9"/>
      <c r="K35" s="17"/>
      <c r="L35" s="9"/>
      <c r="M35" s="17"/>
      <c r="N35" s="12"/>
      <c r="O35" s="30"/>
      <c r="Q35" s="1"/>
      <c r="R35" s="1"/>
      <c r="S35" s="1"/>
      <c r="T35" s="1"/>
      <c r="U35" s="1"/>
      <c r="V35" s="1"/>
      <c r="X35" s="30"/>
    </row>
    <row r="36" spans="1:24" outlineLevel="3">
      <c r="A36" s="1"/>
      <c r="B36" s="42" t="s">
        <v>26</v>
      </c>
      <c r="C36" s="43" t="s">
        <v>24</v>
      </c>
      <c r="D36" s="33"/>
      <c r="E36" s="44" t="s">
        <v>27</v>
      </c>
      <c r="F36" s="1"/>
      <c r="G36" s="12"/>
      <c r="H36" s="30"/>
      <c r="J36" s="9"/>
      <c r="K36" s="17"/>
      <c r="L36" s="9"/>
      <c r="M36" s="17"/>
      <c r="N36" s="12"/>
      <c r="O36" s="30"/>
      <c r="Q36" s="1"/>
      <c r="R36" s="1"/>
      <c r="S36" s="1"/>
      <c r="T36" s="1"/>
      <c r="U36" s="1"/>
      <c r="V36" s="1"/>
      <c r="X36" s="30"/>
    </row>
    <row r="37" spans="1:24" outlineLevel="2">
      <c r="A37" s="1"/>
      <c r="B37" s="1" t="s">
        <v>33</v>
      </c>
      <c r="C37" s="8" t="s">
        <v>39</v>
      </c>
      <c r="D37" s="33">
        <v>46360</v>
      </c>
      <c r="E37" s="8" t="s">
        <v>20</v>
      </c>
      <c r="F37" s="8"/>
      <c r="H37" s="30"/>
      <c r="J37" s="9">
        <v>0.01</v>
      </c>
      <c r="K37" s="17">
        <v>1</v>
      </c>
      <c r="L37" s="9">
        <f>IF(M37=1,J37,0)</f>
        <v>0</v>
      </c>
      <c r="M37" s="17"/>
      <c r="N37" s="12"/>
      <c r="O37" s="30"/>
      <c r="Q37" s="1" t="s">
        <v>20</v>
      </c>
      <c r="R37" s="1" t="s">
        <v>48</v>
      </c>
      <c r="S37" s="1" t="s">
        <v>49</v>
      </c>
      <c r="T37" s="1" t="s">
        <v>50</v>
      </c>
      <c r="U37" s="1"/>
      <c r="V37" s="1"/>
      <c r="X37" s="30"/>
    </row>
    <row r="38" spans="1:24" outlineLevel="3">
      <c r="A38" s="1"/>
      <c r="B38" s="42" t="s">
        <v>23</v>
      </c>
      <c r="C38" s="43" t="s">
        <v>24</v>
      </c>
      <c r="D38" s="33"/>
      <c r="E38" s="44" t="s">
        <v>25</v>
      </c>
      <c r="F38" s="1"/>
      <c r="G38" s="12"/>
      <c r="H38" s="30"/>
      <c r="J38" s="9"/>
      <c r="K38" s="17"/>
      <c r="L38" s="9"/>
      <c r="M38" s="17"/>
      <c r="N38" s="12"/>
      <c r="O38" s="30"/>
      <c r="Q38" s="1"/>
      <c r="R38" s="1"/>
      <c r="S38" s="1"/>
      <c r="T38" s="1"/>
      <c r="U38" s="1"/>
      <c r="V38" s="1"/>
      <c r="X38" s="30"/>
    </row>
    <row r="39" spans="1:24" outlineLevel="3">
      <c r="A39" s="1"/>
      <c r="B39" s="42" t="s">
        <v>26</v>
      </c>
      <c r="C39" s="43" t="s">
        <v>24</v>
      </c>
      <c r="D39" s="33"/>
      <c r="E39" s="44" t="s">
        <v>27</v>
      </c>
      <c r="F39" s="1"/>
      <c r="G39" s="12"/>
      <c r="H39" s="30"/>
      <c r="J39" s="9"/>
      <c r="K39" s="17"/>
      <c r="L39" s="9"/>
      <c r="M39" s="17"/>
      <c r="N39" s="12"/>
      <c r="O39" s="30"/>
      <c r="Q39" s="1"/>
      <c r="R39" s="1"/>
      <c r="S39" s="1"/>
      <c r="T39" s="1"/>
      <c r="U39" s="1"/>
      <c r="V39" s="1"/>
      <c r="X39" s="30"/>
    </row>
    <row r="40" spans="1:24" outlineLevel="1">
      <c r="A40" s="1"/>
      <c r="B40" s="13" t="s">
        <v>51</v>
      </c>
      <c r="C40" s="14" t="s">
        <v>35</v>
      </c>
      <c r="D40" s="38"/>
      <c r="E40" s="13"/>
      <c r="F40" s="13"/>
      <c r="H40" s="30"/>
      <c r="J40" s="24">
        <f>SUBTOTAL(9,J41:J44)</f>
        <v>3.4480719999999999E-2</v>
      </c>
      <c r="K40" s="25">
        <f>SUBTOTAL(9,K41:K44)</f>
        <v>2</v>
      </c>
      <c r="L40" s="24">
        <f>SUBTOTAL(9,L44)</f>
        <v>0</v>
      </c>
      <c r="M40" s="25">
        <f>SUBTOTAL(9,M44)</f>
        <v>0</v>
      </c>
      <c r="N40" s="12"/>
      <c r="O40" s="30"/>
      <c r="Q40" s="13"/>
      <c r="R40" s="13"/>
      <c r="S40" s="13"/>
      <c r="T40" s="13"/>
      <c r="U40" s="13"/>
      <c r="V40" s="13"/>
      <c r="W40" s="12"/>
      <c r="X40" s="30"/>
    </row>
    <row r="41" spans="1:24" outlineLevel="2">
      <c r="A41" s="1"/>
      <c r="B41" s="1" t="s">
        <v>33</v>
      </c>
      <c r="C41" s="8" t="s">
        <v>38</v>
      </c>
      <c r="D41" s="33">
        <v>46358</v>
      </c>
      <c r="E41" s="8" t="s">
        <v>20</v>
      </c>
      <c r="F41" s="8"/>
      <c r="H41" s="30"/>
      <c r="J41" s="9">
        <v>2.4480720000000001E-2</v>
      </c>
      <c r="K41" s="17">
        <v>1</v>
      </c>
      <c r="L41" s="9">
        <f>IF(M41=1,J41,0)</f>
        <v>0</v>
      </c>
      <c r="M41" s="17"/>
      <c r="N41" s="12"/>
      <c r="O41" s="30"/>
      <c r="Q41" s="1" t="s">
        <v>20</v>
      </c>
      <c r="R41" s="1" t="s">
        <v>52</v>
      </c>
      <c r="S41" s="1" t="s">
        <v>53</v>
      </c>
      <c r="T41" s="1"/>
      <c r="U41" s="1"/>
      <c r="V41" s="1"/>
      <c r="X41" s="30"/>
    </row>
    <row r="42" spans="1:24" outlineLevel="3">
      <c r="A42" s="1"/>
      <c r="B42" s="42" t="s">
        <v>23</v>
      </c>
      <c r="C42" s="43" t="s">
        <v>24</v>
      </c>
      <c r="D42" s="33"/>
      <c r="E42" s="44" t="s">
        <v>25</v>
      </c>
      <c r="F42" s="1"/>
      <c r="G42" s="12"/>
      <c r="H42" s="30"/>
      <c r="J42" s="9"/>
      <c r="K42" s="17"/>
      <c r="L42" s="9"/>
      <c r="M42" s="17"/>
      <c r="N42" s="12"/>
      <c r="O42" s="30"/>
      <c r="Q42" s="1"/>
      <c r="R42" s="1"/>
      <c r="S42" s="1"/>
      <c r="T42" s="1"/>
      <c r="U42" s="1"/>
      <c r="V42" s="1"/>
      <c r="X42" s="30"/>
    </row>
    <row r="43" spans="1:24" outlineLevel="3">
      <c r="A43" s="1"/>
      <c r="B43" s="42" t="s">
        <v>26</v>
      </c>
      <c r="C43" s="43" t="s">
        <v>24</v>
      </c>
      <c r="D43" s="33"/>
      <c r="E43" s="44" t="s">
        <v>27</v>
      </c>
      <c r="F43" s="1"/>
      <c r="G43" s="12"/>
      <c r="H43" s="30"/>
      <c r="J43" s="9"/>
      <c r="K43" s="17"/>
      <c r="L43" s="9"/>
      <c r="M43" s="17"/>
      <c r="N43" s="12"/>
      <c r="O43" s="30"/>
      <c r="Q43" s="1"/>
      <c r="R43" s="1"/>
      <c r="S43" s="1"/>
      <c r="T43" s="1"/>
      <c r="U43" s="1"/>
      <c r="V43" s="1"/>
      <c r="X43" s="30"/>
    </row>
    <row r="44" spans="1:24" outlineLevel="2">
      <c r="A44" s="1"/>
      <c r="B44" s="1" t="s">
        <v>33</v>
      </c>
      <c r="C44" s="8" t="s">
        <v>39</v>
      </c>
      <c r="D44" s="33">
        <v>46360</v>
      </c>
      <c r="E44" s="8" t="s">
        <v>20</v>
      </c>
      <c r="F44" s="8"/>
      <c r="H44" s="30"/>
      <c r="J44" s="9">
        <v>0.01</v>
      </c>
      <c r="K44" s="17">
        <v>1</v>
      </c>
      <c r="L44" s="9">
        <f>IF(M44=1,J44,0)</f>
        <v>0</v>
      </c>
      <c r="M44" s="17"/>
      <c r="N44" s="12"/>
      <c r="O44" s="30"/>
      <c r="Q44" s="1" t="s">
        <v>20</v>
      </c>
      <c r="R44" s="1" t="s">
        <v>52</v>
      </c>
      <c r="S44" s="1" t="s">
        <v>53</v>
      </c>
      <c r="T44" s="1"/>
      <c r="U44" s="1"/>
      <c r="V44" s="1"/>
      <c r="X44" s="30"/>
    </row>
    <row r="45" spans="1:24" outlineLevel="3">
      <c r="A45" s="1"/>
      <c r="B45" s="42" t="s">
        <v>23</v>
      </c>
      <c r="C45" s="43" t="s">
        <v>24</v>
      </c>
      <c r="D45" s="33"/>
      <c r="E45" s="44" t="s">
        <v>25</v>
      </c>
      <c r="F45" s="1"/>
      <c r="G45" s="12"/>
      <c r="H45" s="30"/>
      <c r="J45" s="9"/>
      <c r="K45" s="17"/>
      <c r="L45" s="9"/>
      <c r="M45" s="17"/>
      <c r="N45" s="12"/>
      <c r="O45" s="30"/>
      <c r="Q45" s="1"/>
      <c r="R45" s="1"/>
      <c r="S45" s="1"/>
      <c r="T45" s="1"/>
      <c r="U45" s="1"/>
      <c r="V45" s="1"/>
      <c r="X45" s="30"/>
    </row>
    <row r="46" spans="1:24" outlineLevel="3">
      <c r="A46" s="1"/>
      <c r="B46" s="42" t="s">
        <v>26</v>
      </c>
      <c r="C46" s="43" t="s">
        <v>24</v>
      </c>
      <c r="D46" s="33"/>
      <c r="E46" s="44" t="s">
        <v>27</v>
      </c>
      <c r="F46" s="1"/>
      <c r="G46" s="12"/>
      <c r="H46" s="30"/>
      <c r="J46" s="9"/>
      <c r="K46" s="17"/>
      <c r="L46" s="9"/>
      <c r="M46" s="17"/>
      <c r="N46" s="12"/>
      <c r="O46" s="30"/>
      <c r="Q46" s="1"/>
      <c r="R46" s="1"/>
      <c r="S46" s="1"/>
      <c r="T46" s="1"/>
      <c r="U46" s="1"/>
      <c r="V46" s="1"/>
      <c r="X46" s="30"/>
    </row>
    <row r="47" spans="1:24" ht="15">
      <c r="A47" s="1"/>
      <c r="B47" s="5" t="s">
        <v>54</v>
      </c>
      <c r="C47" s="22" t="s">
        <v>34</v>
      </c>
      <c r="D47" s="37"/>
      <c r="E47" s="5"/>
      <c r="F47" s="5"/>
      <c r="H47" s="30"/>
      <c r="J47" s="26">
        <f>SUBTOTAL(9,J48:J49)</f>
        <v>1.6141000000000003</v>
      </c>
      <c r="K47" s="27">
        <f>SUBTOTAL(9,K48:K49)</f>
        <v>1</v>
      </c>
      <c r="L47" s="26">
        <f>SUBTOTAL(9,L48:L49)</f>
        <v>0</v>
      </c>
      <c r="M47" s="27">
        <f>SUBTOTAL(9,M48:M49)</f>
        <v>0</v>
      </c>
      <c r="N47" s="12"/>
      <c r="O47" s="30"/>
      <c r="Q47" s="5"/>
      <c r="R47" s="5"/>
      <c r="S47" s="5"/>
      <c r="T47" s="5"/>
      <c r="U47" s="5"/>
      <c r="V47" s="5"/>
      <c r="W47" s="12"/>
      <c r="X47" s="30"/>
    </row>
    <row r="48" spans="1:24" outlineLevel="1">
      <c r="A48" s="1"/>
      <c r="B48" s="13" t="s">
        <v>28</v>
      </c>
      <c r="C48" s="14" t="s">
        <v>19</v>
      </c>
      <c r="D48" s="38"/>
      <c r="E48" s="13"/>
      <c r="F48" s="13"/>
      <c r="H48" s="30"/>
      <c r="J48" s="24">
        <f>SUBTOTAL(9,J49)</f>
        <v>1.6141000000000003</v>
      </c>
      <c r="K48" s="25">
        <f>SUBTOTAL(9,K49)</f>
        <v>1</v>
      </c>
      <c r="L48" s="24">
        <f>SUBTOTAL(9,L49)</f>
        <v>0</v>
      </c>
      <c r="M48" s="25">
        <f>SUBTOTAL(9,M49)</f>
        <v>0</v>
      </c>
      <c r="N48" s="12"/>
      <c r="O48" s="30"/>
      <c r="Q48" s="13"/>
      <c r="R48" s="13"/>
      <c r="S48" s="13"/>
      <c r="T48" s="13"/>
      <c r="U48" s="13"/>
      <c r="V48" s="13"/>
      <c r="W48" s="12"/>
      <c r="X48" s="30"/>
    </row>
    <row r="49" spans="1:28" outlineLevel="2">
      <c r="A49" s="1"/>
      <c r="B49" s="1" t="s">
        <v>54</v>
      </c>
      <c r="C49" s="8" t="s">
        <v>19</v>
      </c>
      <c r="D49" s="33">
        <v>46326</v>
      </c>
      <c r="E49" s="1" t="s">
        <v>36</v>
      </c>
      <c r="F49" s="1"/>
      <c r="H49" s="30"/>
      <c r="J49" s="9">
        <v>1.6141000000000003</v>
      </c>
      <c r="K49" s="17">
        <v>1</v>
      </c>
      <c r="L49" s="9">
        <f>IF(M49=1,J49,0)</f>
        <v>0</v>
      </c>
      <c r="M49" s="17"/>
      <c r="N49" s="12"/>
      <c r="O49" s="30"/>
      <c r="Q49" s="1" t="s">
        <v>36</v>
      </c>
      <c r="R49" s="1" t="s">
        <v>36</v>
      </c>
      <c r="S49" s="1" t="s">
        <v>55</v>
      </c>
      <c r="T49" s="1" t="s">
        <v>56</v>
      </c>
      <c r="U49" s="1"/>
      <c r="V49" s="1"/>
      <c r="W49" s="12"/>
      <c r="X49" s="30"/>
    </row>
    <row r="50" spans="1:28" outlineLevel="3">
      <c r="A50" s="1"/>
      <c r="B50" s="42" t="s">
        <v>23</v>
      </c>
      <c r="C50" s="43" t="s">
        <v>24</v>
      </c>
      <c r="D50" s="33"/>
      <c r="E50" s="44" t="s">
        <v>25</v>
      </c>
      <c r="F50" s="1"/>
      <c r="G50" s="12"/>
      <c r="H50" s="30"/>
      <c r="J50" s="9"/>
      <c r="K50" s="17"/>
      <c r="L50" s="9"/>
      <c r="M50" s="17"/>
      <c r="N50" s="12"/>
      <c r="O50" s="30"/>
      <c r="Q50" s="1"/>
      <c r="R50" s="1"/>
      <c r="S50" s="1"/>
      <c r="T50" s="1"/>
      <c r="U50" s="1"/>
      <c r="V50" s="1"/>
      <c r="X50" s="30"/>
    </row>
    <row r="51" spans="1:28" outlineLevel="3">
      <c r="A51" s="1"/>
      <c r="B51" s="42" t="s">
        <v>26</v>
      </c>
      <c r="C51" s="43" t="s">
        <v>24</v>
      </c>
      <c r="D51" s="33"/>
      <c r="E51" s="44" t="s">
        <v>27</v>
      </c>
      <c r="F51" s="1"/>
      <c r="G51" s="12"/>
      <c r="H51" s="30"/>
      <c r="J51" s="9"/>
      <c r="K51" s="17"/>
      <c r="L51" s="9"/>
      <c r="M51" s="17"/>
      <c r="N51" s="12"/>
      <c r="O51" s="30"/>
      <c r="Q51" s="1"/>
      <c r="R51" s="1"/>
      <c r="S51" s="1"/>
      <c r="T51" s="1"/>
      <c r="U51" s="1"/>
      <c r="V51" s="1"/>
      <c r="X51" s="30"/>
    </row>
    <row r="52" spans="1:28" ht="15">
      <c r="A52" s="1"/>
      <c r="B52" s="5" t="s">
        <v>57</v>
      </c>
      <c r="C52" s="22" t="s">
        <v>34</v>
      </c>
      <c r="D52" s="37"/>
      <c r="E52" s="5"/>
      <c r="F52" s="5"/>
      <c r="H52" s="30"/>
      <c r="J52" s="26">
        <f>SUBTOTAL(9,J53:J54)</f>
        <v>5.9650000000000007</v>
      </c>
      <c r="K52" s="27">
        <f>SUBTOTAL(9,K53:K54)</f>
        <v>1</v>
      </c>
      <c r="L52" s="26">
        <f>SUBTOTAL(9,L53:L54)</f>
        <v>0</v>
      </c>
      <c r="M52" s="27">
        <f>SUBTOTAL(9,M53:M54)</f>
        <v>0</v>
      </c>
      <c r="N52" s="12"/>
      <c r="O52" s="30"/>
      <c r="Q52" s="5"/>
      <c r="R52" s="5"/>
      <c r="S52" s="5"/>
      <c r="T52" s="5"/>
      <c r="U52" s="5"/>
      <c r="V52" s="5"/>
      <c r="W52" s="12"/>
      <c r="X52" s="30"/>
    </row>
    <row r="53" spans="1:28" outlineLevel="1">
      <c r="A53" s="1"/>
      <c r="B53" s="13" t="s">
        <v>28</v>
      </c>
      <c r="C53" s="14" t="s">
        <v>19</v>
      </c>
      <c r="D53" s="38"/>
      <c r="E53" s="13"/>
      <c r="F53" s="13"/>
      <c r="H53" s="30"/>
      <c r="J53" s="24">
        <f>SUBTOTAL(9,J54)</f>
        <v>5.9650000000000007</v>
      </c>
      <c r="K53" s="25">
        <f>SUBTOTAL(9,K54)</f>
        <v>1</v>
      </c>
      <c r="L53" s="24">
        <f>SUBTOTAL(9,L54)</f>
        <v>0</v>
      </c>
      <c r="M53" s="25">
        <f>SUBTOTAL(9,M54)</f>
        <v>0</v>
      </c>
      <c r="N53" s="12"/>
      <c r="O53" s="30"/>
      <c r="Q53" s="13"/>
      <c r="R53" s="13"/>
      <c r="S53" s="13"/>
      <c r="T53" s="13"/>
      <c r="U53" s="13"/>
      <c r="V53" s="13"/>
      <c r="W53" s="12"/>
      <c r="X53" s="30"/>
    </row>
    <row r="54" spans="1:28" outlineLevel="2">
      <c r="A54" s="1"/>
      <c r="B54" s="1" t="s">
        <v>58</v>
      </c>
      <c r="C54" s="8" t="s">
        <v>59</v>
      </c>
      <c r="D54" s="33">
        <v>46326</v>
      </c>
      <c r="E54" s="8" t="s">
        <v>60</v>
      </c>
      <c r="F54" s="8"/>
      <c r="H54" s="30"/>
      <c r="J54" s="9">
        <v>5.9650000000000007</v>
      </c>
      <c r="K54" s="17">
        <v>1</v>
      </c>
      <c r="L54" s="9">
        <f>IF(M54=1,J54,0)</f>
        <v>0</v>
      </c>
      <c r="M54" s="17"/>
      <c r="N54" s="12"/>
      <c r="O54" s="30"/>
      <c r="Q54" s="1" t="s">
        <v>60</v>
      </c>
      <c r="R54" s="1" t="s">
        <v>61</v>
      </c>
      <c r="S54" s="1" t="s">
        <v>62</v>
      </c>
      <c r="T54" s="1"/>
      <c r="U54" s="1"/>
      <c r="V54" s="1"/>
      <c r="X54" s="30"/>
    </row>
    <row r="55" spans="1:28" outlineLevel="3">
      <c r="A55" s="1"/>
      <c r="B55" s="42" t="s">
        <v>23</v>
      </c>
      <c r="C55" s="43" t="s">
        <v>24</v>
      </c>
      <c r="D55" s="33"/>
      <c r="E55" s="44" t="s">
        <v>25</v>
      </c>
      <c r="F55" s="1"/>
      <c r="G55" s="12"/>
      <c r="H55" s="30"/>
      <c r="J55" s="9"/>
      <c r="K55" s="17"/>
      <c r="L55" s="9"/>
      <c r="M55" s="17"/>
      <c r="N55" s="12"/>
      <c r="O55" s="30"/>
      <c r="Q55" s="1"/>
      <c r="R55" s="1"/>
      <c r="S55" s="1"/>
      <c r="T55" s="1"/>
      <c r="U55" s="1"/>
      <c r="V55" s="1"/>
      <c r="X55" s="30"/>
    </row>
    <row r="56" spans="1:28" outlineLevel="3">
      <c r="A56" s="1"/>
      <c r="B56" s="42" t="s">
        <v>26</v>
      </c>
      <c r="C56" s="43" t="s">
        <v>24</v>
      </c>
      <c r="D56" s="33"/>
      <c r="E56" s="44" t="s">
        <v>27</v>
      </c>
      <c r="F56" s="1"/>
      <c r="G56" s="12"/>
      <c r="H56" s="30"/>
      <c r="J56" s="9"/>
      <c r="K56" s="17"/>
      <c r="L56" s="9"/>
      <c r="M56" s="17"/>
      <c r="N56" s="12"/>
      <c r="O56" s="30"/>
      <c r="Q56" s="1"/>
      <c r="R56" s="1"/>
      <c r="S56" s="1"/>
      <c r="T56" s="1"/>
      <c r="U56" s="1"/>
      <c r="V56" s="1"/>
      <c r="X56" s="30"/>
    </row>
    <row r="57" spans="1:28" ht="15">
      <c r="A57" s="1"/>
      <c r="B57" s="5" t="s">
        <v>63</v>
      </c>
      <c r="C57" s="22" t="s">
        <v>34</v>
      </c>
      <c r="D57" s="37"/>
      <c r="E57" s="5"/>
      <c r="F57" s="5"/>
      <c r="H57" s="30"/>
      <c r="J57" s="26">
        <f>SUBTOTAL(9,J58:J59)</f>
        <v>18.399999999999999</v>
      </c>
      <c r="K57" s="27">
        <f>SUBTOTAL(9,K58:K59)</f>
        <v>1</v>
      </c>
      <c r="L57" s="26">
        <f>SUBTOTAL(9,L58:L59)</f>
        <v>0</v>
      </c>
      <c r="M57" s="27">
        <f>SUBTOTAL(9,M58:M59)</f>
        <v>0</v>
      </c>
      <c r="N57" s="12"/>
      <c r="O57" s="30"/>
      <c r="Q57" s="5"/>
      <c r="R57" s="5"/>
      <c r="S57" s="5"/>
      <c r="T57" s="5"/>
      <c r="U57" s="5"/>
      <c r="V57" s="5"/>
      <c r="W57" s="12"/>
      <c r="X57" s="30"/>
    </row>
    <row r="58" spans="1:28" outlineLevel="1">
      <c r="A58" s="1"/>
      <c r="B58" s="13" t="s">
        <v>28</v>
      </c>
      <c r="C58" s="14" t="s">
        <v>19</v>
      </c>
      <c r="D58" s="38"/>
      <c r="E58" s="13"/>
      <c r="F58" s="13"/>
      <c r="H58" s="30"/>
      <c r="J58" s="24">
        <f>SUBTOTAL(9,J59)</f>
        <v>18.399999999999999</v>
      </c>
      <c r="K58" s="25">
        <f>SUBTOTAL(9,K59)</f>
        <v>1</v>
      </c>
      <c r="L58" s="24">
        <f>SUBTOTAL(9,L59)</f>
        <v>0</v>
      </c>
      <c r="M58" s="25">
        <f>SUBTOTAL(9,M59)</f>
        <v>0</v>
      </c>
      <c r="N58" s="12"/>
      <c r="O58" s="30"/>
      <c r="Q58" s="13"/>
      <c r="R58" s="13"/>
      <c r="S58" s="13"/>
      <c r="T58" s="13"/>
      <c r="U58" s="13"/>
      <c r="V58" s="13"/>
      <c r="W58" s="12"/>
      <c r="X58" s="30"/>
    </row>
    <row r="59" spans="1:28" outlineLevel="2">
      <c r="A59" s="1"/>
      <c r="B59" s="1" t="s">
        <v>63</v>
      </c>
      <c r="C59" s="8" t="s">
        <v>19</v>
      </c>
      <c r="D59" s="33">
        <v>46326</v>
      </c>
      <c r="E59" s="8" t="s">
        <v>60</v>
      </c>
      <c r="F59" s="8"/>
      <c r="H59" s="30"/>
      <c r="J59" s="9">
        <v>18.399999999999999</v>
      </c>
      <c r="K59" s="17">
        <v>1</v>
      </c>
      <c r="L59" s="9">
        <f>IF(M59=1,J59,0)</f>
        <v>0</v>
      </c>
      <c r="M59" s="17"/>
      <c r="N59" s="12"/>
      <c r="O59" s="30"/>
      <c r="Q59" s="1" t="s">
        <v>60</v>
      </c>
      <c r="R59" s="1" t="s">
        <v>64</v>
      </c>
      <c r="S59" s="1"/>
      <c r="T59" s="1"/>
      <c r="U59" s="1"/>
      <c r="V59" s="1"/>
      <c r="X59" s="30"/>
    </row>
    <row r="60" spans="1:28" s="28" customFormat="1" outlineLevel="3">
      <c r="A60" s="1"/>
      <c r="B60" s="42" t="s">
        <v>23</v>
      </c>
      <c r="C60" s="43" t="s">
        <v>24</v>
      </c>
      <c r="D60" s="33"/>
      <c r="E60" s="44" t="s">
        <v>25</v>
      </c>
      <c r="F60" s="1"/>
      <c r="G60" s="12"/>
      <c r="H60" s="30"/>
      <c r="I60" s="2"/>
      <c r="J60" s="9"/>
      <c r="K60" s="17"/>
      <c r="L60" s="9"/>
      <c r="M60" s="17"/>
      <c r="N60" s="12"/>
      <c r="O60" s="30"/>
      <c r="P60" s="2"/>
      <c r="Q60" s="1"/>
      <c r="R60" s="1"/>
      <c r="S60" s="1"/>
      <c r="T60" s="1"/>
      <c r="U60" s="1"/>
      <c r="V60" s="1"/>
      <c r="W60" s="2"/>
      <c r="X60" s="30"/>
      <c r="Y60" s="2"/>
      <c r="Z60" s="2"/>
      <c r="AA60" s="2"/>
      <c r="AB60" s="2"/>
    </row>
    <row r="61" spans="1:28" s="28" customFormat="1" outlineLevel="3">
      <c r="A61" s="1"/>
      <c r="B61" s="42" t="s">
        <v>26</v>
      </c>
      <c r="C61" s="43" t="s">
        <v>24</v>
      </c>
      <c r="D61" s="33"/>
      <c r="E61" s="44" t="s">
        <v>27</v>
      </c>
      <c r="F61" s="1"/>
      <c r="G61" s="12"/>
      <c r="H61" s="30"/>
      <c r="I61" s="2"/>
      <c r="J61" s="9"/>
      <c r="K61" s="17"/>
      <c r="L61" s="9"/>
      <c r="M61" s="17"/>
      <c r="N61" s="12"/>
      <c r="O61" s="30"/>
      <c r="P61" s="2"/>
      <c r="Q61" s="1"/>
      <c r="R61" s="1"/>
      <c r="S61" s="1"/>
      <c r="T61" s="1"/>
      <c r="U61" s="1"/>
      <c r="V61" s="1"/>
      <c r="W61" s="2"/>
      <c r="X61" s="30"/>
      <c r="Y61" s="2"/>
      <c r="Z61" s="2"/>
      <c r="AA61" s="2"/>
      <c r="AB61" s="2"/>
    </row>
    <row r="62" spans="1:28" ht="15">
      <c r="A62" s="1"/>
      <c r="B62" s="5" t="s">
        <v>65</v>
      </c>
      <c r="C62" s="22" t="s">
        <v>34</v>
      </c>
      <c r="D62" s="37"/>
      <c r="E62" s="5"/>
      <c r="F62" s="5"/>
      <c r="H62" s="30"/>
      <c r="J62" s="26">
        <f>SUBTOTAL(9,J63:J64)</f>
        <v>0</v>
      </c>
      <c r="K62" s="27">
        <f>SUBTOTAL(9,K63:K64)</f>
        <v>1</v>
      </c>
      <c r="L62" s="26">
        <f>SUBTOTAL(9,L63:L64)</f>
        <v>0</v>
      </c>
      <c r="M62" s="27">
        <f>SUBTOTAL(9,M63:M64)</f>
        <v>0</v>
      </c>
      <c r="N62" s="12"/>
      <c r="O62" s="30"/>
      <c r="Q62" s="5"/>
      <c r="R62" s="5"/>
      <c r="S62" s="5"/>
      <c r="T62" s="5"/>
      <c r="U62" s="5"/>
      <c r="V62" s="5"/>
      <c r="W62" s="12"/>
      <c r="X62" s="30"/>
    </row>
    <row r="63" spans="1:28" outlineLevel="1">
      <c r="A63" s="1"/>
      <c r="B63" s="13" t="s">
        <v>28</v>
      </c>
      <c r="C63" s="14" t="s">
        <v>19</v>
      </c>
      <c r="D63" s="38"/>
      <c r="E63" s="13"/>
      <c r="F63" s="13"/>
      <c r="H63" s="30"/>
      <c r="J63" s="24">
        <f>SUBTOTAL(9,J64)</f>
        <v>0</v>
      </c>
      <c r="K63" s="25">
        <f>SUBTOTAL(9,K64)</f>
        <v>1</v>
      </c>
      <c r="L63" s="24">
        <f>SUBTOTAL(9,L64)</f>
        <v>0</v>
      </c>
      <c r="M63" s="25">
        <f>SUBTOTAL(9,M64)</f>
        <v>0</v>
      </c>
      <c r="N63" s="12"/>
      <c r="O63" s="30"/>
      <c r="Q63" s="13"/>
      <c r="R63" s="13"/>
      <c r="S63" s="13"/>
      <c r="T63" s="13"/>
      <c r="U63" s="13"/>
      <c r="V63" s="13"/>
      <c r="W63" s="12"/>
      <c r="X63" s="30"/>
    </row>
    <row r="64" spans="1:28" outlineLevel="2">
      <c r="A64" s="1"/>
      <c r="B64" s="1" t="s">
        <v>65</v>
      </c>
      <c r="C64" s="8" t="s">
        <v>19</v>
      </c>
      <c r="D64" s="33">
        <v>46356</v>
      </c>
      <c r="E64" s="8" t="s">
        <v>66</v>
      </c>
      <c r="F64" s="8"/>
      <c r="H64" s="30"/>
      <c r="J64" s="9"/>
      <c r="K64" s="17">
        <v>1</v>
      </c>
      <c r="L64" s="9">
        <f>IF(M64=1,J64,0)</f>
        <v>0</v>
      </c>
      <c r="M64" s="17"/>
      <c r="N64" s="12"/>
      <c r="O64" s="30"/>
      <c r="Q64" s="1" t="s">
        <v>66</v>
      </c>
      <c r="R64" s="1" t="s">
        <v>67</v>
      </c>
      <c r="S64" s="1"/>
      <c r="T64" s="1"/>
      <c r="U64" s="1"/>
      <c r="V64" s="1"/>
      <c r="X64" s="30"/>
    </row>
    <row r="65" spans="1:27" outlineLevel="2">
      <c r="A65" s="1"/>
      <c r="B65" s="42" t="s">
        <v>23</v>
      </c>
      <c r="C65" s="43" t="s">
        <v>24</v>
      </c>
      <c r="D65" s="33"/>
      <c r="E65" s="44" t="s">
        <v>25</v>
      </c>
      <c r="F65" s="1"/>
      <c r="G65" s="12"/>
      <c r="H65" s="30"/>
      <c r="J65" s="9"/>
      <c r="K65" s="17"/>
      <c r="L65" s="9"/>
      <c r="M65" s="17"/>
      <c r="N65" s="12"/>
      <c r="O65" s="30"/>
      <c r="Q65" s="1"/>
      <c r="R65" s="1"/>
      <c r="S65" s="1"/>
      <c r="T65" s="1"/>
      <c r="U65" s="1"/>
      <c r="V65" s="1"/>
      <c r="X65" s="30"/>
    </row>
    <row r="66" spans="1:27" outlineLevel="2">
      <c r="A66" s="1"/>
      <c r="B66" s="42" t="s">
        <v>26</v>
      </c>
      <c r="C66" s="43" t="s">
        <v>24</v>
      </c>
      <c r="D66" s="33"/>
      <c r="E66" s="44" t="s">
        <v>27</v>
      </c>
      <c r="F66" s="1"/>
      <c r="G66" s="12"/>
      <c r="H66" s="30"/>
      <c r="J66" s="9"/>
      <c r="K66" s="17"/>
      <c r="L66" s="9"/>
      <c r="M66" s="17"/>
      <c r="N66" s="12"/>
      <c r="O66" s="30"/>
      <c r="Q66" s="1"/>
      <c r="R66" s="1"/>
      <c r="S66" s="1"/>
      <c r="T66" s="1"/>
      <c r="U66" s="1"/>
      <c r="V66" s="1"/>
      <c r="X66" s="30"/>
    </row>
    <row r="67" spans="1:27" ht="15">
      <c r="A67" s="1"/>
      <c r="B67" s="5" t="s">
        <v>68</v>
      </c>
      <c r="C67" s="22"/>
      <c r="D67" s="37"/>
      <c r="E67" s="22"/>
      <c r="F67" s="22"/>
      <c r="H67" s="30"/>
      <c r="J67" s="26">
        <f>SUBTOTAL(9,J68:J74)</f>
        <v>0.85499999999999998</v>
      </c>
      <c r="K67" s="26">
        <f>SUBTOTAL(9,K68:K71)</f>
        <v>1</v>
      </c>
      <c r="L67" s="26">
        <f>SUBTOTAL(9,L68:L71)</f>
        <v>0</v>
      </c>
      <c r="M67" s="26">
        <f>SUBTOTAL(9,M68:M74)</f>
        <v>0</v>
      </c>
      <c r="N67" s="12"/>
      <c r="O67" s="30"/>
      <c r="Q67" s="5"/>
      <c r="R67" s="5"/>
      <c r="S67" s="5"/>
      <c r="T67" s="5"/>
      <c r="U67" s="5"/>
      <c r="V67" s="5"/>
      <c r="X67" s="30"/>
      <c r="Z67" s="10"/>
      <c r="AA67" s="10"/>
    </row>
    <row r="68" spans="1:27" outlineLevel="1">
      <c r="A68" s="1"/>
      <c r="B68" s="13" t="s">
        <v>17</v>
      </c>
      <c r="C68" s="14" t="s">
        <v>18</v>
      </c>
      <c r="D68" s="38"/>
      <c r="E68" s="13"/>
      <c r="F68" s="13"/>
      <c r="H68" s="30"/>
      <c r="J68" s="40">
        <f>SUBTOTAL(9,J69:J71)</f>
        <v>0.85499999999999998</v>
      </c>
      <c r="K68" s="41">
        <f>SUBTOTAL(9,K69:K71)</f>
        <v>1</v>
      </c>
      <c r="L68" s="40">
        <f>SUBTOTAL(9,L69:L71)</f>
        <v>0</v>
      </c>
      <c r="M68" s="41">
        <f>SUBTOTAL(9,M69:M71)</f>
        <v>0</v>
      </c>
      <c r="N68" s="12"/>
      <c r="O68" s="30"/>
      <c r="Q68" s="13"/>
      <c r="R68" s="13"/>
      <c r="S68" s="13"/>
      <c r="T68" s="13"/>
      <c r="U68" s="13"/>
      <c r="V68" s="13"/>
      <c r="W68" s="12"/>
      <c r="X68" s="30"/>
    </row>
    <row r="69" spans="1:27" outlineLevel="2">
      <c r="A69" s="1"/>
      <c r="B69" s="1" t="s">
        <v>68</v>
      </c>
      <c r="C69" s="8" t="s">
        <v>19</v>
      </c>
      <c r="D69" s="33">
        <v>46310</v>
      </c>
      <c r="E69" s="8" t="s">
        <v>20</v>
      </c>
      <c r="F69" s="8"/>
      <c r="H69" s="30"/>
      <c r="J69" s="9">
        <v>0.85499999999999998</v>
      </c>
      <c r="K69" s="17">
        <v>1</v>
      </c>
      <c r="L69" s="9"/>
      <c r="M69" s="17"/>
      <c r="N69" s="12"/>
      <c r="O69" s="30"/>
      <c r="Q69" s="1" t="s">
        <v>20</v>
      </c>
      <c r="R69" s="1" t="s">
        <v>21</v>
      </c>
      <c r="S69" s="1" t="s">
        <v>69</v>
      </c>
      <c r="T69" s="1"/>
      <c r="U69" s="1"/>
      <c r="V69" s="1"/>
      <c r="X69" s="30"/>
    </row>
    <row r="70" spans="1:27" outlineLevel="2">
      <c r="A70" s="1"/>
      <c r="B70" s="42" t="s">
        <v>23</v>
      </c>
      <c r="C70" s="43" t="s">
        <v>24</v>
      </c>
      <c r="D70" s="33"/>
      <c r="E70" s="44" t="s">
        <v>25</v>
      </c>
      <c r="F70" s="1"/>
      <c r="G70" s="12"/>
      <c r="H70" s="30"/>
      <c r="J70" s="9"/>
      <c r="K70" s="17"/>
      <c r="L70" s="9"/>
      <c r="M70" s="17"/>
      <c r="N70" s="12"/>
      <c r="O70" s="30"/>
      <c r="Q70" s="1"/>
      <c r="R70" s="1"/>
      <c r="S70" s="1"/>
      <c r="T70" s="1"/>
      <c r="U70" s="1"/>
      <c r="V70" s="1"/>
      <c r="X70" s="30"/>
    </row>
    <row r="71" spans="1:27" outlineLevel="2">
      <c r="A71" s="1"/>
      <c r="B71" s="42" t="s">
        <v>26</v>
      </c>
      <c r="C71" s="43" t="s">
        <v>24</v>
      </c>
      <c r="D71" s="33"/>
      <c r="E71" s="44" t="s">
        <v>27</v>
      </c>
      <c r="F71" s="1"/>
      <c r="G71" s="12"/>
      <c r="H71" s="30"/>
      <c r="J71" s="9"/>
      <c r="K71" s="17"/>
      <c r="L71" s="9"/>
      <c r="M71" s="17"/>
      <c r="N71" s="12"/>
      <c r="O71" s="30"/>
      <c r="Q71" s="1"/>
      <c r="R71" s="1"/>
      <c r="S71" s="1"/>
      <c r="T71" s="1"/>
      <c r="U71" s="1"/>
      <c r="V71" s="1"/>
      <c r="X71" s="30"/>
    </row>
    <row r="72" spans="1:27" ht="15">
      <c r="A72" s="1"/>
      <c r="B72" s="5" t="s">
        <v>70</v>
      </c>
      <c r="C72" s="22"/>
      <c r="D72" s="37"/>
      <c r="E72" s="22"/>
      <c r="F72" s="22"/>
      <c r="H72" s="30"/>
      <c r="J72" s="26">
        <f>SUBTOTAL(9,J73:J109)</f>
        <v>0</v>
      </c>
      <c r="K72" s="26">
        <f>SUBTOTAL(9,K73:K109)</f>
        <v>12</v>
      </c>
      <c r="L72" s="26">
        <f>SUBTOTAL(9,L73:L109)</f>
        <v>0</v>
      </c>
      <c r="M72" s="26">
        <f>SUBTOTAL(9,M73:M109)</f>
        <v>0</v>
      </c>
      <c r="N72" s="12"/>
      <c r="O72" s="30"/>
      <c r="Q72" s="5"/>
      <c r="R72" s="5"/>
      <c r="S72" s="5"/>
      <c r="T72" s="5"/>
      <c r="U72" s="5"/>
      <c r="V72" s="5"/>
      <c r="X72" s="30"/>
      <c r="Z72" s="10"/>
      <c r="AA72" s="10"/>
    </row>
    <row r="73" spans="1:27" outlineLevel="1">
      <c r="A73" s="1"/>
      <c r="B73" s="13" t="s">
        <v>28</v>
      </c>
      <c r="C73" s="14" t="s">
        <v>19</v>
      </c>
      <c r="D73" s="38"/>
      <c r="E73" s="13"/>
      <c r="F73" s="13"/>
      <c r="H73" s="30"/>
      <c r="J73" s="41">
        <f>SUBTOTAL(9,J74:J83)</f>
        <v>0</v>
      </c>
      <c r="K73" s="41">
        <f>SUBTOTAL(9,K74:K83)</f>
        <v>4</v>
      </c>
      <c r="L73" s="41">
        <f>SUBTOTAL(9,L74:L83)</f>
        <v>0</v>
      </c>
      <c r="M73" s="41">
        <f>SUBTOTAL(9,M74:M83)</f>
        <v>0</v>
      </c>
      <c r="N73" s="12"/>
      <c r="O73" s="30"/>
      <c r="Q73" s="13"/>
      <c r="R73" s="13"/>
      <c r="S73" s="13"/>
      <c r="T73" s="13"/>
      <c r="U73" s="13"/>
      <c r="V73" s="13"/>
      <c r="W73" s="12"/>
      <c r="X73" s="30"/>
    </row>
    <row r="74" spans="1:27" outlineLevel="2">
      <c r="A74" s="1"/>
      <c r="B74" s="1" t="s">
        <v>70</v>
      </c>
      <c r="C74" s="8" t="s">
        <v>19</v>
      </c>
      <c r="D74" s="33">
        <v>46341</v>
      </c>
      <c r="E74" s="8" t="s">
        <v>36</v>
      </c>
      <c r="F74" s="8"/>
      <c r="H74" s="30"/>
      <c r="J74" s="8"/>
      <c r="K74" s="8">
        <v>1</v>
      </c>
      <c r="L74" s="8"/>
      <c r="M74" s="8"/>
      <c r="N74" s="12"/>
      <c r="O74" s="30"/>
      <c r="Q74" s="1" t="s">
        <v>36</v>
      </c>
      <c r="R74" s="1" t="s">
        <v>71</v>
      </c>
      <c r="S74" s="1"/>
      <c r="T74" s="1"/>
      <c r="U74" s="1"/>
      <c r="V74" s="1"/>
      <c r="X74" s="30"/>
    </row>
    <row r="75" spans="1:27" outlineLevel="3">
      <c r="A75" s="1"/>
      <c r="B75" s="42" t="s">
        <v>23</v>
      </c>
      <c r="C75" s="43" t="s">
        <v>24</v>
      </c>
      <c r="D75" s="33"/>
      <c r="E75" s="44" t="s">
        <v>25</v>
      </c>
      <c r="F75" s="1"/>
      <c r="G75" s="12"/>
      <c r="H75" s="30"/>
      <c r="J75" s="9"/>
      <c r="K75" s="17"/>
      <c r="L75" s="9"/>
      <c r="M75" s="17"/>
      <c r="N75" s="12"/>
      <c r="O75" s="30"/>
      <c r="Q75" s="1"/>
      <c r="R75" s="1"/>
      <c r="S75" s="1"/>
      <c r="T75" s="1"/>
      <c r="U75" s="1"/>
      <c r="V75" s="1"/>
      <c r="X75" s="30"/>
    </row>
    <row r="76" spans="1:27" outlineLevel="3">
      <c r="A76" s="1"/>
      <c r="B76" s="42" t="s">
        <v>26</v>
      </c>
      <c r="C76" s="43" t="s">
        <v>24</v>
      </c>
      <c r="D76" s="33"/>
      <c r="E76" s="44" t="s">
        <v>27</v>
      </c>
      <c r="F76" s="1"/>
      <c r="G76" s="12"/>
      <c r="H76" s="30"/>
      <c r="J76" s="9"/>
      <c r="K76" s="17"/>
      <c r="L76" s="9"/>
      <c r="M76" s="17"/>
      <c r="N76" s="12"/>
      <c r="O76" s="30"/>
      <c r="Q76" s="1"/>
      <c r="R76" s="1"/>
      <c r="S76" s="1"/>
      <c r="T76" s="1"/>
      <c r="U76" s="1"/>
      <c r="V76" s="1"/>
      <c r="X76" s="30"/>
    </row>
    <row r="77" spans="1:27" outlineLevel="2">
      <c r="B77" s="1" t="s">
        <v>70</v>
      </c>
      <c r="C77" s="8" t="s">
        <v>38</v>
      </c>
      <c r="D77" s="33">
        <v>46356</v>
      </c>
      <c r="E77" s="1" t="s">
        <v>36</v>
      </c>
      <c r="F77" s="1"/>
      <c r="H77" s="30"/>
      <c r="J77" s="8"/>
      <c r="K77" s="8">
        <v>1</v>
      </c>
      <c r="L77" s="8"/>
      <c r="M77" s="8"/>
      <c r="O77" s="30"/>
      <c r="Q77" s="1" t="s">
        <v>36</v>
      </c>
      <c r="R77" s="1" t="s">
        <v>71</v>
      </c>
      <c r="X77" s="30"/>
    </row>
    <row r="78" spans="1:27" outlineLevel="3">
      <c r="A78" s="1"/>
      <c r="B78" s="42" t="s">
        <v>23</v>
      </c>
      <c r="C78" s="43" t="s">
        <v>24</v>
      </c>
      <c r="D78" s="33"/>
      <c r="E78" s="44" t="s">
        <v>25</v>
      </c>
      <c r="F78" s="1"/>
      <c r="G78" s="12"/>
      <c r="H78" s="30"/>
      <c r="J78" s="9"/>
      <c r="K78" s="17"/>
      <c r="L78" s="9"/>
      <c r="M78" s="17"/>
      <c r="N78" s="12"/>
      <c r="O78" s="30"/>
      <c r="Q78" s="1"/>
      <c r="R78" s="1"/>
      <c r="S78" s="1"/>
      <c r="T78" s="1"/>
      <c r="U78" s="1"/>
      <c r="V78" s="1"/>
      <c r="X78" s="30"/>
    </row>
    <row r="79" spans="1:27" outlineLevel="3">
      <c r="A79" s="1"/>
      <c r="B79" s="42" t="s">
        <v>26</v>
      </c>
      <c r="C79" s="43" t="s">
        <v>24</v>
      </c>
      <c r="D79" s="33"/>
      <c r="E79" s="44" t="s">
        <v>27</v>
      </c>
      <c r="F79" s="1"/>
      <c r="G79" s="12"/>
      <c r="H79" s="30"/>
      <c r="J79" s="9"/>
      <c r="K79" s="17"/>
      <c r="L79" s="9"/>
      <c r="M79" s="17"/>
      <c r="N79" s="12"/>
      <c r="O79" s="30"/>
      <c r="Q79" s="1"/>
      <c r="R79" s="1"/>
      <c r="S79" s="1"/>
      <c r="T79" s="1"/>
      <c r="U79" s="1"/>
      <c r="V79" s="1"/>
      <c r="X79" s="30"/>
    </row>
    <row r="80" spans="1:27" outlineLevel="2">
      <c r="B80" s="1" t="s">
        <v>70</v>
      </c>
      <c r="C80" s="8" t="s">
        <v>72</v>
      </c>
      <c r="D80" s="33">
        <v>46371</v>
      </c>
      <c r="E80" s="1" t="s">
        <v>36</v>
      </c>
      <c r="F80" s="1"/>
      <c r="H80" s="30"/>
      <c r="J80" s="8"/>
      <c r="K80" s="8">
        <v>1</v>
      </c>
      <c r="L80" s="8"/>
      <c r="M80" s="8"/>
      <c r="O80" s="30"/>
      <c r="Q80" s="1" t="s">
        <v>36</v>
      </c>
      <c r="R80" s="1" t="s">
        <v>71</v>
      </c>
      <c r="X80" s="30"/>
    </row>
    <row r="81" spans="1:24" outlineLevel="3">
      <c r="A81" s="1"/>
      <c r="B81" s="42" t="s">
        <v>23</v>
      </c>
      <c r="C81" s="43" t="s">
        <v>24</v>
      </c>
      <c r="D81" s="33"/>
      <c r="E81" s="44" t="s">
        <v>25</v>
      </c>
      <c r="F81" s="1"/>
      <c r="G81" s="12"/>
      <c r="H81" s="30"/>
      <c r="J81" s="9"/>
      <c r="K81" s="17"/>
      <c r="L81" s="9"/>
      <c r="M81" s="17"/>
      <c r="N81" s="12"/>
      <c r="O81" s="30"/>
      <c r="Q81" s="1"/>
      <c r="R81" s="1"/>
      <c r="S81" s="1"/>
      <c r="T81" s="1"/>
      <c r="U81" s="1"/>
      <c r="V81" s="1"/>
      <c r="X81" s="30"/>
    </row>
    <row r="82" spans="1:24" outlineLevel="3">
      <c r="A82" s="1"/>
      <c r="B82" s="42" t="s">
        <v>26</v>
      </c>
      <c r="C82" s="43" t="s">
        <v>24</v>
      </c>
      <c r="D82" s="33"/>
      <c r="E82" s="44" t="s">
        <v>27</v>
      </c>
      <c r="F82" s="1"/>
      <c r="G82" s="12"/>
      <c r="H82" s="30"/>
      <c r="J82" s="9"/>
      <c r="K82" s="17"/>
      <c r="L82" s="9"/>
      <c r="M82" s="17"/>
      <c r="N82" s="12"/>
      <c r="O82" s="30"/>
      <c r="Q82" s="1"/>
      <c r="R82" s="1"/>
      <c r="S82" s="1"/>
      <c r="T82" s="1"/>
      <c r="U82" s="1"/>
      <c r="V82" s="1"/>
      <c r="X82" s="30"/>
    </row>
    <row r="83" spans="1:24" ht="13.9" customHeight="1" outlineLevel="2">
      <c r="B83" s="1" t="s">
        <v>70</v>
      </c>
      <c r="C83" s="8" t="s">
        <v>73</v>
      </c>
      <c r="D83" s="33">
        <v>46356</v>
      </c>
      <c r="E83" s="8" t="s">
        <v>36</v>
      </c>
      <c r="F83" s="8"/>
      <c r="H83" s="30"/>
      <c r="J83" s="8"/>
      <c r="K83" s="8">
        <v>1</v>
      </c>
      <c r="L83" s="8"/>
      <c r="M83" s="8"/>
      <c r="O83" s="30"/>
      <c r="Q83" s="1" t="s">
        <v>36</v>
      </c>
      <c r="R83" s="1" t="s">
        <v>71</v>
      </c>
      <c r="X83" s="30"/>
    </row>
    <row r="84" spans="1:24" outlineLevel="3">
      <c r="A84" s="1"/>
      <c r="B84" s="42" t="s">
        <v>23</v>
      </c>
      <c r="C84" s="43" t="s">
        <v>24</v>
      </c>
      <c r="D84" s="33"/>
      <c r="E84" s="44" t="s">
        <v>25</v>
      </c>
      <c r="F84" s="1"/>
      <c r="G84" s="12"/>
      <c r="H84" s="30"/>
      <c r="J84" s="9"/>
      <c r="K84" s="17"/>
      <c r="L84" s="9"/>
      <c r="M84" s="17"/>
      <c r="N84" s="12"/>
      <c r="O84" s="30"/>
      <c r="Q84" s="1"/>
      <c r="R84" s="1"/>
      <c r="S84" s="1"/>
      <c r="T84" s="1"/>
      <c r="U84" s="1"/>
      <c r="V84" s="1"/>
      <c r="X84" s="30"/>
    </row>
    <row r="85" spans="1:24" outlineLevel="3">
      <c r="A85" s="1"/>
      <c r="B85" s="42" t="s">
        <v>26</v>
      </c>
      <c r="C85" s="43" t="s">
        <v>24</v>
      </c>
      <c r="D85" s="33"/>
      <c r="E85" s="44" t="s">
        <v>27</v>
      </c>
      <c r="F85" s="1"/>
      <c r="G85" s="12"/>
      <c r="H85" s="30"/>
      <c r="J85" s="9"/>
      <c r="K85" s="17"/>
      <c r="L85" s="9"/>
      <c r="M85" s="17"/>
      <c r="N85" s="12"/>
      <c r="O85" s="30"/>
      <c r="Q85" s="1"/>
      <c r="R85" s="1"/>
      <c r="S85" s="1"/>
      <c r="T85" s="1"/>
      <c r="U85" s="1"/>
      <c r="V85" s="1"/>
      <c r="X85" s="30"/>
    </row>
    <row r="86" spans="1:24" outlineLevel="1">
      <c r="A86" s="1"/>
      <c r="B86" s="13" t="s">
        <v>41</v>
      </c>
      <c r="C86" s="14"/>
      <c r="D86" s="38"/>
      <c r="E86" s="13"/>
      <c r="F86" s="13"/>
      <c r="H86" s="30"/>
      <c r="J86" s="41">
        <f>SUBTOTAL(9,J87:J90)</f>
        <v>0</v>
      </c>
      <c r="K86" s="41">
        <f>SUBTOTAL(9,K87:K90)</f>
        <v>2</v>
      </c>
      <c r="L86" s="41">
        <f>SUBTOTAL(9,L87:L90)</f>
        <v>0</v>
      </c>
      <c r="M86" s="41">
        <f>SUBTOTAL(9,M87:M90)</f>
        <v>0</v>
      </c>
      <c r="N86" s="12"/>
      <c r="O86" s="30"/>
      <c r="Q86" s="13"/>
      <c r="R86" s="13"/>
      <c r="S86" s="13"/>
      <c r="T86" s="13"/>
      <c r="U86" s="13"/>
      <c r="V86" s="13"/>
      <c r="W86" s="12"/>
      <c r="X86" s="30"/>
    </row>
    <row r="87" spans="1:24" outlineLevel="2">
      <c r="B87" s="1" t="s">
        <v>70</v>
      </c>
      <c r="C87" s="8" t="s">
        <v>38</v>
      </c>
      <c r="D87" s="33">
        <v>46371</v>
      </c>
      <c r="E87" s="8" t="s">
        <v>42</v>
      </c>
      <c r="F87" s="8"/>
      <c r="H87" s="30"/>
      <c r="J87" s="8"/>
      <c r="K87" s="8">
        <v>1</v>
      </c>
      <c r="L87" s="8"/>
      <c r="M87" s="8"/>
      <c r="O87" s="30"/>
      <c r="Q87" s="8" t="s">
        <v>42</v>
      </c>
      <c r="R87" s="2" t="s">
        <v>74</v>
      </c>
      <c r="S87" s="2" t="s">
        <v>75</v>
      </c>
      <c r="X87" s="30"/>
    </row>
    <row r="88" spans="1:24" outlineLevel="3">
      <c r="A88" s="1"/>
      <c r="B88" s="42" t="s">
        <v>23</v>
      </c>
      <c r="C88" s="43" t="s">
        <v>24</v>
      </c>
      <c r="D88" s="33"/>
      <c r="E88" s="44" t="s">
        <v>25</v>
      </c>
      <c r="F88" s="1"/>
      <c r="G88" s="12"/>
      <c r="H88" s="30"/>
      <c r="J88" s="9"/>
      <c r="K88" s="17"/>
      <c r="L88" s="9"/>
      <c r="M88" s="17"/>
      <c r="N88" s="12"/>
      <c r="O88" s="30"/>
      <c r="Q88" s="1"/>
      <c r="R88" s="1"/>
      <c r="S88" s="1"/>
      <c r="T88" s="1"/>
      <c r="U88" s="1"/>
      <c r="V88" s="1"/>
      <c r="X88" s="30"/>
    </row>
    <row r="89" spans="1:24" outlineLevel="3">
      <c r="A89" s="1"/>
      <c r="B89" s="42" t="s">
        <v>26</v>
      </c>
      <c r="C89" s="43" t="s">
        <v>24</v>
      </c>
      <c r="D89" s="33"/>
      <c r="E89" s="44" t="s">
        <v>27</v>
      </c>
      <c r="F89" s="1"/>
      <c r="G89" s="12"/>
      <c r="H89" s="30"/>
      <c r="J89" s="9"/>
      <c r="K89" s="17"/>
      <c r="L89" s="9"/>
      <c r="M89" s="17"/>
      <c r="N89" s="12"/>
      <c r="O89" s="30"/>
      <c r="Q89" s="1"/>
      <c r="R89" s="1"/>
      <c r="S89" s="1"/>
      <c r="T89" s="1"/>
      <c r="U89" s="1"/>
      <c r="V89" s="1"/>
      <c r="X89" s="30"/>
    </row>
    <row r="90" spans="1:24" outlineLevel="2">
      <c r="B90" s="1" t="s">
        <v>70</v>
      </c>
      <c r="C90" s="8" t="s">
        <v>72</v>
      </c>
      <c r="D90" s="33">
        <v>46386</v>
      </c>
      <c r="E90" s="8" t="s">
        <v>42</v>
      </c>
      <c r="F90" s="8"/>
      <c r="H90" s="30"/>
      <c r="J90" s="8"/>
      <c r="K90" s="8">
        <v>1</v>
      </c>
      <c r="L90" s="8"/>
      <c r="M90" s="8"/>
      <c r="O90" s="30"/>
      <c r="Q90" s="8" t="s">
        <v>42</v>
      </c>
      <c r="R90" s="2" t="s">
        <v>74</v>
      </c>
      <c r="S90" s="2" t="s">
        <v>75</v>
      </c>
    </row>
    <row r="91" spans="1:24" outlineLevel="3">
      <c r="A91" s="1"/>
      <c r="B91" s="42" t="s">
        <v>23</v>
      </c>
      <c r="C91" s="43" t="s">
        <v>24</v>
      </c>
      <c r="D91" s="33"/>
      <c r="E91" s="44" t="s">
        <v>25</v>
      </c>
      <c r="F91" s="1"/>
      <c r="G91" s="12"/>
      <c r="H91" s="30"/>
      <c r="J91" s="9"/>
      <c r="K91" s="17"/>
      <c r="L91" s="9"/>
      <c r="M91" s="17"/>
      <c r="N91" s="12"/>
      <c r="O91" s="30"/>
      <c r="Q91" s="1"/>
      <c r="R91" s="1"/>
      <c r="S91" s="1"/>
      <c r="T91" s="1"/>
      <c r="U91" s="1"/>
      <c r="V91" s="1"/>
      <c r="X91" s="30"/>
    </row>
    <row r="92" spans="1:24" outlineLevel="3">
      <c r="A92" s="1"/>
      <c r="B92" s="42" t="s">
        <v>26</v>
      </c>
      <c r="C92" s="43" t="s">
        <v>24</v>
      </c>
      <c r="D92" s="33"/>
      <c r="E92" s="44" t="s">
        <v>27</v>
      </c>
      <c r="F92" s="1"/>
      <c r="G92" s="12"/>
      <c r="H92" s="30"/>
      <c r="J92" s="9"/>
      <c r="K92" s="17"/>
      <c r="L92" s="9"/>
      <c r="M92" s="17"/>
      <c r="N92" s="12"/>
      <c r="O92" s="30"/>
      <c r="Q92" s="1"/>
      <c r="R92" s="1"/>
      <c r="S92" s="1"/>
      <c r="T92" s="1"/>
      <c r="U92" s="1"/>
      <c r="V92" s="1"/>
      <c r="X92" s="30"/>
    </row>
    <row r="93" spans="1:24" outlineLevel="1">
      <c r="A93" s="1"/>
      <c r="B93" s="13" t="s">
        <v>47</v>
      </c>
      <c r="C93" s="14"/>
      <c r="D93" s="38"/>
      <c r="E93" s="13"/>
      <c r="F93" s="13"/>
      <c r="H93" s="30"/>
      <c r="J93" s="41">
        <f>SUBTOTAL(9,J94:J100)</f>
        <v>0</v>
      </c>
      <c r="K93" s="41">
        <f>SUBTOTAL(9,K94:K100)</f>
        <v>3</v>
      </c>
      <c r="L93" s="41">
        <f>SUBTOTAL(9,L94:L100)</f>
        <v>0</v>
      </c>
      <c r="M93" s="41">
        <f>SUBTOTAL(9,M94:M100)</f>
        <v>0</v>
      </c>
      <c r="N93" s="12"/>
      <c r="O93" s="30"/>
      <c r="Q93" s="13"/>
      <c r="R93" s="13"/>
      <c r="S93" s="13"/>
      <c r="T93" s="13"/>
      <c r="U93" s="13"/>
      <c r="V93" s="13"/>
      <c r="W93" s="12"/>
      <c r="X93" s="30"/>
    </row>
    <row r="94" spans="1:24" ht="52.9" outlineLevel="2">
      <c r="B94" s="1" t="s">
        <v>70</v>
      </c>
      <c r="C94" s="8" t="s">
        <v>38</v>
      </c>
      <c r="D94" s="33">
        <v>46371</v>
      </c>
      <c r="E94" s="8" t="s">
        <v>20</v>
      </c>
      <c r="F94" s="8"/>
      <c r="H94" s="30"/>
      <c r="J94" s="8"/>
      <c r="K94" s="8">
        <v>1</v>
      </c>
      <c r="L94" s="8"/>
      <c r="M94" s="8"/>
      <c r="O94" s="30"/>
      <c r="Q94" s="1" t="s">
        <v>20</v>
      </c>
      <c r="R94" s="1" t="s">
        <v>48</v>
      </c>
      <c r="S94" s="8" t="s">
        <v>76</v>
      </c>
      <c r="X94" s="30"/>
    </row>
    <row r="95" spans="1:24" outlineLevel="3">
      <c r="A95" s="1"/>
      <c r="B95" s="42" t="s">
        <v>23</v>
      </c>
      <c r="C95" s="43" t="s">
        <v>24</v>
      </c>
      <c r="D95" s="33"/>
      <c r="E95" s="44" t="s">
        <v>25</v>
      </c>
      <c r="F95" s="1"/>
      <c r="G95" s="12"/>
      <c r="H95" s="30"/>
      <c r="J95" s="9"/>
      <c r="K95" s="17"/>
      <c r="L95" s="9"/>
      <c r="M95" s="17"/>
      <c r="N95" s="12"/>
      <c r="O95" s="30"/>
      <c r="Q95" s="1"/>
      <c r="R95" s="1"/>
      <c r="S95" s="1"/>
      <c r="T95" s="1"/>
      <c r="U95" s="1"/>
      <c r="V95" s="1"/>
      <c r="X95" s="30"/>
    </row>
    <row r="96" spans="1:24" outlineLevel="3">
      <c r="A96" s="1"/>
      <c r="B96" s="42" t="s">
        <v>26</v>
      </c>
      <c r="C96" s="43" t="s">
        <v>24</v>
      </c>
      <c r="D96" s="33"/>
      <c r="E96" s="44" t="s">
        <v>27</v>
      </c>
      <c r="F96" s="1"/>
      <c r="G96" s="12"/>
      <c r="H96" s="30"/>
      <c r="J96" s="9"/>
      <c r="K96" s="17"/>
      <c r="L96" s="9"/>
      <c r="M96" s="17"/>
      <c r="N96" s="12"/>
      <c r="O96" s="30"/>
      <c r="Q96" s="1"/>
      <c r="R96" s="1"/>
      <c r="S96" s="1"/>
      <c r="T96" s="1"/>
      <c r="U96" s="1"/>
      <c r="V96" s="1"/>
      <c r="X96" s="30"/>
    </row>
    <row r="97" spans="1:24" ht="52.9" outlineLevel="2">
      <c r="B97" s="1" t="s">
        <v>70</v>
      </c>
      <c r="C97" s="8" t="s">
        <v>72</v>
      </c>
      <c r="D97" s="33">
        <v>46386</v>
      </c>
      <c r="E97" s="8" t="s">
        <v>20</v>
      </c>
      <c r="F97" s="8"/>
      <c r="H97" s="30"/>
      <c r="J97" s="8"/>
      <c r="K97" s="8">
        <v>1</v>
      </c>
      <c r="L97" s="8"/>
      <c r="M97" s="8"/>
      <c r="O97" s="30"/>
      <c r="Q97" s="1" t="s">
        <v>20</v>
      </c>
      <c r="R97" s="1" t="s">
        <v>48</v>
      </c>
      <c r="S97" s="8" t="s">
        <v>76</v>
      </c>
    </row>
    <row r="98" spans="1:24" outlineLevel="3">
      <c r="A98" s="1"/>
      <c r="B98" s="42" t="s">
        <v>23</v>
      </c>
      <c r="C98" s="43" t="s">
        <v>24</v>
      </c>
      <c r="D98" s="33"/>
      <c r="E98" s="44" t="s">
        <v>25</v>
      </c>
      <c r="F98" s="1"/>
      <c r="G98" s="12"/>
      <c r="H98" s="30"/>
      <c r="J98" s="9"/>
      <c r="K98" s="17"/>
      <c r="L98" s="9"/>
      <c r="M98" s="17"/>
      <c r="N98" s="12"/>
      <c r="O98" s="30"/>
      <c r="Q98" s="1"/>
      <c r="R98" s="1"/>
      <c r="S98" s="1"/>
      <c r="T98" s="1"/>
      <c r="U98" s="1"/>
      <c r="V98" s="1"/>
      <c r="X98" s="30"/>
    </row>
    <row r="99" spans="1:24" outlineLevel="3">
      <c r="A99" s="1"/>
      <c r="B99" s="42" t="s">
        <v>26</v>
      </c>
      <c r="C99" s="43" t="s">
        <v>24</v>
      </c>
      <c r="D99" s="33"/>
      <c r="E99" s="44" t="s">
        <v>27</v>
      </c>
      <c r="F99" s="1"/>
      <c r="G99" s="12"/>
      <c r="H99" s="30"/>
      <c r="J99" s="9"/>
      <c r="K99" s="17"/>
      <c r="L99" s="9"/>
      <c r="M99" s="17"/>
      <c r="N99" s="12"/>
      <c r="O99" s="30"/>
      <c r="Q99" s="1"/>
      <c r="R99" s="1"/>
      <c r="S99" s="1"/>
      <c r="T99" s="1"/>
      <c r="U99" s="1"/>
      <c r="V99" s="1"/>
      <c r="X99" s="30"/>
    </row>
    <row r="100" spans="1:24" ht="52.9" outlineLevel="2">
      <c r="B100" s="1" t="s">
        <v>70</v>
      </c>
      <c r="C100" s="8" t="s">
        <v>73</v>
      </c>
      <c r="D100" s="33">
        <v>46356</v>
      </c>
      <c r="E100" s="8" t="s">
        <v>20</v>
      </c>
      <c r="F100" s="8"/>
      <c r="H100" s="30"/>
      <c r="J100" s="8"/>
      <c r="K100" s="8">
        <v>1</v>
      </c>
      <c r="L100" s="8"/>
      <c r="M100" s="8"/>
      <c r="O100" s="30"/>
      <c r="Q100" s="1" t="s">
        <v>20</v>
      </c>
      <c r="R100" s="1" t="s">
        <v>48</v>
      </c>
      <c r="S100" s="8" t="s">
        <v>76</v>
      </c>
    </row>
    <row r="101" spans="1:24" outlineLevel="3">
      <c r="A101" s="1"/>
      <c r="B101" s="42" t="s">
        <v>26</v>
      </c>
      <c r="C101" s="43" t="s">
        <v>24</v>
      </c>
      <c r="D101" s="33"/>
      <c r="E101" s="44" t="s">
        <v>27</v>
      </c>
      <c r="F101" s="1"/>
      <c r="G101" s="12"/>
      <c r="H101" s="30"/>
      <c r="J101" s="9"/>
      <c r="K101" s="17"/>
      <c r="L101" s="9"/>
      <c r="M101" s="17"/>
      <c r="N101" s="12"/>
      <c r="O101" s="30"/>
      <c r="Q101" s="1"/>
      <c r="R101" s="1"/>
      <c r="S101" s="1"/>
      <c r="T101" s="1"/>
      <c r="U101" s="1"/>
      <c r="V101" s="1"/>
      <c r="X101" s="30"/>
    </row>
    <row r="102" spans="1:24" outlineLevel="1">
      <c r="A102" s="1"/>
      <c r="B102" s="13" t="s">
        <v>51</v>
      </c>
      <c r="C102" s="14"/>
      <c r="D102" s="38"/>
      <c r="E102" s="13"/>
      <c r="F102" s="13"/>
      <c r="H102" s="30"/>
      <c r="J102" s="41">
        <f>SUBTOTAL(9,J103:J111)</f>
        <v>0</v>
      </c>
      <c r="K102" s="41">
        <f>SUBTOTAL(9,K103:K111)</f>
        <v>3</v>
      </c>
      <c r="L102" s="41">
        <f>SUBTOTAL(9,L103:L111)</f>
        <v>0</v>
      </c>
      <c r="M102" s="41">
        <f>SUBTOTAL(9,M103:M111)</f>
        <v>0</v>
      </c>
      <c r="O102" s="30"/>
      <c r="Q102" s="40"/>
      <c r="R102" s="13"/>
      <c r="S102" s="13"/>
      <c r="T102" s="13"/>
      <c r="U102" s="13"/>
      <c r="V102" s="13"/>
      <c r="W102" s="12"/>
      <c r="X102" s="30"/>
    </row>
    <row r="103" spans="1:24" outlineLevel="2">
      <c r="B103" s="8" t="s">
        <v>70</v>
      </c>
      <c r="C103" s="8" t="s">
        <v>38</v>
      </c>
      <c r="D103" s="33">
        <v>46376</v>
      </c>
      <c r="E103" s="8" t="s">
        <v>20</v>
      </c>
      <c r="F103" s="8"/>
      <c r="H103" s="30"/>
      <c r="J103" s="8"/>
      <c r="K103" s="8">
        <v>1</v>
      </c>
      <c r="L103" s="8"/>
      <c r="M103" s="8"/>
      <c r="O103" s="30"/>
      <c r="Q103" s="1" t="s">
        <v>20</v>
      </c>
      <c r="R103" s="8" t="s">
        <v>77</v>
      </c>
      <c r="S103" s="2" t="s">
        <v>78</v>
      </c>
      <c r="X103" s="30"/>
    </row>
    <row r="104" spans="1:24" outlineLevel="3">
      <c r="A104" s="1"/>
      <c r="B104" s="42" t="s">
        <v>23</v>
      </c>
      <c r="C104" s="43" t="s">
        <v>24</v>
      </c>
      <c r="D104" s="33"/>
      <c r="E104" s="44" t="s">
        <v>25</v>
      </c>
      <c r="F104" s="1"/>
      <c r="G104" s="12"/>
      <c r="H104" s="30"/>
      <c r="J104" s="9"/>
      <c r="K104" s="17"/>
      <c r="L104" s="9"/>
      <c r="M104" s="17"/>
      <c r="N104" s="12"/>
      <c r="O104" s="30"/>
      <c r="Q104" s="1"/>
      <c r="R104" s="1"/>
      <c r="S104" s="1"/>
      <c r="T104" s="1"/>
      <c r="U104" s="1"/>
      <c r="V104" s="1"/>
      <c r="X104" s="30"/>
    </row>
    <row r="105" spans="1:24" outlineLevel="3">
      <c r="A105" s="1"/>
      <c r="B105" s="42" t="s">
        <v>26</v>
      </c>
      <c r="C105" s="43" t="s">
        <v>24</v>
      </c>
      <c r="D105" s="33"/>
      <c r="E105" s="44" t="s">
        <v>27</v>
      </c>
      <c r="F105" s="1"/>
      <c r="G105" s="12"/>
      <c r="H105" s="30"/>
      <c r="J105" s="9"/>
      <c r="K105" s="17"/>
      <c r="L105" s="9"/>
      <c r="M105" s="17"/>
      <c r="N105" s="12"/>
      <c r="O105" s="30"/>
      <c r="Q105" s="1"/>
      <c r="R105" s="1"/>
      <c r="S105" s="1"/>
      <c r="T105" s="1"/>
      <c r="U105" s="1"/>
      <c r="V105" s="1"/>
      <c r="X105" s="30"/>
    </row>
    <row r="106" spans="1:24" outlineLevel="2">
      <c r="B106" s="8" t="s">
        <v>70</v>
      </c>
      <c r="C106" s="8" t="s">
        <v>72</v>
      </c>
      <c r="D106" s="33">
        <v>46386</v>
      </c>
      <c r="E106" s="8" t="s">
        <v>20</v>
      </c>
      <c r="F106" s="8"/>
      <c r="H106" s="30"/>
      <c r="J106" s="8"/>
      <c r="K106" s="8">
        <v>1</v>
      </c>
      <c r="L106" s="8"/>
      <c r="M106" s="8"/>
      <c r="O106" s="30"/>
      <c r="Q106" s="1" t="s">
        <v>20</v>
      </c>
      <c r="R106" s="8" t="s">
        <v>77</v>
      </c>
      <c r="S106" s="2" t="s">
        <v>78</v>
      </c>
    </row>
    <row r="107" spans="1:24" outlineLevel="3">
      <c r="A107" s="1"/>
      <c r="B107" s="42" t="s">
        <v>23</v>
      </c>
      <c r="C107" s="43" t="s">
        <v>24</v>
      </c>
      <c r="D107" s="33"/>
      <c r="E107" s="44" t="s">
        <v>25</v>
      </c>
      <c r="F107" s="1"/>
      <c r="G107" s="12"/>
      <c r="H107" s="30"/>
      <c r="J107" s="9"/>
      <c r="K107" s="17"/>
      <c r="L107" s="9"/>
      <c r="M107" s="17"/>
      <c r="N107" s="12"/>
      <c r="O107" s="30"/>
      <c r="Q107" s="1"/>
      <c r="R107" s="1"/>
      <c r="S107" s="1"/>
      <c r="T107" s="1"/>
      <c r="U107" s="1"/>
      <c r="V107" s="1"/>
      <c r="X107" s="30"/>
    </row>
    <row r="108" spans="1:24" outlineLevel="3">
      <c r="A108" s="1"/>
      <c r="B108" s="42" t="s">
        <v>26</v>
      </c>
      <c r="C108" s="43" t="s">
        <v>24</v>
      </c>
      <c r="D108" s="33"/>
      <c r="E108" s="44" t="s">
        <v>27</v>
      </c>
      <c r="F108" s="1"/>
      <c r="G108" s="12"/>
      <c r="H108" s="30"/>
      <c r="J108" s="9"/>
      <c r="K108" s="17"/>
      <c r="L108" s="9"/>
      <c r="M108" s="17"/>
      <c r="N108" s="12"/>
      <c r="O108" s="30"/>
      <c r="Q108" s="1"/>
      <c r="R108" s="1"/>
      <c r="S108" s="1"/>
      <c r="T108" s="1"/>
      <c r="U108" s="1"/>
      <c r="V108" s="1"/>
      <c r="X108" s="30"/>
    </row>
    <row r="109" spans="1:24" outlineLevel="2">
      <c r="B109" s="8" t="s">
        <v>70</v>
      </c>
      <c r="C109" s="8" t="s">
        <v>73</v>
      </c>
      <c r="D109" s="33">
        <v>46356</v>
      </c>
      <c r="E109" s="8" t="s">
        <v>20</v>
      </c>
      <c r="F109" s="8"/>
      <c r="H109" s="30"/>
      <c r="J109" s="8"/>
      <c r="K109" s="8">
        <v>1</v>
      </c>
      <c r="L109" s="8"/>
      <c r="M109" s="8"/>
      <c r="O109" s="30"/>
      <c r="Q109" s="1" t="s">
        <v>20</v>
      </c>
      <c r="R109" s="8" t="s">
        <v>77</v>
      </c>
      <c r="S109" s="2" t="s">
        <v>78</v>
      </c>
    </row>
    <row r="110" spans="1:24" outlineLevel="3">
      <c r="A110" s="1"/>
      <c r="B110" s="42" t="s">
        <v>23</v>
      </c>
      <c r="C110" s="43" t="s">
        <v>24</v>
      </c>
      <c r="D110" s="33"/>
      <c r="E110" s="44" t="s">
        <v>25</v>
      </c>
      <c r="F110" s="1"/>
      <c r="G110" s="12"/>
      <c r="H110" s="30"/>
      <c r="J110" s="9"/>
      <c r="K110" s="17"/>
      <c r="L110" s="9"/>
      <c r="M110" s="17"/>
      <c r="N110" s="12"/>
      <c r="O110" s="30"/>
      <c r="Q110" s="1"/>
      <c r="R110" s="1"/>
      <c r="S110" s="1"/>
      <c r="T110" s="1"/>
      <c r="U110" s="1"/>
      <c r="V110" s="1"/>
      <c r="X110" s="30"/>
    </row>
    <row r="111" spans="1:24" outlineLevel="3">
      <c r="A111" s="1"/>
      <c r="B111" s="42" t="s">
        <v>26</v>
      </c>
      <c r="C111" s="43" t="s">
        <v>24</v>
      </c>
      <c r="D111" s="33"/>
      <c r="E111" s="44" t="s">
        <v>27</v>
      </c>
      <c r="F111" s="1"/>
      <c r="G111" s="12"/>
      <c r="H111" s="30"/>
      <c r="J111" s="9"/>
      <c r="K111" s="17"/>
      <c r="L111" s="9"/>
      <c r="M111" s="17"/>
      <c r="N111" s="12"/>
      <c r="O111" s="30"/>
      <c r="Q111" s="1"/>
      <c r="R111" s="1"/>
      <c r="S111" s="1"/>
      <c r="T111" s="1"/>
      <c r="U111" s="1"/>
      <c r="V111" s="1"/>
      <c r="X111" s="30"/>
    </row>
  </sheetData>
  <autoFilter ref="B4:Y17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52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BA13419CE3204EABC4CE2FDE1F4C28" ma:contentTypeVersion="28" ma:contentTypeDescription="Create a new document." ma:contentTypeScope="" ma:versionID="302412f9a6ca903b0ff3a3467d175f1f">
  <xsd:schema xmlns:xsd="http://www.w3.org/2001/XMLSchema" xmlns:xs="http://www.w3.org/2001/XMLSchema" xmlns:p="http://schemas.microsoft.com/office/2006/metadata/properties" xmlns:ns2="1c3b6138-399c-48b0-9249-b80d30773e06" xmlns:ns3="95d3a1aa-20e3-4db1-b4c2-8de2c15fe3d1" targetNamespace="http://schemas.microsoft.com/office/2006/metadata/properties" ma:root="true" ma:fieldsID="34d9bcd81e8fa7a8cd84bdaab48c0213" ns2:_="" ns3:_="">
    <xsd:import namespace="1c3b6138-399c-48b0-9249-b80d30773e06"/>
    <xsd:import namespace="95d3a1aa-20e3-4db1-b4c2-8de2c15fe3d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2:TaxCatchAll" minOccurs="0"/>
                <xsd:element ref="ns3:lcf76f155ced4ddcb4097134ff3c332f" minOccurs="0"/>
                <xsd:element ref="ns3:MediaServiceObjectDetectorVersions" minOccurs="0"/>
                <xsd:element ref="ns3:MediaServiceSearchProperties" minOccurs="0"/>
                <xsd:element ref="ns3:Createdby" minOccurs="0"/>
                <xsd:element ref="ns3:Date" minOccurs="0"/>
                <xsd:element ref="ns3:MediaServiceBillingMetadata" minOccurs="0"/>
                <xsd:element ref="ns3:date0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3b6138-399c-48b0-9249-b80d30773e0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5ca2bca-3b04-4f84-afc4-e9479d6563b0}" ma:internalName="TaxCatchAll" ma:showField="CatchAllData" ma:web="1c3b6138-399c-48b0-9249-b80d30773e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d3a1aa-20e3-4db1-b4c2-8de2c15fe3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0847c990-d389-4210-8462-c9e2e52362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reatedby" ma:index="26" nillable="true" ma:displayName="Created by" ma:description="The person who has created" ma:format="Dropdown" ma:list="UserInfo" ma:SharePointGroup="0" ma:internalName="Created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ate" ma:index="27" nillable="true" ma:displayName="Date" ma:default="[today]" ma:format="DateOnly" ma:internalName="Date">
      <xsd:simpleType>
        <xsd:restriction base="dms:DateTim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  <xsd:element name="date0" ma:index="29" nillable="true" ma:displayName="date" ma:format="DateOnly" ma:internalName="date0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5d3a1aa-20e3-4db1-b4c2-8de2c15fe3d1">
      <Terms xmlns="http://schemas.microsoft.com/office/infopath/2007/PartnerControls"/>
    </lcf76f155ced4ddcb4097134ff3c332f>
    <TaxCatchAll xmlns="1c3b6138-399c-48b0-9249-b80d30773e06" xsi:nil="true"/>
    <SharedWithUsers xmlns="1c3b6138-399c-48b0-9249-b80d30773e06">
      <UserInfo>
        <DisplayName>Gagan Jit Singh</DisplayName>
        <AccountId>226</AccountId>
        <AccountType/>
      </UserInfo>
      <UserInfo>
        <DisplayName>Naveen Yenmandra</DisplayName>
        <AccountId>415</AccountId>
        <AccountType/>
      </UserInfo>
      <UserInfo>
        <DisplayName>Om Prakash</DisplayName>
        <AccountId>672</AccountId>
        <AccountType/>
      </UserInfo>
      <UserInfo>
        <DisplayName>Saji Alexander P</DisplayName>
        <AccountId>192</AccountId>
        <AccountType/>
      </UserInfo>
      <UserInfo>
        <DisplayName>Cijey Biju</DisplayName>
        <AccountId>682</AccountId>
        <AccountType/>
      </UserInfo>
      <UserInfo>
        <DisplayName>Prakash Channappagoudar</DisplayName>
        <AccountId>668</AccountId>
        <AccountType/>
      </UserInfo>
      <UserInfo>
        <DisplayName>Salomi Rani</DisplayName>
        <AccountId>812</AccountId>
        <AccountType/>
      </UserInfo>
      <UserInfo>
        <DisplayName>Subramanya Javagal</DisplayName>
        <AccountId>813</AccountId>
        <AccountType/>
      </UserInfo>
      <UserInfo>
        <DisplayName>Lajja Shah</DisplayName>
        <AccountId>955</AccountId>
        <AccountType/>
      </UserInfo>
      <UserInfo>
        <DisplayName>Priyanka Sahoo</DisplayName>
        <AccountId>936</AccountId>
        <AccountType/>
      </UserInfo>
    </SharedWithUsers>
    <Createdby xmlns="95d3a1aa-20e3-4db1-b4c2-8de2c15fe3d1">
      <UserInfo>
        <DisplayName/>
        <AccountId xsi:nil="true"/>
        <AccountType/>
      </UserInfo>
    </Createdby>
    <Date xmlns="95d3a1aa-20e3-4db1-b4c2-8de2c15fe3d1">2025-12-02T10:39:04+00:00</Date>
    <date0 xmlns="95d3a1aa-20e3-4db1-b4c2-8de2c15fe3d1" xsi:nil="true"/>
  </documentManagement>
</p:properties>
</file>

<file path=customXml/itemProps1.xml><?xml version="1.0" encoding="utf-8"?>
<ds:datastoreItem xmlns:ds="http://schemas.openxmlformats.org/officeDocument/2006/customXml" ds:itemID="{37F01CEE-A6F8-409E-9FAD-BDD3DDDDB7C1}"/>
</file>

<file path=customXml/itemProps2.xml><?xml version="1.0" encoding="utf-8"?>
<ds:datastoreItem xmlns:ds="http://schemas.openxmlformats.org/officeDocument/2006/customXml" ds:itemID="{64A9BDF9-F82C-46C3-858A-9396328B6365}"/>
</file>

<file path=customXml/itemProps3.xml><?xml version="1.0" encoding="utf-8"?>
<ds:datastoreItem xmlns:ds="http://schemas.openxmlformats.org/officeDocument/2006/customXml" ds:itemID="{2D840187-9EF4-4E44-B2B9-F79E5D103205}"/>
</file>

<file path=docMetadata/LabelInfo.xml><?xml version="1.0" encoding="utf-8"?>
<clbl:labelList xmlns:clbl="http://schemas.microsoft.com/office/2020/mipLabelMetadata">
  <clbl:label id="{83f557ba-ddb4-497b-8590-9541f498e808}" enabled="0" method="" siteId="{83f557ba-ddb4-497b-8590-9541f498e80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Vinod Appanna Soudi</dc:creator>
  <cp:keywords/>
  <dc:description/>
  <cp:lastModifiedBy>S Lincy Rubina</cp:lastModifiedBy>
  <cp:revision/>
  <dcterms:created xsi:type="dcterms:W3CDTF">2024-04-25T11:54:44Z</dcterms:created>
  <dcterms:modified xsi:type="dcterms:W3CDTF">2026-09-22T13:10:07Z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0x01010098BA13419CE3204EABC4CE2FDE1F4C28</vt:lpwstr>
  </property>
  <property fmtid="{D5CDD505-2E9C-101B-9397-08002B2CF9AE}" pid="3" name="MediaServiceImageTags">
    <vt:lpwstr/>
  </property>
</Properties>
</file>