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updateLinks="always"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totalenvmt.sharepoint.com/sites/pmo/PMO Collaboration/18 WPS/2026/FY26-27Q3 Project-wise Goals/"/>
    </mc:Choice>
  </mc:AlternateContent>
  <xr:revisionPtr revIDLastSave="1104" documentId="8_{9CC0317C-AB2F-49D0-BD72-75F971846930}" xr6:coauthVersionLast="47" xr6:coauthVersionMax="47" xr10:uidLastSave="{DB86D373-50E8-4AB7-AAE6-C6878B0FE481}"/>
  <bookViews>
    <workbookView xWindow="-108" yWindow="-108" windowWidth="23256" windowHeight="12456" tabRatio="749" xr2:uid="{5EF5F934-3F74-4DA0-B71A-DE90FB105D78}"/>
  </bookViews>
  <sheets>
    <sheet name="0059 PoaRR FY 26-27Q3" sheetId="36" r:id="rId1"/>
    <sheet name="Pkgs Summary (Status)- Resi" sheetId="56" state="hidden" r:id="rId2"/>
    <sheet name="Pkgs Summary (Status) - T08" sheetId="58" state="hidden" r:id="rId3"/>
  </sheets>
  <definedNames>
    <definedName name="_" localSheetId="2" hidden="1">'Pkgs Summary (Status) - T08'!#REF!</definedName>
    <definedName name="_" localSheetId="1" hidden="1">#REF!</definedName>
    <definedName name="_" hidden="1">#REF!</definedName>
    <definedName name="__123Graph_A" localSheetId="2" hidden="1">'Pkgs Summary (Status) - T08'!#REF!</definedName>
    <definedName name="__123Graph_A" localSheetId="1" hidden="1">#REF!</definedName>
    <definedName name="__123Graph_A" hidden="1">#REF!</definedName>
    <definedName name="__123Graph_B" localSheetId="2" hidden="1">'Pkgs Summary (Status) - T08'!#REF!</definedName>
    <definedName name="__123Graph_B" localSheetId="1" hidden="1">#REF!</definedName>
    <definedName name="__123Graph_B" hidden="1">#REF!</definedName>
    <definedName name="__123Graph_C" localSheetId="2" hidden="1">'Pkgs Summary (Status) - T08'!#REF!</definedName>
    <definedName name="__123Graph_C" localSheetId="1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IntlFixup" hidden="1">TRUE</definedName>
    <definedName name="_c" hidden="1">#REF!</definedName>
    <definedName name="_Dist_Bin" hidden="1">#REF!</definedName>
    <definedName name="_Dist_Values" hidden="1">#REF!</definedName>
    <definedName name="_Fill" hidden="1">#REF!</definedName>
    <definedName name="_xlnm._FilterDatabase" localSheetId="0" hidden="1">'0059 PoaRR FY 26-27Q3'!$B$4:$M$134</definedName>
    <definedName name="_xlnm._FilterDatabase" localSheetId="2" hidden="1">'Pkgs Summary (Status) - T08'!#REF!</definedName>
    <definedName name="_xlnm._FilterDatabase" localSheetId="1" hidden="1">'Pkgs Summary (Status)- Resi'!#REF!</definedName>
    <definedName name="_xlnm._FilterDatabase" hidden="1">#REF!</definedName>
    <definedName name="_Goal_New" hidden="1">#REF!</definedName>
    <definedName name="_Key1" localSheetId="2" hidden="1">'Pkgs Summary (Status) - T08'!#REF!</definedName>
    <definedName name="_Key1" localSheetId="1" hidden="1">#REF!</definedName>
    <definedName name="_Key1" hidden="1">#REF!</definedName>
    <definedName name="_Key2" hidden="1">#REF!</definedName>
    <definedName name="_Order1" hidden="1">255</definedName>
    <definedName name="_Parse_In" hidden="1">#REF!</definedName>
    <definedName name="_Parse_Out" localSheetId="2" hidden="1">'Pkgs Summary (Status) - T08'!#REF!</definedName>
    <definedName name="_Parse_Out" localSheetId="1" hidden="1">#REF!</definedName>
    <definedName name="_Parse_Out" hidden="1">#REF!</definedName>
    <definedName name="_Regression_Int" hidden="1">1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AccessDatabase" hidden="1">"W:\2000-01 Srb\March 2001\Lease Payments\outstanding lease.mdb"</definedName>
    <definedName name="ALupro" localSheetId="2" hidden="1">{"BSSCHA4",#N/A,FALSE,"sch bs"}</definedName>
    <definedName name="ALupro" localSheetId="1" hidden="1">{"BSSCHA4",#N/A,FALSE,"sch bs"}</definedName>
    <definedName name="ALupro" hidden="1">{"BSSCHA4",#N/A,FALSE,"sch bs"}</definedName>
    <definedName name="ALupro0" hidden="1">{"BSSCHA4",#N/A,FALSE,"sch bs"}</definedName>
    <definedName name="annexure" localSheetId="2" hidden="1">{"BSSCHA4",#N/A,FALSE,"sch bs"}</definedName>
    <definedName name="annexure" localSheetId="1" hidden="1">{"BSSCHA4",#N/A,FALSE,"sch bs"}</definedName>
    <definedName name="annexure" hidden="1">{"BSSCHA4",#N/A,FALSE,"sch bs"}</definedName>
    <definedName name="annexure_1" hidden="1">{"BSSCHA4",#N/A,FALSE,"sch bs"}</definedName>
    <definedName name="as" hidden="1">#REF!</definedName>
    <definedName name="AS2DocOpenMode" hidden="1">"AS2DocumentEdit"</definedName>
    <definedName name="AS2HasNoAutoHeaderFooter" hidden="1">" "</definedName>
    <definedName name="AS2NamedRange" hidden="1">4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vneeep" hidden="1">{"A4BS",#N/A,FALSE,"bs"}</definedName>
    <definedName name="avneeep_1" hidden="1">{"A4BS",#N/A,FALSE,"bs"}</definedName>
    <definedName name="BG_Del" hidden="1">15</definedName>
    <definedName name="BG_Ins" hidden="1">4</definedName>
    <definedName name="BG_Mod" hidden="1">6</definedName>
    <definedName name="BLPH1" hidden="1">#REF!</definedName>
    <definedName name="CIQWBGuid" hidden="1">"e353c960-9a20-40e3-8480-874cea54de8e"</definedName>
    <definedName name="dde" hidden="1">#REF!</definedName>
    <definedName name="depn" hidden="1">#REF!</definedName>
    <definedName name="dist" hidden="1">#REF!</definedName>
    <definedName name="egdywmk" hidden="1">{"A4depsch",#N/A,FALSE,"fa&amp;dep"}</definedName>
    <definedName name="egdywmk_1" hidden="1">{"A4depsch",#N/A,FALSE,"fa&amp;dep"}</definedName>
    <definedName name="Empty" hidden="1">#REF!</definedName>
    <definedName name="Empty1" hidden="1">#REF!</definedName>
    <definedName name="Empty2" hidden="1">#REF!</definedName>
    <definedName name="etc" hidden="1">#REF!</definedName>
    <definedName name="EV__LASTREFTIME__" hidden="1">39021.6595138889</definedName>
    <definedName name="EV__MAXEXPCOLS__" hidden="1">100</definedName>
    <definedName name="EV__MAXEXPROWS__" hidden="1">1000</definedName>
    <definedName name="EV__WBEVMODE__" hidden="1">1</definedName>
    <definedName name="EV__WBREFOPTIONS__" hidden="1">134217728</definedName>
    <definedName name="EV__WBVERSION__" hidden="1">0</definedName>
    <definedName name="FA" hidden="1">#REF!</definedName>
    <definedName name="ffff" hidden="1">#REF!</definedName>
    <definedName name="fffffffffffffffffffffffffffjjjjjj" localSheetId="2" hidden="1">'Pkgs Summary (Status) - T08'!#REF!</definedName>
    <definedName name="fffffffffffffffffffffffffffjjjjjj" localSheetId="1" hidden="1">#REF!</definedName>
    <definedName name="fffffffffffffffffffffffffffjjjjjj" hidden="1">#REF!</definedName>
    <definedName name="fgfg" hidden="1">#REF!</definedName>
    <definedName name="form3cd" hidden="1">#REF!</definedName>
    <definedName name="g" hidden="1">#REF!</definedName>
    <definedName name="gallup" localSheetId="2" hidden="1">{"a4p&amp;L",#N/A,FALSE,"tr &amp; pl"}</definedName>
    <definedName name="gallup" localSheetId="1" hidden="1">{"a4p&amp;L",#N/A,FALSE,"tr &amp; pl"}</definedName>
    <definedName name="gallup" hidden="1">{"a4p&amp;L",#N/A,FALSE,"tr &amp; pl"}</definedName>
    <definedName name="gallup_1" hidden="1">{"a4p&amp;L",#N/A,FALSE,"tr &amp; pl"}</definedName>
    <definedName name="GDF" hidden="1">{#N/A,#N/A,FALSE,"COMP"}</definedName>
    <definedName name="Goal" hidden="1">#REF!</definedName>
    <definedName name="Goal_New" hidden="1">#REF!</definedName>
    <definedName name="Goal_new1" hidden="1">#REF!</definedName>
    <definedName name="Goals_new" hidden="1">#REF!</definedName>
    <definedName name="hgfhtr" hidden="1">{#N/A,#N/A,FALSE,"COMP"}</definedName>
    <definedName name="hgkh" localSheetId="2" hidden="1">{#N/A,#N/A,FALSE,"Aging Summary";#N/A,#N/A,FALSE,"Ratio Analysis";#N/A,#N/A,FALSE,"Test 120 Day Accts";#N/A,#N/A,FALSE,"Tickmarks"}</definedName>
    <definedName name="hgkh" localSheetId="1" hidden="1">{#N/A,#N/A,FALSE,"Aging Summary";#N/A,#N/A,FALSE,"Ratio Analysis";#N/A,#N/A,FALSE,"Test 120 Day Accts";#N/A,#N/A,FALSE,"Tickmarks"}</definedName>
    <definedName name="hgkh" hidden="1">{#N/A,#N/A,FALSE,"Aging Summary";#N/A,#N/A,FALSE,"Ratio Analysis";#N/A,#N/A,FALSE,"Test 120 Day Accts";#N/A,#N/A,FALSE,"Tickmarks"}</definedName>
    <definedName name="HTML_CodePage" hidden="1">1252</definedName>
    <definedName name="HTML_Control" hidden="1">{"'August 2000'!$A$1:$J$101"}</definedName>
    <definedName name="HTML_Description" hidden="1">""</definedName>
    <definedName name="HTML_Email" hidden="1">"neerajk@ranbaxy.co.in"</definedName>
    <definedName name="HTML_Header" hidden="1">"September 2000"</definedName>
    <definedName name="HTML_LastUpdate" hidden="1">"10/3/00"</definedName>
    <definedName name="HTML_LineAfter" hidden="1">FALSE</definedName>
    <definedName name="HTML_LineBefore" hidden="1">FALSE</definedName>
    <definedName name="HTML_Name" hidden="1">"Neeraj Kukreti"</definedName>
    <definedName name="HTML_OBDlg2" hidden="1">TRUE</definedName>
    <definedName name="HTML_OBDlg4" hidden="1">TRUE</definedName>
    <definedName name="HTML_OS" hidden="1">0</definedName>
    <definedName name="HTML_PathFile" hidden="1">"C:\WINDOWS\Desktop\cash_flash.htm"</definedName>
    <definedName name="HTML_Title" hidden="1">"cf_SEP2000"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CAP" hidden="1">"c712"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TD" hidden="1">800000</definedName>
    <definedName name="IQ_NAMES_REVISION_DATE_" hidden="1">42223.6254861111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Z_SCORE" hidden="1">"c1339"</definedName>
    <definedName name="jay" hidden="1">#REF!</definedName>
    <definedName name="M" hidden="1">#REF!</definedName>
    <definedName name="PEDESTAL2" hidden="1">#REF!</definedName>
    <definedName name="_xlnm.Print_Area" localSheetId="2">'Pkgs Summary (Status) - T08'!#REF!</definedName>
    <definedName name="_xlnm.Print_Area" localSheetId="1">'Pkgs Summary (Status)- Resi'!#REF!</definedName>
    <definedName name="_xlnm.Print_Titles" localSheetId="0">'0059 PoaRR FY 26-27Q3'!$2:$4</definedName>
    <definedName name="_xlnm.Print_Titles" localSheetId="2">'Pkgs Summary (Status) - T08'!$1:$7</definedName>
    <definedName name="_xlnm.Print_Titles" localSheetId="1">'Pkgs Summary (Status)- Resi'!$1:$7</definedName>
    <definedName name="Prof" localSheetId="2" hidden="1">'Pkgs Summary (Status) - T08'!#REF!</definedName>
    <definedName name="Prof" localSheetId="1" hidden="1">#REF!</definedName>
    <definedName name="Prof" hidden="1">#REF!</definedName>
    <definedName name="q" localSheetId="2" hidden="1">'Pkgs Summary (Status) - T08'!#REF!</definedName>
    <definedName name="q" localSheetId="1" hidden="1">#REF!</definedName>
    <definedName name="q" hidden="1">#REF!</definedName>
    <definedName name="sales1" hidden="1">{#N/A,#N/A,FALSE,"OPSTATE";#N/A,#N/A,FALSE,"BSLIABILITY";#N/A,#N/A,FALSE,"BSASSETS";#N/A,#N/A,FALSE,"Sheet1"}</definedName>
    <definedName name="salws2" hidden="1">{"A4depsch",#N/A,FALSE,"fa&amp;dep"}</definedName>
    <definedName name="SAPBEXdnldView" hidden="1">"431YL7QMJN6KP6IQEL77FEM9L"</definedName>
    <definedName name="SAPBEXsysID" hidden="1">"BP1"</definedName>
    <definedName name="sencount" hidden="1">1</definedName>
    <definedName name="shp" hidden="1">#REF!</definedName>
    <definedName name="SORT1" hidden="1">#REF!</definedName>
    <definedName name="sss" hidden="1">{#N/A,#N/A,FALSE,"COMP"}</definedName>
    <definedName name="the" hidden="1">{#N/A,#N/A,FALSE,"COMP"}</definedName>
    <definedName name="v" hidden="1">#REF!,#REF!</definedName>
    <definedName name="vivek1" localSheetId="2" hidden="1">'Pkgs Summary (Status) - T08'!#REF!</definedName>
    <definedName name="vivek1" localSheetId="1" hidden="1">#REF!</definedName>
    <definedName name="vivek1" hidden="1">#REF!</definedName>
    <definedName name="vivek11" hidden="1">#REF!</definedName>
    <definedName name="vivek12" hidden="1">#REF!</definedName>
    <definedName name="vivek13" hidden="1">#REF!</definedName>
    <definedName name="vivek17" hidden="1">#REF!</definedName>
    <definedName name="vivek18" hidden="1">#REF!</definedName>
    <definedName name="vivek2" hidden="1">#REF!</definedName>
    <definedName name="vivek220" hidden="1">#REF!</definedName>
    <definedName name="vivek288888" hidden="1">#REF!</definedName>
    <definedName name="vivek2dddddddddddddddd" hidden="1">#REF!</definedName>
    <definedName name="vivek2oooooooooooooooo" hidden="1">#REF!</definedName>
    <definedName name="vivek3" hidden="1">#REF!</definedName>
    <definedName name="vivek4" hidden="1">#REF!</definedName>
    <definedName name="vivek444" hidden="1">#REF!</definedName>
    <definedName name="vivek5" hidden="1">#REF!</definedName>
    <definedName name="vivek6" hidden="1">#REF!</definedName>
    <definedName name="vivek6666" hidden="1">#REF!</definedName>
    <definedName name="vivek9" hidden="1">#REF!</definedName>
    <definedName name="wr" hidden="1">{#N/A,#N/A,FALSE,"COMP"}</definedName>
    <definedName name="WRI" hidden="1">{#N/A,#N/A,FALSE,"COMP"}</definedName>
    <definedName name="wrn.A4BSSCH." localSheetId="2" hidden="1">{"BSSCHA4",#N/A,FALSE,"sch bs"}</definedName>
    <definedName name="wrn.A4BSSCH." localSheetId="1" hidden="1">{"BSSCHA4",#N/A,FALSE,"sch bs"}</definedName>
    <definedName name="wrn.A4BSSCH." hidden="1">{"BSSCHA4",#N/A,FALSE,"sch bs"}</definedName>
    <definedName name="wrn.A4BSSCH._1" hidden="1">{"BSSCHA4",#N/A,FALSE,"sch bs"}</definedName>
    <definedName name="wrn.A4PL." localSheetId="2" hidden="1">{"a4p&amp;L",#N/A,FALSE,"tr &amp; pl"}</definedName>
    <definedName name="wrn.A4PL." localSheetId="1" hidden="1">{"a4p&amp;L",#N/A,FALSE,"tr &amp; pl"}</definedName>
    <definedName name="wrn.A4PL." hidden="1">{"a4p&amp;L",#N/A,FALSE,"tr &amp; pl"}</definedName>
    <definedName name="wrn.A4PL._1" hidden="1">{"a4p&amp;L",#N/A,FALSE,"tr &amp; pl"}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krutiCMA." localSheetId="2" hidden="1">{#N/A,#N/A,FALSE,"OPSTATE";#N/A,#N/A,FALSE,"BSLIABILITY";#N/A,#N/A,FALSE,"BSASSETS";#N/A,#N/A,FALSE,"Sheet1"}</definedName>
    <definedName name="wrn.AkrutiCMA." localSheetId="1" hidden="1">{#N/A,#N/A,FALSE,"OPSTATE";#N/A,#N/A,FALSE,"BSLIABILITY";#N/A,#N/A,FALSE,"BSASSETS";#N/A,#N/A,FALSE,"Sheet1"}</definedName>
    <definedName name="wrn.AkrutiCMA." hidden="1">{#N/A,#N/A,FALSE,"OPSTATE";#N/A,#N/A,FALSE,"BSLIABILITY";#N/A,#N/A,FALSE,"BSASSETS";#N/A,#N/A,FALSE,"Sheet1"}</definedName>
    <definedName name="wrn.All." localSheetId="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BSA4." localSheetId="2" hidden="1">{"A4BS",#N/A,FALSE,"bs"}</definedName>
    <definedName name="wrn.BSA4." localSheetId="1" hidden="1">{"A4BS",#N/A,FALSE,"bs"}</definedName>
    <definedName name="wrn.BSA4." hidden="1">{"A4BS",#N/A,FALSE,"bs"}</definedName>
    <definedName name="wrn.BSA4._1" hidden="1">{"A4BS",#N/A,FALSE,"bs"}</definedName>
    <definedName name="wrn.capA4." localSheetId="2" hidden="1">{"capA4",#N/A,FALSE,"capt"}</definedName>
    <definedName name="wrn.capA4." localSheetId="1" hidden="1">{"capA4",#N/A,FALSE,"capt"}</definedName>
    <definedName name="wrn.capA4." hidden="1">{"capA4",#N/A,FALSE,"capt"}</definedName>
    <definedName name="wrn.capA4._1" hidden="1">{"capA4",#N/A,FALSE,"capt"}</definedName>
    <definedName name="wrn.depschA4." localSheetId="2" hidden="1">{"A4depsch",#N/A,FALSE,"fa&amp;dep"}</definedName>
    <definedName name="wrn.depschA4." localSheetId="1" hidden="1">{"A4depsch",#N/A,FALSE,"fa&amp;dep"}</definedName>
    <definedName name="wrn.depschA4." hidden="1">{"A4depsch",#N/A,FALSE,"fa&amp;dep"}</definedName>
    <definedName name="wrn.depschA4._1" hidden="1">{"A4depsch",#N/A,FALSE,"fa&amp;dep"}</definedName>
    <definedName name="wrn.EVEREST." localSheetId="2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1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FORM1." hidden="1">{#N/A,#N/A,FALSE,"COMP"}</definedName>
    <definedName name="wrn.Full._.Financials." localSheetId="2" hidden="1">{#N/A,#N/A,TRUE,"Financials";#N/A,#N/A,TRUE,"Operating Statistics";#N/A,#N/A,TRUE,"Capex &amp; Depreciation";#N/A,#N/A,TRUE,"Debt"}</definedName>
    <definedName name="wrn.Full._.Financials." localSheetId="1" hidden="1">{#N/A,#N/A,TRUE,"Financials";#N/A,#N/A,TRUE,"Operating Statistics";#N/A,#N/A,TRUE,"Capex &amp; Depreciation";#N/A,#N/A,TRUE,"Debt"}</definedName>
    <definedName name="wrn.Full._.Financials." hidden="1">{#N/A,#N/A,TRUE,"Financials";#N/A,#N/A,TRUE,"Operating Statistics";#N/A,#N/A,TRUE,"Capex &amp; Depreciation";#N/A,#N/A,TRUE,"Debt"}</definedName>
    <definedName name="wrn.One._.Pager._.plus._.Technicals." localSheetId="2" hidden="1">{#N/A,#N/A,FALSE,"One Pager";#N/A,#N/A,FALSE,"Technical"}</definedName>
    <definedName name="wrn.One._.Pager._.plus._.Technicals." localSheetId="1" hidden="1">{#N/A,#N/A,FALSE,"One Pager";#N/A,#N/A,FALSE,"Technical"}</definedName>
    <definedName name="wrn.One._.Pager._.plus._.Technicals." hidden="1">{#N/A,#N/A,FALSE,"One Pager";#N/A,#N/A,FALSE,"Technical"}</definedName>
    <definedName name="wrn.PLSCHA4." localSheetId="2" hidden="1">{"A4PLSCH",#N/A,FALSE,"sch pl"}</definedName>
    <definedName name="wrn.PLSCHA4." localSheetId="1" hidden="1">{"A4PLSCH",#N/A,FALSE,"sch pl"}</definedName>
    <definedName name="wrn.PLSCHA4." hidden="1">{"A4PLSCH",#N/A,FALSE,"sch pl"}</definedName>
    <definedName name="wrn.PLSCHA4._1" hidden="1">{"A4PLSCH",#N/A,FALSE,"sch pl"}</definedName>
    <definedName name="wrn.Print." localSheetId="2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1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Short." localSheetId="2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1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Saiwadi." localSheetId="2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1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unSteel." localSheetId="2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1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WATINORMAL." localSheetId="2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1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CopyRangeCount" hidden="1">6</definedName>
    <definedName name="XRefPasteRangeCount" hidden="1">4</definedName>
    <definedName name="XYZ" hidden="1">#REF!,#REF!</definedName>
    <definedName name="Z_0185ADC1_3830_11D3_88E4_00104B2D4E50_.wvu.FilterData" localSheetId="2" hidden="1">'Pkgs Summary (Status) - T08'!#REF!</definedName>
    <definedName name="Z_0185ADC1_3830_11D3_88E4_00104B2D4E50_.wvu.FilterData" localSheetId="1" hidden="1">#REF!</definedName>
    <definedName name="Z_0185ADC1_3830_11D3_88E4_00104B2D4E50_.wvu.FilterData" hidden="1">#REF!</definedName>
    <definedName name="Z_0185ADC2_3830_11D3_88E4_00104B2D4E50_.wvu.FilterData" hidden="1">#REF!</definedName>
    <definedName name="Z_020243C4_4FC9_11D3_88E5_00104B2D4E50_.wvu.FilterData" hidden="1">#REF!</definedName>
    <definedName name="Z_020243C5_4FC9_11D3_88E5_00104B2D4E50_.wvu.FilterData" hidden="1">#REF!</definedName>
    <definedName name="Z_020243D6_4FC9_11D3_88E5_00104B2D4E50_.wvu.FilterData" hidden="1">#REF!</definedName>
    <definedName name="Z_020243D9_4FC9_11D3_88E5_00104B2D4E50_.wvu.FilterData" hidden="1">#REF!</definedName>
    <definedName name="Z_18E867C2_363F_11D3_B384_00104B203064_.wvu.Cols" hidden="1">#REF!</definedName>
    <definedName name="Z_18E867C2_363F_11D3_B384_00104B203064_.wvu.FilterData" hidden="1">#REF!</definedName>
    <definedName name="Z_18E867C6_363F_11D3_B384_00104B203064_.wvu.FilterData" hidden="1">#REF!</definedName>
    <definedName name="Z_2529F30F_675A_11D3_88E6_00104B2D4E50_.wvu.FilterData" hidden="1">#REF!</definedName>
    <definedName name="Z_37C90060_2018_11D3_9FEA_008048EE1BB3_.wvu.Cols" hidden="1">#REF!</definedName>
    <definedName name="Z_37C90060_2018_11D3_9FEA_008048EE1BB3_.wvu.FilterData" hidden="1">#REF!</definedName>
    <definedName name="Z_37C90061_2018_11D3_9FEA_008048EE1BB3_.wvu.FilterData" hidden="1">#REF!</definedName>
    <definedName name="Z_37C90063_2018_11D3_9FEA_008048EE1BB3_.wvu.FilterData" hidden="1">#REF!</definedName>
    <definedName name="Z_42177D60_3622_11D3_B2D2_008048EE2662_.wvu.FilterData" hidden="1">#REF!</definedName>
    <definedName name="Z_87846904_F246_11D2_88E4_00104B2D4E50_.wvu.PrintTitles" hidden="1">#REF!,#REF!</definedName>
    <definedName name="Z_9C36B7A0_8E17_11D3_B2D2_008048EE2662_.wvu.Rows" hidden="1">#REF!,#REF!,#REF!</definedName>
    <definedName name="Z_AF67EA27_37A9_11D3_88E4_00104B2D4E50_.wvu.FilterData" hidden="1">#REF!</definedName>
    <definedName name="Z_CC26C000_67A6_11D3_B801_444553540000_.wvu.FilterData" hidden="1">#REF!</definedName>
    <definedName name="Z_D840F8B1_668B_11D3_88E6_00104B2D4E50_.wvu.FilterData" hidden="1">#REF!</definedName>
    <definedName name="Z_F0339D6F_2232_11D3_88E4_00104B2D4E50_.wvu.FilterData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58" l="1"/>
  <c r="F3" i="56" l="1"/>
  <c r="H3" i="56"/>
  <c r="J3" i="56"/>
  <c r="L3" i="56"/>
  <c r="F4" i="56"/>
  <c r="H4" i="56"/>
  <c r="J4" i="56"/>
  <c r="L4" i="56"/>
  <c r="H3" i="58"/>
  <c r="J3" i="58"/>
  <c r="L3" i="58"/>
  <c r="F4" i="58"/>
  <c r="H4" i="58"/>
  <c r="J4" i="58"/>
  <c r="L4" i="58"/>
  <c r="J19" i="36"/>
  <c r="L19" i="36"/>
  <c r="L22" i="36"/>
  <c r="A197" i="56"/>
  <c r="A196" i="56"/>
  <c r="A195" i="56"/>
  <c r="A194" i="56"/>
  <c r="A193" i="56"/>
  <c r="A96" i="56"/>
  <c r="A95" i="56"/>
  <c r="A94" i="56"/>
  <c r="A93" i="56"/>
  <c r="A92" i="56"/>
  <c r="A91" i="56"/>
  <c r="A90" i="56"/>
  <c r="A89" i="56"/>
  <c r="A88" i="56"/>
  <c r="L132" i="36" l="1"/>
  <c r="M131" i="36"/>
  <c r="K131" i="36"/>
  <c r="J131" i="36"/>
  <c r="L128" i="36"/>
  <c r="L125" i="36"/>
  <c r="L122" i="36"/>
  <c r="L119" i="36"/>
  <c r="L116" i="36"/>
  <c r="L113" i="36"/>
  <c r="M112" i="36"/>
  <c r="K112" i="36"/>
  <c r="J112" i="36"/>
  <c r="L109" i="36"/>
  <c r="L106" i="36"/>
  <c r="L103" i="36"/>
  <c r="L100" i="36"/>
  <c r="L97" i="36"/>
  <c r="L94" i="36"/>
  <c r="L91" i="36"/>
  <c r="M90" i="36"/>
  <c r="K90" i="36"/>
  <c r="J90" i="36"/>
  <c r="L87" i="36"/>
  <c r="L84" i="36"/>
  <c r="L81" i="36"/>
  <c r="L78" i="36"/>
  <c r="L75" i="36"/>
  <c r="L72" i="36"/>
  <c r="L66" i="36"/>
  <c r="L63" i="36"/>
  <c r="L60" i="36"/>
  <c r="M59" i="36"/>
  <c r="K59" i="36"/>
  <c r="J59" i="36"/>
  <c r="L55" i="36"/>
  <c r="L54" i="36" s="1"/>
  <c r="M54" i="36"/>
  <c r="K54" i="36"/>
  <c r="J54" i="36"/>
  <c r="L48" i="36"/>
  <c r="L45" i="36"/>
  <c r="M44" i="36"/>
  <c r="K44" i="36"/>
  <c r="J44" i="36"/>
  <c r="L41" i="36"/>
  <c r="L38" i="36"/>
  <c r="L35" i="36"/>
  <c r="M34" i="36"/>
  <c r="K34" i="36"/>
  <c r="J34" i="36"/>
  <c r="L31" i="36"/>
  <c r="L28" i="36"/>
  <c r="L25" i="36"/>
  <c r="J7" i="36"/>
  <c r="L16" i="36"/>
  <c r="L13" i="36"/>
  <c r="L8" i="36"/>
  <c r="M7" i="36"/>
  <c r="K7" i="36"/>
  <c r="L131" i="36" l="1"/>
  <c r="L90" i="36"/>
  <c r="J58" i="36"/>
  <c r="J6" i="36"/>
  <c r="K6" i="36"/>
  <c r="K58" i="36"/>
  <c r="L34" i="36"/>
  <c r="M58" i="36"/>
  <c r="L7" i="36"/>
  <c r="L44" i="36"/>
  <c r="M6" i="36"/>
  <c r="L112" i="36"/>
  <c r="L59" i="36"/>
  <c r="J2" i="36" l="1"/>
  <c r="L6" i="36"/>
  <c r="L58" i="36"/>
  <c r="K2" i="36" l="1"/>
  <c r="L2" i="36" l="1"/>
  <c r="M2" i="36" l="1"/>
</calcChain>
</file>

<file path=xl/sharedStrings.xml><?xml version="1.0" encoding="utf-8"?>
<sst xmlns="http://schemas.openxmlformats.org/spreadsheetml/2006/main" count="937" uniqueCount="380">
  <si>
    <t>PoaRR | Design package release FY26-27 Q3</t>
  </si>
  <si>
    <t>Project</t>
  </si>
  <si>
    <t>Description</t>
  </si>
  <si>
    <t>Release date</t>
  </si>
  <si>
    <t>Responsible</t>
  </si>
  <si>
    <t>Remarks</t>
  </si>
  <si>
    <t>Plan - Billing [Cr.]</t>
  </si>
  <si>
    <t>Plan - Pkgs</t>
  </si>
  <si>
    <t>Actuals - Billing [Cr.]</t>
  </si>
  <si>
    <t>Actuals - Pkgs</t>
  </si>
  <si>
    <t>Design Lead</t>
  </si>
  <si>
    <t>Lead</t>
  </si>
  <si>
    <t>Person 1</t>
  </si>
  <si>
    <t>Person 2</t>
  </si>
  <si>
    <t>Person 3</t>
  </si>
  <si>
    <t>Draftperson</t>
  </si>
  <si>
    <t>PoaRR-Res</t>
  </si>
  <si>
    <t>Package Release</t>
  </si>
  <si>
    <t>Architecture</t>
  </si>
  <si>
    <t>Complete the project</t>
  </si>
  <si>
    <t>LOD 350 Villa Cluster 3 - All Levels</t>
  </si>
  <si>
    <t>Saji P</t>
  </si>
  <si>
    <t>Saji A</t>
  </si>
  <si>
    <t>Gokul</t>
  </si>
  <si>
    <t>Krishnapriya</t>
  </si>
  <si>
    <t>Glazing Details - Skylight, Car Parking Canopy, External Canopy</t>
  </si>
  <si>
    <t>Courtyard Wall Details</t>
  </si>
  <si>
    <t>Wirecut Details - Car Parking &amp; Rear Garden</t>
  </si>
  <si>
    <t>Wirecut Details - Corbel,  End Villa 50, 69</t>
  </si>
  <si>
    <t>LOD 350 Villa Cluster 3 - Building Envelope and Common Areas</t>
  </si>
  <si>
    <t>Rear Garden Fencing Details</t>
  </si>
  <si>
    <t>Expansion Joint Details</t>
  </si>
  <si>
    <t>Pending discussion with Site team</t>
  </si>
  <si>
    <t>LOD 350 V40 Default and it's variants</t>
  </si>
  <si>
    <t>Nirupama</t>
  </si>
  <si>
    <t>Step 1</t>
  </si>
  <si>
    <t>Task description 1</t>
  </si>
  <si>
    <t>User 1</t>
  </si>
  <si>
    <t>Step 2</t>
  </si>
  <si>
    <t>Task description 2</t>
  </si>
  <si>
    <t>User 2</t>
  </si>
  <si>
    <t>LOD 350 ISS Building Envelope and Common Areas</t>
  </si>
  <si>
    <t>Arshad</t>
  </si>
  <si>
    <t>Latha</t>
  </si>
  <si>
    <t>LOD 350 Residential - Site Development</t>
  </si>
  <si>
    <t>Completed</t>
  </si>
  <si>
    <t>Sathwik</t>
  </si>
  <si>
    <t>LOD 350 Masterplan - Site MEP</t>
  </si>
  <si>
    <t>LOD 350 Masterplan - Landscaping</t>
  </si>
  <si>
    <t>LOD 350 Amenities &amp; Facilities - Sporting Facilities</t>
  </si>
  <si>
    <t>Abdul</t>
  </si>
  <si>
    <t>Structural</t>
  </si>
  <si>
    <t>LOD 350 Site Development</t>
  </si>
  <si>
    <t>Prakash C</t>
  </si>
  <si>
    <t>Lincy</t>
  </si>
  <si>
    <t>Subrahmanya</t>
  </si>
  <si>
    <t>Darshan</t>
  </si>
  <si>
    <t>Boundary walls - V40 and near stepped towers</t>
  </si>
  <si>
    <t>Awaiting arch details ( 20 days)</t>
  </si>
  <si>
    <t>LOD 350 Site MEP</t>
  </si>
  <si>
    <t>OWC structure</t>
  </si>
  <si>
    <t>Awaiting arch details (20 days)</t>
  </si>
  <si>
    <t>LOD 350 Sporting Facilities</t>
  </si>
  <si>
    <t>Abhishek</t>
  </si>
  <si>
    <t>Foundation layout, framing plans</t>
  </si>
  <si>
    <t xml:space="preserve">issued </t>
  </si>
  <si>
    <t>Details drawings (foundation, and all other levels)</t>
  </si>
  <si>
    <t>Awaiting clarity and clearance - arch ( duration - based on extent of modifications)</t>
  </si>
  <si>
    <t>MEP</t>
  </si>
  <si>
    <t>Gagan</t>
  </si>
  <si>
    <t>Salomi</t>
  </si>
  <si>
    <t>Hareesha
Praveen</t>
  </si>
  <si>
    <t>Byahattimath
Shreedhar
Mahadev
Deepu
Ajay</t>
  </si>
  <si>
    <t>OWC drawings</t>
  </si>
  <si>
    <t>Praveen ST</t>
  </si>
  <si>
    <t>Electrical layouts</t>
  </si>
  <si>
    <t>Hareesha</t>
  </si>
  <si>
    <t>Electrical layout &amp; schedule required</t>
  </si>
  <si>
    <t>HVAC layouts</t>
  </si>
  <si>
    <t>Rinu</t>
  </si>
  <si>
    <t>PHE layouts</t>
  </si>
  <si>
    <t>Updated arch plan awaited</t>
  </si>
  <si>
    <t>Fire fighting layouts</t>
  </si>
  <si>
    <t>Vallivel</t>
  </si>
  <si>
    <t>Landscape</t>
  </si>
  <si>
    <t>LOD 350 Amenities &amp; Facilities - Community spaces [Sporting Facilities]</t>
  </si>
  <si>
    <t>Lajja</t>
  </si>
  <si>
    <t>Apoorva</t>
  </si>
  <si>
    <t>PoaRR-T08</t>
  </si>
  <si>
    <t>Package Release [Complete the project]</t>
  </si>
  <si>
    <t>LOD 350 Habitable Level 01</t>
  </si>
  <si>
    <t>Komal</t>
  </si>
  <si>
    <t>Mononita</t>
  </si>
  <si>
    <t>LOD 350 Building Envelope and Common Areas [Typical Tower Levels]</t>
  </si>
  <si>
    <t>LOD 350 L22 Default and variants [Modification for Dry Wall]</t>
  </si>
  <si>
    <t>Shahbazz</t>
  </si>
  <si>
    <t>LOD 350 R25 Default [Modification for Dry Wall]</t>
  </si>
  <si>
    <t>Aardra</t>
  </si>
  <si>
    <t>LOD 350 L20 Default [Modification for Dry Wall]</t>
  </si>
  <si>
    <t>BoQ closure pending</t>
  </si>
  <si>
    <t>LOD 350 D35 Default [Modification for Dry Wall]</t>
  </si>
  <si>
    <t>LOD 350 Master Plan</t>
  </si>
  <si>
    <t>Vivek</t>
  </si>
  <si>
    <t>LOD 350 Landscape</t>
  </si>
  <si>
    <t>LOD 350 Penthouse Levels</t>
  </si>
  <si>
    <t>Jayashankar</t>
  </si>
  <si>
    <t xml:space="preserve">Framing plan, Beams and slabs </t>
  </si>
  <si>
    <t>sleeves</t>
  </si>
  <si>
    <t>awaiting arch and services details</t>
  </si>
  <si>
    <t>LOD 350 Terrace Level</t>
  </si>
  <si>
    <t>Received arch drawing. Services drawings awaited. Planned in Nov (resources)</t>
  </si>
  <si>
    <t>LOD 350 T08 - ISS - Foundations &amp; Grade Slab</t>
  </si>
  <si>
    <t>Nadeem</t>
  </si>
  <si>
    <t>-</t>
  </si>
  <si>
    <t>Foundations and columns</t>
  </si>
  <si>
    <t>tank walls</t>
  </si>
  <si>
    <t>30th Sept</t>
  </si>
  <si>
    <t>LOD 350 T08 - ISS - Podium Slab</t>
  </si>
  <si>
    <t>LOD 350 T08 - ISS - Parking Level Subgrade</t>
  </si>
  <si>
    <t>Karthik</t>
  </si>
  <si>
    <t xml:space="preserve">Framing plan, Beams and slabs - Staff lounge </t>
  </si>
  <si>
    <t>Framing plan, Beams and slabs - STP -walkway slabs</t>
  </si>
  <si>
    <t>Boundary walls</t>
  </si>
  <si>
    <t>Infra gradings (roads, pavements, chambers, trenches)</t>
  </si>
  <si>
    <t>Electrical panel rooms, DG sync, transformer yard, etc - Electrical related</t>
  </si>
  <si>
    <t>Awaiting details</t>
  </si>
  <si>
    <t>Hareesha
Praveen</t>
  </si>
  <si>
    <t>Hanumanthraya
Shreedhar
Sandeep</t>
  </si>
  <si>
    <t>Terrace cordinated layout</t>
  </si>
  <si>
    <t>Hareesha /Praveen/ Rinu/Vallivel</t>
  </si>
  <si>
    <t>Electrical layout &amp; schedule awaited</t>
  </si>
  <si>
    <t>Terrace individual services layouts</t>
  </si>
  <si>
    <t xml:space="preserve">LOD 350 L20 Default and it's variants </t>
  </si>
  <si>
    <t>GFC released</t>
  </si>
  <si>
    <t>LOD 350 D35 Default and it's variants</t>
  </si>
  <si>
    <t>MEP coordinated master plan</t>
  </si>
  <si>
    <t>Awaiting for updated master plan from architects</t>
  </si>
  <si>
    <t>LOD 350 L22 Default and It's Variants [Modification for Dry Wall]</t>
  </si>
  <si>
    <t>Coordinated cut out details</t>
  </si>
  <si>
    <t>LOD 350 T08-Clubhouse—Interiors and Facilities</t>
  </si>
  <si>
    <t>0059 | Pursuit of a Radical Rhapsody | Residential</t>
  </si>
  <si>
    <t>AR</t>
  </si>
  <si>
    <t>ST</t>
  </si>
  <si>
    <t>LS</t>
  </si>
  <si>
    <t>Scope</t>
  </si>
  <si>
    <t>Pending</t>
  </si>
  <si>
    <t>Actuals</t>
  </si>
  <si>
    <t>NA</t>
  </si>
  <si>
    <t>DESIGN CONCEPT</t>
  </si>
  <si>
    <t>Contract + Design Brief</t>
  </si>
  <si>
    <t>Schematic Concept</t>
  </si>
  <si>
    <t>Pre Construction Set</t>
  </si>
  <si>
    <t>Approvals</t>
  </si>
  <si>
    <t>Marketing and Sales</t>
  </si>
  <si>
    <t>CONSTRUCTION DOCUMENTS</t>
  </si>
  <si>
    <r>
      <t>GFC | Tower—</t>
    </r>
    <r>
      <rPr>
        <b/>
        <sz val="10"/>
        <color theme="1"/>
        <rFont val="Helvetica Neue Light"/>
        <family val="2"/>
      </rPr>
      <t>01</t>
    </r>
  </si>
  <si>
    <t>T01-01</t>
  </si>
  <si>
    <t>Foundation and Grade Slab</t>
  </si>
  <si>
    <t>T01-02</t>
  </si>
  <si>
    <t>Parking Level-Sub grade</t>
  </si>
  <si>
    <t>T01-03</t>
  </si>
  <si>
    <t>Building Envelope and Common Areas [Basement]</t>
  </si>
  <si>
    <t>T01-04</t>
  </si>
  <si>
    <t>Habitable Level 01</t>
  </si>
  <si>
    <t>T01-05</t>
  </si>
  <si>
    <t>Habitable Level - Even</t>
  </si>
  <si>
    <t>T01-06</t>
  </si>
  <si>
    <t>Habitable Level - Odd</t>
  </si>
  <si>
    <t>T01-07</t>
  </si>
  <si>
    <t>Building Envelope and Common Areas [Typical Tower Levels]</t>
  </si>
  <si>
    <t>`</t>
  </si>
  <si>
    <t>T01-08</t>
  </si>
  <si>
    <t>Penthouse Levels</t>
  </si>
  <si>
    <t>T01-09</t>
  </si>
  <si>
    <t>Terrace Level</t>
  </si>
  <si>
    <t>T01-10</t>
  </si>
  <si>
    <t>Building Envelope and Common Areas [Penthouse Levels And Terrace Level]</t>
  </si>
  <si>
    <r>
      <t>GFC | Tower—</t>
    </r>
    <r>
      <rPr>
        <b/>
        <sz val="10"/>
        <color theme="1"/>
        <rFont val="Helvetica Neue Light"/>
        <family val="2"/>
      </rPr>
      <t>2V</t>
    </r>
  </si>
  <si>
    <t>T2V-01</t>
  </si>
  <si>
    <t>T2V-02</t>
  </si>
  <si>
    <t>T2V-03</t>
  </si>
  <si>
    <t>T2V-04</t>
  </si>
  <si>
    <t>T2V-05</t>
  </si>
  <si>
    <t>T2V-06</t>
  </si>
  <si>
    <t>T2V-07</t>
  </si>
  <si>
    <t>T2V-08</t>
  </si>
  <si>
    <t>T2V-09</t>
  </si>
  <si>
    <t>T2V-10</t>
  </si>
  <si>
    <r>
      <t>GFC | Tower—</t>
    </r>
    <r>
      <rPr>
        <b/>
        <sz val="10"/>
        <color theme="1"/>
        <rFont val="Helvetica Neue Light"/>
        <family val="2"/>
      </rPr>
      <t>2S</t>
    </r>
  </si>
  <si>
    <t>T2S-01</t>
  </si>
  <si>
    <t>T2S-02</t>
  </si>
  <si>
    <t>T2S-03</t>
  </si>
  <si>
    <t>T2S-04</t>
  </si>
  <si>
    <t>Habitable Level 01 - 02</t>
  </si>
  <si>
    <t>T2S-05</t>
  </si>
  <si>
    <t>Habitable Level - 03 - 06</t>
  </si>
  <si>
    <t>T2S-06</t>
  </si>
  <si>
    <t>T2S-07</t>
  </si>
  <si>
    <t>T2S-08</t>
  </si>
  <si>
    <t>T2S-09</t>
  </si>
  <si>
    <r>
      <t>GFC | Tower—</t>
    </r>
    <r>
      <rPr>
        <b/>
        <sz val="10"/>
        <color theme="1"/>
        <rFont val="Helvetica Neue Light"/>
        <family val="2"/>
      </rPr>
      <t>3V-5V</t>
    </r>
  </si>
  <si>
    <t>TXV-01</t>
  </si>
  <si>
    <t>TXV-02</t>
  </si>
  <si>
    <t>TXV-03</t>
  </si>
  <si>
    <t>TXV-04</t>
  </si>
  <si>
    <t>TXV-05</t>
  </si>
  <si>
    <t>TXV-06</t>
  </si>
  <si>
    <t>TXV-07</t>
  </si>
  <si>
    <t>TXV-08</t>
  </si>
  <si>
    <t>TXV-09</t>
  </si>
  <si>
    <t>TXV-10</t>
  </si>
  <si>
    <r>
      <t>GFC | Tower—</t>
    </r>
    <r>
      <rPr>
        <b/>
        <sz val="10"/>
        <color theme="1"/>
        <rFont val="Helvetica Neue Light"/>
        <family val="2"/>
      </rPr>
      <t>3S</t>
    </r>
    <r>
      <rPr>
        <sz val="10"/>
        <color theme="1"/>
        <rFont val="Helvetica Neue Light"/>
        <family val="2"/>
      </rPr>
      <t>-</t>
    </r>
    <r>
      <rPr>
        <b/>
        <sz val="10"/>
        <color theme="1"/>
        <rFont val="Helvetica Neue Light"/>
        <family val="2"/>
      </rPr>
      <t>5S</t>
    </r>
  </si>
  <si>
    <t>TXS-01</t>
  </si>
  <si>
    <t>TXS-02</t>
  </si>
  <si>
    <t>TXS-03</t>
  </si>
  <si>
    <t>TXS-04</t>
  </si>
  <si>
    <t>TXS-05</t>
  </si>
  <si>
    <t>TXS-06</t>
  </si>
  <si>
    <t>TXS-07</t>
  </si>
  <si>
    <t>TXS-08</t>
  </si>
  <si>
    <t>TXS-09</t>
  </si>
  <si>
    <r>
      <t>GFC | Tower—</t>
    </r>
    <r>
      <rPr>
        <b/>
        <sz val="10"/>
        <color theme="1"/>
        <rFont val="Helvetica Neue Light"/>
        <family val="2"/>
      </rPr>
      <t>6V</t>
    </r>
  </si>
  <si>
    <t>T6V-01</t>
  </si>
  <si>
    <t>T6V-02</t>
  </si>
  <si>
    <t>T6V-03</t>
  </si>
  <si>
    <t>T6V-04</t>
  </si>
  <si>
    <t>T6V-05</t>
  </si>
  <si>
    <t>T6V-06</t>
  </si>
  <si>
    <t>T6V-07</t>
  </si>
  <si>
    <t>T6V-08</t>
  </si>
  <si>
    <t>T6V-09</t>
  </si>
  <si>
    <t>T6V-10</t>
  </si>
  <si>
    <r>
      <t>GFC | Tower—</t>
    </r>
    <r>
      <rPr>
        <b/>
        <sz val="10"/>
        <color theme="1"/>
        <rFont val="Helvetica Neue Light"/>
        <family val="2"/>
      </rPr>
      <t>6S</t>
    </r>
  </si>
  <si>
    <t>T6S-01</t>
  </si>
  <si>
    <t>T6S-02</t>
  </si>
  <si>
    <t>T6S-03</t>
  </si>
  <si>
    <t>T6S-04</t>
  </si>
  <si>
    <t>T6S-05</t>
  </si>
  <si>
    <t>T6S-06</t>
  </si>
  <si>
    <t>T6S-07</t>
  </si>
  <si>
    <t>T6S-08</t>
  </si>
  <si>
    <t>T6S-09</t>
  </si>
  <si>
    <r>
      <t>GFC | Tower—</t>
    </r>
    <r>
      <rPr>
        <b/>
        <sz val="10"/>
        <color theme="1"/>
        <rFont val="Helvetica Neue Light"/>
        <family val="2"/>
      </rPr>
      <t>07</t>
    </r>
  </si>
  <si>
    <t>T07-01</t>
  </si>
  <si>
    <t>T07-02</t>
  </si>
  <si>
    <t>T07-03</t>
  </si>
  <si>
    <t>T07-04</t>
  </si>
  <si>
    <t>T07-05</t>
  </si>
  <si>
    <t>T07-06</t>
  </si>
  <si>
    <t>T07-07</t>
  </si>
  <si>
    <t>T07-08</t>
  </si>
  <si>
    <t>T07-09</t>
  </si>
  <si>
    <t>T07-10</t>
  </si>
  <si>
    <r>
      <t xml:space="preserve">GFC | Independent Subgrade Structure [Tower </t>
    </r>
    <r>
      <rPr>
        <b/>
        <sz val="10"/>
        <color theme="1"/>
        <rFont val="Helvetica Neue Light"/>
        <family val="2"/>
      </rPr>
      <t>1-7</t>
    </r>
    <r>
      <rPr>
        <sz val="10"/>
        <color theme="1"/>
        <rFont val="Helvetica Neue Light"/>
        <family val="2"/>
      </rPr>
      <t>]</t>
    </r>
  </si>
  <si>
    <t>SS0-01</t>
  </si>
  <si>
    <t>Earthwork</t>
  </si>
  <si>
    <t>SS0-02</t>
  </si>
  <si>
    <t>Foundations &amp; Grade Slab</t>
  </si>
  <si>
    <t>SS0-03</t>
  </si>
  <si>
    <t>Podium Slab</t>
  </si>
  <si>
    <t>SS0-04</t>
  </si>
  <si>
    <t>Building Envelope and Common Areas</t>
  </si>
  <si>
    <r>
      <t xml:space="preserve">GFC | Independent Subgrade Structure—Block </t>
    </r>
    <r>
      <rPr>
        <b/>
        <sz val="10"/>
        <color theme="1"/>
        <rFont val="Helvetica Neue Light"/>
        <family val="2"/>
      </rPr>
      <t>01</t>
    </r>
  </si>
  <si>
    <t>SS1-01</t>
  </si>
  <si>
    <t>SS1-02</t>
  </si>
  <si>
    <r>
      <t xml:space="preserve">GFC | Independent Subgrade Structure—Block </t>
    </r>
    <r>
      <rPr>
        <b/>
        <sz val="10"/>
        <color theme="1"/>
        <rFont val="Helvetica Neue Light"/>
        <family val="2"/>
      </rPr>
      <t>02</t>
    </r>
  </si>
  <si>
    <r>
      <t xml:space="preserve">GFC | Independent Subgrade Structure—Block </t>
    </r>
    <r>
      <rPr>
        <b/>
        <sz val="10"/>
        <color theme="1"/>
        <rFont val="Helvetica Neue Light"/>
        <family val="2"/>
      </rPr>
      <t>03</t>
    </r>
  </si>
  <si>
    <r>
      <t xml:space="preserve">GFC | Independent Subgrade Structure—Block </t>
    </r>
    <r>
      <rPr>
        <b/>
        <sz val="10"/>
        <color theme="1"/>
        <rFont val="Helvetica Neue Light"/>
        <family val="2"/>
      </rPr>
      <t>04</t>
    </r>
  </si>
  <si>
    <t>SS4-02</t>
  </si>
  <si>
    <t>SS4-04</t>
  </si>
  <si>
    <r>
      <t xml:space="preserve">GFC | Independent Subgrade Structure—Block </t>
    </r>
    <r>
      <rPr>
        <b/>
        <sz val="10"/>
        <color theme="1"/>
        <rFont val="Helvetica Neue Light"/>
        <family val="2"/>
      </rPr>
      <t>05</t>
    </r>
  </si>
  <si>
    <r>
      <t xml:space="preserve">GFC | Independent Subgrade Structure—Block </t>
    </r>
    <r>
      <rPr>
        <b/>
        <sz val="10"/>
        <color theme="1"/>
        <rFont val="Helvetica Neue Light"/>
        <family val="2"/>
      </rPr>
      <t>06</t>
    </r>
  </si>
  <si>
    <r>
      <t xml:space="preserve">GFC | Independent Subgrade Structure—Block </t>
    </r>
    <r>
      <rPr>
        <b/>
        <sz val="10"/>
        <color theme="1"/>
        <rFont val="Helvetica Neue Light"/>
        <family val="2"/>
      </rPr>
      <t>07</t>
    </r>
  </si>
  <si>
    <r>
      <t xml:space="preserve">GFC | Independent Subgrade Structure—Block </t>
    </r>
    <r>
      <rPr>
        <b/>
        <sz val="10"/>
        <color theme="1"/>
        <rFont val="Helvetica Neue Light"/>
        <family val="2"/>
      </rPr>
      <t>08</t>
    </r>
  </si>
  <si>
    <r>
      <t xml:space="preserve">GFC | Independent Subgrade Structure—Block </t>
    </r>
    <r>
      <rPr>
        <b/>
        <sz val="10"/>
        <color theme="1"/>
        <rFont val="Helvetica Neue Light"/>
        <family val="2"/>
      </rPr>
      <t>09</t>
    </r>
  </si>
  <si>
    <t>SS9-02</t>
  </si>
  <si>
    <t>SS9-04</t>
  </si>
  <si>
    <r>
      <t xml:space="preserve">GFC | Independent Subgrade Structure—Block </t>
    </r>
    <r>
      <rPr>
        <b/>
        <sz val="10"/>
        <color theme="1"/>
        <rFont val="Helvetica Neue Light"/>
        <family val="2"/>
      </rPr>
      <t>10</t>
    </r>
  </si>
  <si>
    <r>
      <t xml:space="preserve">GFC | Independent Subgrade Structure—Block </t>
    </r>
    <r>
      <rPr>
        <b/>
        <sz val="10"/>
        <color theme="1"/>
        <rFont val="Helvetica Neue Light"/>
        <family val="2"/>
      </rPr>
      <t>11</t>
    </r>
  </si>
  <si>
    <r>
      <t xml:space="preserve">GFC | Independent Subgrade Structure—Block </t>
    </r>
    <r>
      <rPr>
        <b/>
        <sz val="10"/>
        <color theme="1"/>
        <rFont val="Helvetica Neue Light"/>
        <family val="2"/>
      </rPr>
      <t>12</t>
    </r>
    <r>
      <rPr>
        <sz val="10"/>
        <color theme="1"/>
        <rFont val="Helvetica Neue Light"/>
        <family val="2"/>
      </rPr>
      <t xml:space="preserve"> [6V EXT BSMNT]</t>
    </r>
  </si>
  <si>
    <r>
      <t xml:space="preserve">GFC | Villas—Cluster </t>
    </r>
    <r>
      <rPr>
        <b/>
        <sz val="10"/>
        <color theme="1"/>
        <rFont val="Helvetica Neue Light"/>
        <family val="2"/>
      </rPr>
      <t>1 &amp; 2</t>
    </r>
  </si>
  <si>
    <t>VC1-01</t>
  </si>
  <si>
    <t>Foundations and Sub-Grade</t>
  </si>
  <si>
    <t>VC1-02</t>
  </si>
  <si>
    <t>All Levels</t>
  </si>
  <si>
    <t>VC1-03</t>
  </si>
  <si>
    <r>
      <t xml:space="preserve">GFC | Villas—Cluster </t>
    </r>
    <r>
      <rPr>
        <b/>
        <sz val="10"/>
        <color theme="1"/>
        <rFont val="Helvetica Neue Light"/>
        <family val="2"/>
      </rPr>
      <t>3</t>
    </r>
  </si>
  <si>
    <t>VC3-01</t>
  </si>
  <si>
    <t>VC3-02</t>
  </si>
  <si>
    <t>VC3-03</t>
  </si>
  <si>
    <t>GFC | Individual Homes</t>
  </si>
  <si>
    <t>C20-01</t>
  </si>
  <si>
    <t>C20 Default and it's variants</t>
  </si>
  <si>
    <t>L30-01</t>
  </si>
  <si>
    <t>L30 Default and it's variants</t>
  </si>
  <si>
    <t>L45-01</t>
  </si>
  <si>
    <t>L45 Default and it's variants</t>
  </si>
  <si>
    <t>V50-01</t>
  </si>
  <si>
    <t>V50 Default and it's variants</t>
  </si>
  <si>
    <t>V40-01</t>
  </si>
  <si>
    <t>V40 Default and it's variants</t>
  </si>
  <si>
    <t>R11 Default and it's variants</t>
  </si>
  <si>
    <t>R22 Default and it's variants</t>
  </si>
  <si>
    <t>C20P Default and it's variants</t>
  </si>
  <si>
    <t>L30P Default and it's variants</t>
  </si>
  <si>
    <t>L45P Default and it's variants</t>
  </si>
  <si>
    <t>GFC | Master Plan</t>
  </si>
  <si>
    <t>SDV-01</t>
  </si>
  <si>
    <t>Master Plan</t>
  </si>
  <si>
    <t>SDV-02</t>
  </si>
  <si>
    <t>Site Development</t>
  </si>
  <si>
    <t>SDV-03</t>
  </si>
  <si>
    <t>Site MEP</t>
  </si>
  <si>
    <t>SDV-04</t>
  </si>
  <si>
    <t>Landscaping</t>
  </si>
  <si>
    <t>GFC | Amenities &amp; Facilities</t>
  </si>
  <si>
    <t>AMN-01</t>
  </si>
  <si>
    <t>Clubhouse—Structure and Envelope</t>
  </si>
  <si>
    <t>AMN-02</t>
  </si>
  <si>
    <t>Clubhouse—Interiors and Facilities</t>
  </si>
  <si>
    <t>AMN-03</t>
  </si>
  <si>
    <t>Clubhouse—Outdoor Spaces and Pool</t>
  </si>
  <si>
    <t>AMN-04</t>
  </si>
  <si>
    <t>Community spaces [Board Walk, Children play area]</t>
  </si>
  <si>
    <t>AMN-05</t>
  </si>
  <si>
    <t>Sporting Facilities</t>
  </si>
  <si>
    <t>POST-CONSTRUCTION</t>
  </si>
  <si>
    <t>Archives</t>
  </si>
  <si>
    <t xml:space="preserve">Complete set of "As-Built" drawings, final BoQ and project costs, </t>
  </si>
  <si>
    <t>MAJOR REWORKS</t>
  </si>
  <si>
    <t>0059 | Pursuit of a Radical Rhapsody | Tower-08</t>
  </si>
  <si>
    <t>Experience Home + Project Experience</t>
  </si>
  <si>
    <t>BB01</t>
  </si>
  <si>
    <r>
      <t>GFC | Tower—</t>
    </r>
    <r>
      <rPr>
        <b/>
        <sz val="10"/>
        <color theme="1"/>
        <rFont val="Meta-Normal"/>
        <family val="3"/>
      </rPr>
      <t>08</t>
    </r>
  </si>
  <si>
    <t>BB01-1</t>
  </si>
  <si>
    <t>BB01-2</t>
  </si>
  <si>
    <t>BB01-3</t>
  </si>
  <si>
    <t>BB01-4</t>
  </si>
  <si>
    <t>BB01-5</t>
  </si>
  <si>
    <t>BB01-6</t>
  </si>
  <si>
    <t>BB01-7</t>
  </si>
  <si>
    <t>BB01-8</t>
  </si>
  <si>
    <t>BB01-9</t>
  </si>
  <si>
    <t>BB01-10</t>
  </si>
  <si>
    <t>BB02</t>
  </si>
  <si>
    <t>GFC | Independent Subgrade Structure - Tower 8</t>
  </si>
  <si>
    <t>BB02-1</t>
  </si>
  <si>
    <t>BB02-2</t>
  </si>
  <si>
    <t>BB02-3</t>
  </si>
  <si>
    <t>Parking level Subgrade</t>
  </si>
  <si>
    <t>BB02-4</t>
  </si>
  <si>
    <t>BB02-5</t>
  </si>
  <si>
    <t>PD</t>
  </si>
  <si>
    <t>R25-1</t>
  </si>
  <si>
    <t>R25 Default and it's variants</t>
  </si>
  <si>
    <t>L20-1</t>
  </si>
  <si>
    <t>L20 Default and it's variants</t>
  </si>
  <si>
    <t>D35-1</t>
  </si>
  <si>
    <t>D35 Default and it's variants</t>
  </si>
  <si>
    <t>L22-1</t>
  </si>
  <si>
    <t>L22 Default and it's variants</t>
  </si>
  <si>
    <t>R25P-1</t>
  </si>
  <si>
    <t>R25 P Default and it's variants</t>
  </si>
  <si>
    <t>L20P-1</t>
  </si>
  <si>
    <t>L20 P Default and it's variants</t>
  </si>
  <si>
    <t>D35P-1</t>
  </si>
  <si>
    <t>D35 P Default and it's variants</t>
  </si>
  <si>
    <t>L22P-1</t>
  </si>
  <si>
    <t>L22 P Default and it's variants</t>
  </si>
  <si>
    <t>MP</t>
  </si>
  <si>
    <t>MP-1</t>
  </si>
  <si>
    <t>MP-2</t>
  </si>
  <si>
    <t>MP-3</t>
  </si>
  <si>
    <t>MP-4</t>
  </si>
  <si>
    <t>AM</t>
  </si>
  <si>
    <t>AM-1</t>
  </si>
  <si>
    <t>AM-2</t>
  </si>
  <si>
    <t>AM-3</t>
  </si>
  <si>
    <t>AM-4</t>
  </si>
  <si>
    <t>AM-5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</si>
</sst>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0.0"/>
    <numFmt numFmtId="167" formatCode="_(* #,##0.0_);_(* \(#,##0.0\);_(* &quot;-&quot;??_);_(@_)"/>
    <numFmt numFmtId="168" formatCode="0%;\-0%;\-;@"/>
  </numFmts>
  <fonts count="52">
    <font>
      <sz val="10"/>
      <color theme="1"/>
      <name val="Meta-Normal"/>
      <family val="2"/>
    </font>
    <font>
      <sz val="11"/>
      <color theme="1"/>
      <name val="Neo Sans Pro Light"/>
      <family val="2"/>
    </font>
    <font>
      <sz val="11"/>
      <color theme="1"/>
      <name val="Aptos Narrow"/>
      <family val="2"/>
      <scheme val="minor"/>
    </font>
    <font>
      <sz val="10"/>
      <color theme="1"/>
      <name val="Meta-Normal"/>
      <family val="2"/>
    </font>
    <font>
      <sz val="12"/>
      <color theme="1"/>
      <name val="Aptos Narrow"/>
      <family val="2"/>
      <scheme val="minor"/>
    </font>
    <font>
      <sz val="8"/>
      <name val="Neo Sans Pro Light"/>
      <family val="2"/>
    </font>
    <font>
      <sz val="10"/>
      <name val="Arial"/>
      <family val="2"/>
    </font>
    <font>
      <sz val="10"/>
      <color rgb="FF000000"/>
      <name val="Helvetica Neue Light"/>
      <family val="2"/>
    </font>
    <font>
      <sz val="10"/>
      <name val="Meta-Normal"/>
    </font>
    <font>
      <sz val="14"/>
      <color theme="0"/>
      <name val="Helvetica Neue Light"/>
      <family val="2"/>
    </font>
    <font>
      <sz val="10"/>
      <color theme="1"/>
      <name val="Helvetica Neue Light"/>
      <family val="2"/>
    </font>
    <font>
      <b/>
      <sz val="10"/>
      <color theme="1"/>
      <name val="Helvetica Neue Light"/>
      <family val="2"/>
    </font>
    <font>
      <sz val="10"/>
      <color theme="1"/>
      <name val="Meta-Normal"/>
    </font>
    <font>
      <b/>
      <sz val="10"/>
      <name val="Helvetica Neue Light"/>
      <family val="2"/>
    </font>
    <font>
      <sz val="10"/>
      <name val="Helvetica Neue Light"/>
      <family val="2"/>
    </font>
    <font>
      <sz val="8"/>
      <color theme="1"/>
      <name val="Meta-Normal"/>
    </font>
    <font>
      <b/>
      <sz val="10"/>
      <name val="Meta-Normal"/>
      <family val="2"/>
    </font>
    <font>
      <sz val="8"/>
      <color theme="1"/>
      <name val="Meta-Normal"/>
      <family val="2"/>
    </font>
    <font>
      <sz val="11"/>
      <color theme="1"/>
      <name val="Meta-Normal"/>
    </font>
    <font>
      <sz val="12"/>
      <color theme="1"/>
      <name val="Helvetica Neue Medium"/>
      <family val="2"/>
    </font>
    <font>
      <sz val="14"/>
      <color theme="0"/>
      <name val="Helvetica Neue Condensed Black"/>
      <family val="2"/>
    </font>
    <font>
      <sz val="8"/>
      <name val="Meta-Normal"/>
    </font>
    <font>
      <b/>
      <sz val="14"/>
      <color theme="0"/>
      <name val="Meta-Normal"/>
    </font>
    <font>
      <b/>
      <sz val="14"/>
      <color theme="0"/>
      <name val="Meta-Normal"/>
      <family val="2"/>
    </font>
    <font>
      <sz val="9"/>
      <color theme="1"/>
      <name val="Helvetica Neue Light"/>
      <family val="2"/>
    </font>
    <font>
      <sz val="9"/>
      <color theme="1"/>
      <name val="Meta-Normal"/>
      <family val="2"/>
    </font>
    <font>
      <sz val="9"/>
      <color theme="1"/>
      <name val="Meta-Normal"/>
    </font>
    <font>
      <sz val="9"/>
      <color theme="4" tint="0.39997558519241921"/>
      <name val="Helvetica Neue Light"/>
      <family val="2"/>
    </font>
    <font>
      <sz val="9"/>
      <color theme="4" tint="0.39997558519241921"/>
      <name val="Meta-Normal"/>
      <family val="2"/>
    </font>
    <font>
      <sz val="10"/>
      <color theme="1"/>
      <name val="Neo Sans Pro"/>
      <family val="2"/>
    </font>
    <font>
      <b/>
      <sz val="10"/>
      <color theme="1"/>
      <name val="Neo Sans Pro"/>
      <family val="2"/>
    </font>
    <font>
      <sz val="14"/>
      <color theme="0"/>
      <name val="Meta-Normal"/>
      <family val="3"/>
    </font>
    <font>
      <sz val="14"/>
      <color theme="0"/>
      <name val="Impact"/>
      <family val="2"/>
    </font>
    <font>
      <sz val="14"/>
      <color theme="0"/>
      <name val="Neo Sans Pro"/>
      <family val="2"/>
    </font>
    <font>
      <b/>
      <sz val="10"/>
      <color theme="1"/>
      <name val="Meta-Normal"/>
      <family val="3"/>
    </font>
    <font>
      <b/>
      <sz val="12"/>
      <color theme="1"/>
      <name val="Meta-Normal"/>
      <family val="3"/>
    </font>
    <font>
      <b/>
      <sz val="11"/>
      <color theme="1"/>
      <name val="Meta-Normal"/>
      <family val="3"/>
    </font>
    <font>
      <b/>
      <sz val="11"/>
      <color theme="0"/>
      <name val="Meta-Normal"/>
      <family val="3"/>
    </font>
    <font>
      <sz val="9"/>
      <color theme="1"/>
      <name val="Meta-Normal"/>
      <family val="3"/>
    </font>
    <font>
      <sz val="11"/>
      <color theme="1"/>
      <name val="Meta-Normal"/>
      <family val="3"/>
    </font>
    <font>
      <sz val="10"/>
      <name val="Neo Sans Pro"/>
      <family val="2"/>
    </font>
    <font>
      <sz val="9"/>
      <name val="Meta-Normal"/>
      <family val="3"/>
    </font>
    <font>
      <b/>
      <sz val="12"/>
      <color theme="1"/>
      <name val="Helvetica Neue Light"/>
      <family val="2"/>
    </font>
    <font>
      <sz val="9"/>
      <color theme="1"/>
      <name val="Helvetica Neue Light"/>
      <family val="2"/>
    </font>
    <font>
      <sz val="10"/>
      <color theme="1"/>
      <name val="Helvetica Neue Light"/>
      <family val="2"/>
    </font>
    <font>
      <sz val="10"/>
      <color theme="1"/>
      <name val="Neo Sans Pro"/>
      <family val="2"/>
    </font>
    <font>
      <sz val="10"/>
      <name val="Neo Sans Pro"/>
      <family val="2"/>
    </font>
    <font>
      <b/>
      <sz val="10"/>
      <color theme="1"/>
      <name val="Helvetica Neue Light"/>
      <family val="2"/>
    </font>
    <font>
      <b/>
      <sz val="10"/>
      <color theme="1"/>
      <name val="Neo Sans Pro"/>
      <family val="2"/>
    </font>
    <font>
      <sz val="10"/>
      <color theme="1"/>
      <name val="Neo Sans Pro Medium"/>
      <family val="2"/>
    </font>
    <font>
      <sz val="10"/>
      <color theme="1"/>
      <name val="Neo Sans Pro Light"/>
      <family val="2"/>
    </font>
    <font>
      <b/>
      <sz val="10"/>
      <color theme="1"/>
      <name val="Neo Sans Pro Light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63634"/>
        <bgColor indexed="64"/>
      </patternFill>
    </fill>
    <fill>
      <patternFill patternType="solid">
        <fgColor theme="7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33">
    <xf numFmtId="0" fontId="0" fillId="0" borderId="0"/>
    <xf numFmtId="164" fontId="3" fillId="0" borderId="0" applyFont="0" applyFill="0" applyBorder="0" applyAlignment="0" applyProtection="0"/>
    <xf numFmtId="0" fontId="2" fillId="0" borderId="0"/>
    <xf numFmtId="0" fontId="3" fillId="0" borderId="0"/>
    <xf numFmtId="0" fontId="4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3" fillId="0" borderId="0" applyFont="0" applyFill="0" applyBorder="0" applyAlignment="0" applyProtection="0"/>
    <xf numFmtId="0" fontId="4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" fillId="0" borderId="0"/>
    <xf numFmtId="43" fontId="3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1" fillId="0" borderId="0"/>
    <xf numFmtId="0" fontId="2" fillId="0" borderId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45">
    <xf numFmtId="0" fontId="0" fillId="0" borderId="0" xfId="0"/>
    <xf numFmtId="0" fontId="10" fillId="0" borderId="2" xfId="2" applyFont="1" applyBorder="1" applyAlignment="1">
      <alignment vertical="center"/>
    </xf>
    <xf numFmtId="0" fontId="13" fillId="0" borderId="2" xfId="2" applyFont="1" applyBorder="1" applyAlignment="1">
      <alignment vertical="center"/>
    </xf>
    <xf numFmtId="0" fontId="14" fillId="0" borderId="2" xfId="2" applyFont="1" applyBorder="1" applyAlignment="1">
      <alignment vertical="center"/>
    </xf>
    <xf numFmtId="0" fontId="10" fillId="0" borderId="0" xfId="2" applyFont="1" applyAlignment="1">
      <alignment vertical="center"/>
    </xf>
    <xf numFmtId="0" fontId="20" fillId="3" borderId="2" xfId="2" applyFont="1" applyFill="1" applyBorder="1" applyAlignment="1">
      <alignment vertical="center"/>
    </xf>
    <xf numFmtId="0" fontId="20" fillId="3" borderId="2" xfId="2" applyFont="1" applyFill="1" applyBorder="1" applyAlignment="1">
      <alignment vertical="center" wrapText="1"/>
    </xf>
    <xf numFmtId="0" fontId="19" fillId="4" borderId="2" xfId="2" applyFont="1" applyFill="1" applyBorder="1" applyAlignment="1">
      <alignment vertical="center"/>
    </xf>
    <xf numFmtId="0" fontId="10" fillId="0" borderId="0" xfId="2" applyFont="1" applyAlignment="1">
      <alignment horizontal="center" vertical="center"/>
    </xf>
    <xf numFmtId="0" fontId="10" fillId="0" borderId="2" xfId="2" applyFont="1" applyBorder="1" applyAlignment="1">
      <alignment horizontal="center" vertical="center"/>
    </xf>
    <xf numFmtId="0" fontId="10" fillId="0" borderId="2" xfId="2" applyFont="1" applyBorder="1" applyAlignment="1">
      <alignment vertical="center" wrapText="1"/>
    </xf>
    <xf numFmtId="2" fontId="0" fillId="0" borderId="2" xfId="2" applyNumberFormat="1" applyFont="1" applyBorder="1" applyAlignment="1">
      <alignment vertical="center"/>
    </xf>
    <xf numFmtId="2" fontId="10" fillId="0" borderId="0" xfId="2" applyNumberFormat="1" applyFont="1" applyAlignment="1">
      <alignment vertical="center"/>
    </xf>
    <xf numFmtId="0" fontId="19" fillId="2" borderId="2" xfId="2" applyFont="1" applyFill="1" applyBorder="1" applyAlignment="1">
      <alignment horizontal="center" vertical="center"/>
    </xf>
    <xf numFmtId="0" fontId="7" fillId="0" borderId="2" xfId="2" applyFont="1" applyBorder="1" applyAlignment="1">
      <alignment vertical="center" wrapText="1"/>
    </xf>
    <xf numFmtId="0" fontId="10" fillId="0" borderId="3" xfId="2" applyFont="1" applyBorder="1" applyAlignment="1">
      <alignment vertical="center"/>
    </xf>
    <xf numFmtId="0" fontId="13" fillId="2" borderId="2" xfId="2" applyFont="1" applyFill="1" applyBorder="1" applyAlignment="1">
      <alignment vertical="center"/>
    </xf>
    <xf numFmtId="0" fontId="11" fillId="2" borderId="2" xfId="2" applyFont="1" applyFill="1" applyBorder="1" applyAlignment="1">
      <alignment vertical="center" wrapText="1"/>
    </xf>
    <xf numFmtId="167" fontId="22" fillId="3" borderId="2" xfId="1" applyNumberFormat="1" applyFont="1" applyFill="1" applyBorder="1" applyAlignment="1">
      <alignment horizontal="center" vertical="center"/>
    </xf>
    <xf numFmtId="165" fontId="23" fillId="3" borderId="2" xfId="1" applyNumberFormat="1" applyFont="1" applyFill="1" applyBorder="1" applyAlignment="1">
      <alignment horizontal="center" vertical="center"/>
    </xf>
    <xf numFmtId="165" fontId="0" fillId="0" borderId="2" xfId="1" applyNumberFormat="1" applyFont="1" applyBorder="1" applyAlignment="1">
      <alignment vertical="center"/>
    </xf>
    <xf numFmtId="0" fontId="19" fillId="2" borderId="2" xfId="2" applyFont="1" applyFill="1" applyBorder="1" applyAlignment="1">
      <alignment horizontal="center" vertical="center" wrapText="1"/>
    </xf>
    <xf numFmtId="0" fontId="10" fillId="0" borderId="3" xfId="2" applyFont="1" applyBorder="1" applyAlignment="1">
      <alignment horizontal="center" vertical="center"/>
    </xf>
    <xf numFmtId="2" fontId="12" fillId="0" borderId="2" xfId="2" applyNumberFormat="1" applyFont="1" applyBorder="1" applyAlignment="1">
      <alignment vertical="center"/>
    </xf>
    <xf numFmtId="1" fontId="12" fillId="0" borderId="2" xfId="2" applyNumberFormat="1" applyFont="1" applyBorder="1" applyAlignment="1">
      <alignment vertical="center"/>
    </xf>
    <xf numFmtId="0" fontId="19" fillId="4" borderId="2" xfId="2" applyFont="1" applyFill="1" applyBorder="1" applyAlignment="1">
      <alignment vertical="center" wrapText="1"/>
    </xf>
    <xf numFmtId="2" fontId="18" fillId="4" borderId="2" xfId="2" applyNumberFormat="1" applyFont="1" applyFill="1" applyBorder="1" applyAlignment="1">
      <alignment vertical="center"/>
    </xf>
    <xf numFmtId="165" fontId="18" fillId="4" borderId="2" xfId="1" applyNumberFormat="1" applyFont="1" applyFill="1" applyBorder="1" applyAlignment="1">
      <alignment vertical="center"/>
    </xf>
    <xf numFmtId="165" fontId="12" fillId="0" borderId="2" xfId="1" applyNumberFormat="1" applyFont="1" applyBorder="1" applyAlignment="1">
      <alignment vertical="center"/>
    </xf>
    <xf numFmtId="0" fontId="14" fillId="0" borderId="2" xfId="2" applyFont="1" applyBorder="1" applyAlignment="1">
      <alignment vertical="center" wrapText="1"/>
    </xf>
    <xf numFmtId="2" fontId="16" fillId="2" borderId="2" xfId="2" applyNumberFormat="1" applyFont="1" applyFill="1" applyBorder="1" applyAlignment="1">
      <alignment vertical="center"/>
    </xf>
    <xf numFmtId="165" fontId="16" fillId="2" borderId="2" xfId="1" applyNumberFormat="1" applyFont="1" applyFill="1" applyBorder="1" applyAlignment="1">
      <alignment vertical="center"/>
    </xf>
    <xf numFmtId="0" fontId="13" fillId="0" borderId="3" xfId="2" applyFont="1" applyBorder="1" applyAlignment="1">
      <alignment vertical="center"/>
    </xf>
    <xf numFmtId="0" fontId="13" fillId="0" borderId="0" xfId="2" applyFont="1" applyAlignment="1">
      <alignment vertical="center"/>
    </xf>
    <xf numFmtId="2" fontId="15" fillId="0" borderId="2" xfId="2" applyNumberFormat="1" applyFont="1" applyBorder="1" applyAlignment="1">
      <alignment vertical="center"/>
    </xf>
    <xf numFmtId="2" fontId="21" fillId="0" borderId="2" xfId="2" applyNumberFormat="1" applyFont="1" applyBorder="1" applyAlignment="1">
      <alignment vertical="center"/>
    </xf>
    <xf numFmtId="165" fontId="8" fillId="0" borderId="2" xfId="1" applyNumberFormat="1" applyFont="1" applyBorder="1" applyAlignment="1">
      <alignment vertical="center"/>
    </xf>
    <xf numFmtId="2" fontId="17" fillId="0" borderId="2" xfId="2" applyNumberFormat="1" applyFont="1" applyBorder="1" applyAlignment="1">
      <alignment vertical="center"/>
    </xf>
    <xf numFmtId="0" fontId="10" fillId="0" borderId="0" xfId="2" applyFont="1" applyAlignment="1">
      <alignment vertical="center" wrapText="1"/>
    </xf>
    <xf numFmtId="0" fontId="10" fillId="5" borderId="0" xfId="2" applyFont="1" applyFill="1" applyAlignment="1">
      <alignment vertical="center"/>
    </xf>
    <xf numFmtId="0" fontId="10" fillId="5" borderId="0" xfId="2" applyFont="1" applyFill="1" applyAlignment="1">
      <alignment horizontal="center" vertical="center"/>
    </xf>
    <xf numFmtId="0" fontId="13" fillId="5" borderId="0" xfId="2" applyFont="1" applyFill="1" applyAlignment="1">
      <alignment vertical="center"/>
    </xf>
    <xf numFmtId="9" fontId="10" fillId="0" borderId="0" xfId="26" applyFont="1" applyAlignment="1">
      <alignment vertical="center"/>
    </xf>
    <xf numFmtId="165" fontId="23" fillId="3" borderId="2" xfId="1" applyNumberFormat="1" applyFont="1" applyFill="1" applyBorder="1" applyAlignment="1">
      <alignment horizontal="right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14" fontId="10" fillId="0" borderId="0" xfId="2" applyNumberFormat="1" applyFont="1" applyAlignment="1">
      <alignment vertical="center"/>
    </xf>
    <xf numFmtId="15" fontId="0" fillId="0" borderId="2" xfId="2" applyNumberFormat="1" applyFont="1" applyBorder="1" applyAlignment="1">
      <alignment vertical="center"/>
    </xf>
    <xf numFmtId="2" fontId="10" fillId="0" borderId="2" xfId="2" applyNumberFormat="1" applyFont="1" applyBorder="1" applyAlignment="1">
      <alignment vertical="center"/>
    </xf>
    <xf numFmtId="0" fontId="24" fillId="0" borderId="2" xfId="2" applyFont="1" applyBorder="1" applyAlignment="1">
      <alignment vertical="center"/>
    </xf>
    <xf numFmtId="0" fontId="24" fillId="0" borderId="0" xfId="2" applyFont="1" applyAlignment="1">
      <alignment vertical="center"/>
    </xf>
    <xf numFmtId="0" fontId="24" fillId="5" borderId="0" xfId="2" applyFont="1" applyFill="1" applyAlignment="1">
      <alignment vertical="center"/>
    </xf>
    <xf numFmtId="2" fontId="26" fillId="0" borderId="2" xfId="2" applyNumberFormat="1" applyFont="1" applyBorder="1" applyAlignment="1">
      <alignment vertical="center"/>
    </xf>
    <xf numFmtId="165" fontId="26" fillId="0" borderId="2" xfId="1" applyNumberFormat="1" applyFont="1" applyBorder="1" applyAlignment="1">
      <alignment vertical="center"/>
    </xf>
    <xf numFmtId="2" fontId="25" fillId="0" borderId="2" xfId="2" applyNumberFormat="1" applyFont="1" applyBorder="1" applyAlignment="1">
      <alignment vertical="center"/>
    </xf>
    <xf numFmtId="0" fontId="24" fillId="0" borderId="3" xfId="2" applyFont="1" applyBorder="1" applyAlignment="1">
      <alignment vertical="center"/>
    </xf>
    <xf numFmtId="14" fontId="24" fillId="0" borderId="0" xfId="2" applyNumberFormat="1" applyFont="1" applyAlignment="1">
      <alignment vertical="center"/>
    </xf>
    <xf numFmtId="0" fontId="27" fillId="0" borderId="2" xfId="2" applyFont="1" applyBorder="1" applyAlignment="1">
      <alignment vertical="center"/>
    </xf>
    <xf numFmtId="0" fontId="27" fillId="0" borderId="2" xfId="2" applyFont="1" applyBorder="1" applyAlignment="1">
      <alignment vertical="center" wrapText="1"/>
    </xf>
    <xf numFmtId="15" fontId="28" fillId="0" borderId="2" xfId="2" applyNumberFormat="1" applyFont="1" applyBorder="1" applyAlignment="1">
      <alignment vertical="center"/>
    </xf>
    <xf numFmtId="2" fontId="27" fillId="0" borderId="2" xfId="2" applyNumberFormat="1" applyFont="1" applyBorder="1" applyAlignment="1">
      <alignment vertical="center"/>
    </xf>
    <xf numFmtId="0" fontId="29" fillId="0" borderId="1" xfId="0" applyFont="1" applyBorder="1" applyAlignment="1">
      <alignment vertical="center"/>
    </xf>
    <xf numFmtId="0" fontId="30" fillId="0" borderId="1" xfId="0" applyFont="1" applyBorder="1" applyAlignment="1">
      <alignment horizontal="right" vertical="center"/>
    </xf>
    <xf numFmtId="0" fontId="29" fillId="0" borderId="1" xfId="0" applyFont="1" applyBorder="1" applyAlignment="1">
      <alignment vertical="center" wrapText="1"/>
    </xf>
    <xf numFmtId="168" fontId="29" fillId="0" borderId="1" xfId="0" applyNumberFormat="1" applyFont="1" applyBorder="1" applyAlignment="1">
      <alignment horizontal="center" vertical="center"/>
    </xf>
    <xf numFmtId="168" fontId="29" fillId="0" borderId="1" xfId="0" applyNumberFormat="1" applyFont="1" applyBorder="1" applyAlignment="1">
      <alignment vertical="center"/>
    </xf>
    <xf numFmtId="0" fontId="29" fillId="0" borderId="0" xfId="0" applyFont="1" applyAlignment="1">
      <alignment vertical="center"/>
    </xf>
    <xf numFmtId="0" fontId="29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168" fontId="33" fillId="0" borderId="1" xfId="0" applyNumberFormat="1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3" fillId="0" borderId="1" xfId="0" applyFont="1" applyBorder="1" applyAlignment="1">
      <alignment vertical="center" wrapText="1"/>
    </xf>
    <xf numFmtId="0" fontId="33" fillId="0" borderId="1" xfId="0" applyFont="1" applyBorder="1" applyAlignment="1">
      <alignment vertical="center"/>
    </xf>
    <xf numFmtId="168" fontId="33" fillId="0" borderId="1" xfId="0" applyNumberFormat="1" applyFont="1" applyBorder="1" applyAlignment="1">
      <alignment vertical="center"/>
    </xf>
    <xf numFmtId="0" fontId="30" fillId="6" borderId="1" xfId="0" applyFont="1" applyFill="1" applyBorder="1" applyAlignment="1">
      <alignment horizontal="right" vertical="center"/>
    </xf>
    <xf numFmtId="0" fontId="33" fillId="6" borderId="1" xfId="0" applyFont="1" applyFill="1" applyBorder="1" applyAlignment="1">
      <alignment vertical="center" wrapText="1"/>
    </xf>
    <xf numFmtId="0" fontId="33" fillId="6" borderId="1" xfId="0" applyFont="1" applyFill="1" applyBorder="1" applyAlignment="1">
      <alignment vertical="center"/>
    </xf>
    <xf numFmtId="168" fontId="29" fillId="6" borderId="1" xfId="0" applyNumberFormat="1" applyFont="1" applyFill="1" applyBorder="1" applyAlignment="1">
      <alignment horizontal="center" vertical="center"/>
    </xf>
    <xf numFmtId="168" fontId="36" fillId="0" borderId="1" xfId="0" applyNumberFormat="1" applyFont="1" applyBorder="1" applyAlignment="1">
      <alignment horizontal="center" vertical="center"/>
    </xf>
    <xf numFmtId="168" fontId="37" fillId="0" borderId="1" xfId="0" applyNumberFormat="1" applyFont="1" applyBorder="1" applyAlignment="1">
      <alignment vertical="center"/>
    </xf>
    <xf numFmtId="168" fontId="31" fillId="0" borderId="1" xfId="0" applyNumberFormat="1" applyFont="1" applyBorder="1" applyAlignment="1">
      <alignment vertical="center"/>
    </xf>
    <xf numFmtId="0" fontId="29" fillId="2" borderId="1" xfId="0" applyFont="1" applyFill="1" applyBorder="1" applyAlignment="1">
      <alignment vertical="center"/>
    </xf>
    <xf numFmtId="168" fontId="34" fillId="2" borderId="1" xfId="0" applyNumberFormat="1" applyFont="1" applyFill="1" applyBorder="1" applyAlignment="1">
      <alignment horizontal="center" vertical="center"/>
    </xf>
    <xf numFmtId="168" fontId="38" fillId="0" borderId="1" xfId="0" applyNumberFormat="1" applyFont="1" applyBorder="1" applyAlignment="1">
      <alignment horizontal="center" vertical="center"/>
    </xf>
    <xf numFmtId="168" fontId="38" fillId="0" borderId="1" xfId="0" applyNumberFormat="1" applyFont="1" applyBorder="1" applyAlignment="1">
      <alignment vertical="center"/>
    </xf>
    <xf numFmtId="168" fontId="38" fillId="0" borderId="1" xfId="26" applyNumberFormat="1" applyFont="1" applyBorder="1" applyAlignment="1">
      <alignment horizontal="center" vertical="center"/>
    </xf>
    <xf numFmtId="168" fontId="39" fillId="2" borderId="1" xfId="0" applyNumberFormat="1" applyFont="1" applyFill="1" applyBorder="1" applyAlignment="1">
      <alignment horizontal="center" vertical="center"/>
    </xf>
    <xf numFmtId="0" fontId="30" fillId="0" borderId="0" xfId="0" applyFont="1" applyAlignment="1">
      <alignment horizontal="right" vertical="center"/>
    </xf>
    <xf numFmtId="0" fontId="29" fillId="0" borderId="0" xfId="0" applyFont="1" applyAlignment="1">
      <alignment vertical="center" wrapText="1"/>
    </xf>
    <xf numFmtId="168" fontId="29" fillId="0" borderId="0" xfId="0" applyNumberFormat="1" applyFont="1" applyAlignment="1">
      <alignment horizontal="center" vertical="center"/>
    </xf>
    <xf numFmtId="168" fontId="29" fillId="0" borderId="0" xfId="0" applyNumberFormat="1" applyFont="1" applyAlignment="1">
      <alignment vertical="center"/>
    </xf>
    <xf numFmtId="0" fontId="40" fillId="0" borderId="1" xfId="0" applyFont="1" applyBorder="1" applyAlignment="1">
      <alignment vertical="center"/>
    </xf>
    <xf numFmtId="168" fontId="41" fillId="0" borderId="1" xfId="0" applyNumberFormat="1" applyFont="1" applyBorder="1" applyAlignment="1">
      <alignment horizontal="center" vertical="center"/>
    </xf>
    <xf numFmtId="168" fontId="41" fillId="0" borderId="1" xfId="0" applyNumberFormat="1" applyFont="1" applyBorder="1" applyAlignment="1">
      <alignment vertical="center"/>
    </xf>
    <xf numFmtId="0" fontId="40" fillId="0" borderId="0" xfId="0" applyFont="1" applyAlignment="1">
      <alignment vertical="center"/>
    </xf>
    <xf numFmtId="168" fontId="34" fillId="0" borderId="1" xfId="0" applyNumberFormat="1" applyFont="1" applyBorder="1" applyAlignment="1">
      <alignment horizontal="center" vertical="center"/>
    </xf>
    <xf numFmtId="168" fontId="38" fillId="0" borderId="1" xfId="0" applyNumberFormat="1" applyFont="1" applyBorder="1" applyAlignment="1">
      <alignment vertical="center" wrapText="1"/>
    </xf>
    <xf numFmtId="0" fontId="42" fillId="0" borderId="1" xfId="0" applyFont="1" applyBorder="1" applyAlignment="1">
      <alignment horizontal="right" wrapText="1"/>
    </xf>
    <xf numFmtId="0" fontId="11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11" fillId="0" borderId="0" xfId="0" applyFont="1" applyAlignment="1">
      <alignment horizontal="right" vertical="center"/>
    </xf>
    <xf numFmtId="0" fontId="10" fillId="0" borderId="0" xfId="0" applyFont="1" applyAlignment="1">
      <alignment vertical="center" wrapText="1"/>
    </xf>
    <xf numFmtId="1" fontId="10" fillId="0" borderId="1" xfId="0" applyNumberFormat="1" applyFont="1" applyBorder="1" applyAlignment="1">
      <alignment horizontal="right" vertical="center"/>
    </xf>
    <xf numFmtId="1" fontId="14" fillId="0" borderId="1" xfId="0" applyNumberFormat="1" applyFont="1" applyBorder="1" applyAlignment="1">
      <alignment horizontal="right" vertical="center"/>
    </xf>
    <xf numFmtId="0" fontId="14" fillId="0" borderId="1" xfId="0" applyFont="1" applyBorder="1" applyAlignment="1">
      <alignment vertical="center"/>
    </xf>
    <xf numFmtId="2" fontId="11" fillId="0" borderId="1" xfId="0" applyNumberFormat="1" applyFont="1" applyBorder="1" applyAlignment="1">
      <alignment horizontal="right" vertical="center"/>
    </xf>
    <xf numFmtId="166" fontId="11" fillId="0" borderId="1" xfId="0" applyNumberFormat="1" applyFont="1" applyBorder="1" applyAlignment="1">
      <alignment horizontal="right" vertical="center"/>
    </xf>
    <xf numFmtId="0" fontId="10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168" fontId="39" fillId="0" borderId="1" xfId="0" applyNumberFormat="1" applyFont="1" applyBorder="1" applyAlignment="1">
      <alignment horizontal="center" vertical="center"/>
    </xf>
    <xf numFmtId="168" fontId="32" fillId="3" borderId="1" xfId="0" applyNumberFormat="1" applyFont="1" applyFill="1" applyBorder="1" applyAlignment="1">
      <alignment horizontal="center" vertical="center"/>
    </xf>
    <xf numFmtId="0" fontId="43" fillId="0" borderId="0" xfId="2" applyFont="1" applyAlignment="1">
      <alignment vertical="center"/>
    </xf>
    <xf numFmtId="165" fontId="25" fillId="0" borderId="2" xfId="1" applyNumberFormat="1" applyFont="1" applyBorder="1" applyAlignment="1">
      <alignment vertical="center"/>
    </xf>
    <xf numFmtId="0" fontId="44" fillId="0" borderId="0" xfId="2" applyFont="1" applyAlignment="1">
      <alignment vertical="center"/>
    </xf>
    <xf numFmtId="165" fontId="34" fillId="0" borderId="1" xfId="30" applyNumberFormat="1" applyFont="1" applyBorder="1" applyAlignment="1">
      <alignment horizontal="center" vertical="center"/>
    </xf>
    <xf numFmtId="165" fontId="10" fillId="0" borderId="1" xfId="30" applyNumberFormat="1" applyFont="1" applyBorder="1" applyAlignment="1">
      <alignment horizontal="center"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vertical="center"/>
    </xf>
    <xf numFmtId="168" fontId="45" fillId="0" borderId="0" xfId="0" applyNumberFormat="1" applyFont="1" applyAlignment="1">
      <alignment horizontal="center" vertical="center"/>
    </xf>
    <xf numFmtId="0" fontId="47" fillId="0" borderId="0" xfId="0" applyFont="1" applyAlignment="1">
      <alignment horizontal="right" vertical="center"/>
    </xf>
    <xf numFmtId="0" fontId="48" fillId="0" borderId="0" xfId="0" applyFont="1" applyAlignment="1">
      <alignment horizontal="right" vertical="center"/>
    </xf>
    <xf numFmtId="0" fontId="45" fillId="0" borderId="0" xfId="0" applyFont="1" applyAlignment="1">
      <alignment vertical="center" wrapText="1"/>
    </xf>
    <xf numFmtId="168" fontId="45" fillId="0" borderId="0" xfId="0" applyNumberFormat="1" applyFont="1" applyAlignment="1">
      <alignment vertical="center"/>
    </xf>
    <xf numFmtId="168" fontId="0" fillId="0" borderId="1" xfId="0" applyNumberFormat="1" applyBorder="1" applyAlignment="1">
      <alignment horizontal="center" vertical="center"/>
    </xf>
    <xf numFmtId="0" fontId="49" fillId="2" borderId="4" xfId="0" applyFont="1" applyFill="1" applyBorder="1" applyAlignment="1">
      <alignment vertical="center" wrapText="1"/>
    </xf>
    <xf numFmtId="0" fontId="29" fillId="0" borderId="4" xfId="0" applyFont="1" applyBorder="1" applyAlignment="1">
      <alignment vertical="center" wrapText="1"/>
    </xf>
    <xf numFmtId="0" fontId="40" fillId="0" borderId="4" xfId="0" applyFont="1" applyBorder="1" applyAlignment="1">
      <alignment vertical="center" wrapText="1"/>
    </xf>
    <xf numFmtId="0" fontId="50" fillId="0" borderId="4" xfId="0" applyFont="1" applyBorder="1" applyAlignment="1">
      <alignment vertical="center" wrapText="1"/>
    </xf>
    <xf numFmtId="0" fontId="51" fillId="0" borderId="4" xfId="0" applyFont="1" applyBorder="1" applyAlignment="1">
      <alignment horizontal="right" vertical="center"/>
    </xf>
    <xf numFmtId="0" fontId="13" fillId="2" borderId="2" xfId="2" applyFont="1" applyFill="1" applyBorder="1" applyAlignment="1">
      <alignment vertical="center" wrapText="1"/>
    </xf>
    <xf numFmtId="0" fontId="24" fillId="0" borderId="2" xfId="2" applyFont="1" applyBorder="1" applyAlignment="1">
      <alignment vertical="center" wrapText="1"/>
    </xf>
    <xf numFmtId="2" fontId="10" fillId="0" borderId="0" xfId="2" applyNumberFormat="1" applyFont="1" applyAlignment="1">
      <alignment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 wrapText="1"/>
    </xf>
  </cellXfs>
  <cellStyles count="33">
    <cellStyle name="Comma" xfId="1" builtinId="3"/>
    <cellStyle name="Comma 10" xfId="22" xr:uid="{7DEE2C9A-C384-41B9-9C39-671BCA8A70B4}"/>
    <cellStyle name="Comma 2" xfId="6" xr:uid="{9974E87C-B3E8-4FCD-85D5-738EC5A00EBD}"/>
    <cellStyle name="Comma 2 10" xfId="31" xr:uid="{B2576190-C9C3-4ABE-8383-332BBFAA95D8}"/>
    <cellStyle name="Comma 2 2" xfId="15" xr:uid="{56E3BB82-B47C-4F8E-8C81-B7AE45EBD356}"/>
    <cellStyle name="Comma 2 2 2" xfId="18" xr:uid="{74D0584D-CE06-400C-9822-064532443BAD}"/>
    <cellStyle name="Comma 2 3" xfId="17" xr:uid="{75B5461C-6E48-455D-8A6A-467E583FFBE6}"/>
    <cellStyle name="Comma 2 4" xfId="20" xr:uid="{45C92782-944B-4D3C-A1F1-F1BF1422F133}"/>
    <cellStyle name="Comma 3" xfId="14" xr:uid="{60A7A182-7A5F-4172-B0D8-0297083A140B}"/>
    <cellStyle name="Comma 4" xfId="16" xr:uid="{A8AA4419-2BDF-487C-B3C3-91425DDFB4A2}"/>
    <cellStyle name="Comma 47" xfId="23" xr:uid="{5CB24E7C-3BED-4301-9BE7-D445FB20C459}"/>
    <cellStyle name="Comma 5" xfId="7" xr:uid="{552278EB-8DB7-4AB4-939D-74B16F96D747}"/>
    <cellStyle name="Comma 6" xfId="24" xr:uid="{8F64F0F1-AE23-4528-9461-18244EC3E3D6}"/>
    <cellStyle name="Comma 9" xfId="30" xr:uid="{5D6B080B-224D-4ABB-9746-7574687A0C34}"/>
    <cellStyle name="Normal" xfId="0" builtinId="0"/>
    <cellStyle name="Normal 170 2" xfId="4" xr:uid="{4B133F74-B308-4F27-AAC6-880253265B6A}"/>
    <cellStyle name="Normal 170 2 2" xfId="13" xr:uid="{C0FF7614-52E9-4BB9-90EE-9C2C4D0A634E}"/>
    <cellStyle name="Normal 170 2 2 2" xfId="11" xr:uid="{800CD04E-E8C2-4A36-8407-AB00702268E2}"/>
    <cellStyle name="Normal 170 2 2 3" xfId="21" xr:uid="{16651F48-3A16-4FE8-AB47-8D0E2375A284}"/>
    <cellStyle name="Normal 170 2 2 3 5" xfId="27" xr:uid="{E2E8F931-1A09-4522-81C6-EF9218A13C5A}"/>
    <cellStyle name="Normal 2" xfId="8" xr:uid="{9E5C3A08-B208-402D-8FFE-828530A336D4}"/>
    <cellStyle name="Normal 2 111" xfId="29" xr:uid="{BF3C3A79-D8AD-4AB5-9BE4-DE7FE84441CF}"/>
    <cellStyle name="Normal 3" xfId="9" xr:uid="{75325961-0C84-46B9-A78C-3AF447CB04F7}"/>
    <cellStyle name="Normal 3 3 2" xfId="19" xr:uid="{07C2A6DA-C14E-4B03-8B73-2E2F69B22545}"/>
    <cellStyle name="Normal 3 35" xfId="10" xr:uid="{6D4650CB-0A2A-4D5B-AB52-695BD12310F0}"/>
    <cellStyle name="Normal 4" xfId="2" xr:uid="{47204A2B-CF82-477F-8027-168EE23D2B09}"/>
    <cellStyle name="Normal 46" xfId="3" xr:uid="{4870A42E-E3CE-4C69-9ECF-500C8FF6AA76}"/>
    <cellStyle name="Normal 5" xfId="28" xr:uid="{9288BF0C-E91D-47EB-A104-7E112B2AD194}"/>
    <cellStyle name="Percent" xfId="26" builtinId="5"/>
    <cellStyle name="Percent 2" xfId="12" xr:uid="{4C66D492-1276-4F92-86CC-4C6C4E71D4EC}"/>
    <cellStyle name="Percent 2 60" xfId="32" xr:uid="{A153B080-052D-4C91-8F45-FEB5A2480A7C}"/>
    <cellStyle name="Percent 3" xfId="5" xr:uid="{D1DC7DAE-1327-4E4E-B6F1-65DACDB4E605}"/>
    <cellStyle name="Percent 4" xfId="25" xr:uid="{F8EC7DE0-350B-4187-B2C0-55F72F0B4347}"/>
  </cellStyles>
  <dxfs count="6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E85D494-0FEE-441D-9FAC-9CE497BF92D1}"/>
  <namedSheetView name="View2" id="{DDB09B31-4BB1-4079-B700-A106605822CA}"/>
</namedSheetView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BD44E-7C23-49AA-BB15-582623E04E70}">
  <sheetPr codeName="Sheet5">
    <outlinePr summaryBelow="0" summaryRight="0"/>
    <pageSetUpPr fitToPage="1"/>
  </sheetPr>
  <dimension ref="A2:AC137"/>
  <sheetViews>
    <sheetView tabSelected="1" zoomScaleNormal="100" workbookViewId="0">
      <pane xSplit="2" ySplit="4" topLeftCell="C5" activePane="bottomRight" state="frozen"/>
      <selection pane="bottomRight" activeCell="F43" sqref="F43"/>
      <selection pane="bottomLeft" activeCell="A8" sqref="A8"/>
      <selection pane="topRight"/>
    </sheetView>
  </sheetViews>
  <sheetFormatPr defaultColWidth="9.42578125" defaultRowHeight="13.15" outlineLevelRow="3" outlineLevelCol="1"/>
  <cols>
    <col min="1" max="1" width="0.5703125" style="4" customWidth="1"/>
    <col min="2" max="2" width="22.7109375" style="4" customWidth="1"/>
    <col min="3" max="3" width="53.7109375" style="38" customWidth="1"/>
    <col min="4" max="4" width="17.28515625" style="4" customWidth="1" collapsed="1"/>
    <col min="5" max="5" width="24.7109375" style="4" bestFit="1" customWidth="1"/>
    <col min="6" max="6" width="30.85546875" style="38" customWidth="1" collapsed="1"/>
    <col min="7" max="9" width="0.5703125" style="4" hidden="1" customWidth="1" outlineLevel="1"/>
    <col min="10" max="10" width="13.28515625" style="4" hidden="1" customWidth="1" outlineLevel="1"/>
    <col min="11" max="11" width="9.5703125" style="4" hidden="1" customWidth="1" outlineLevel="1"/>
    <col min="12" max="12" width="16.28515625" style="4" hidden="1" customWidth="1" outlineLevel="1"/>
    <col min="13" max="13" width="14.28515625" style="4" hidden="1" customWidth="1" outlineLevel="1"/>
    <col min="14" max="16" width="0.5703125" style="4" hidden="1" customWidth="1" outlineLevel="1"/>
    <col min="17" max="17" width="14.42578125" style="4" hidden="1" customWidth="1" outlineLevel="1"/>
    <col min="18" max="18" width="14.42578125" style="4" hidden="1" customWidth="1" outlineLevel="1" collapsed="1"/>
    <col min="19" max="22" width="14.42578125" style="4" hidden="1" customWidth="1" outlineLevel="1"/>
    <col min="23" max="25" width="0.5703125" style="4" customWidth="1"/>
    <col min="26" max="26" width="9.42578125" style="4"/>
    <col min="27" max="27" width="10.28515625" style="4" bestFit="1" customWidth="1"/>
    <col min="28" max="16384" width="9.42578125" style="4"/>
  </cols>
  <sheetData>
    <row r="2" spans="1:29" ht="17.45">
      <c r="A2" s="1"/>
      <c r="B2" s="5" t="s">
        <v>0</v>
      </c>
      <c r="C2" s="6"/>
      <c r="D2" s="18"/>
      <c r="E2" s="18"/>
      <c r="F2" s="6"/>
      <c r="H2" s="39"/>
      <c r="J2" s="18">
        <f>SUBTOTAL(9,J6:J134)</f>
        <v>10.166581499999996</v>
      </c>
      <c r="K2" s="19">
        <f>SUBTOTAL(9,K6:K134)</f>
        <v>38</v>
      </c>
      <c r="L2" s="18">
        <f>SUBTOTAL(9,L6:L134)</f>
        <v>0.6</v>
      </c>
      <c r="M2" s="43">
        <f>SUBTOTAL(9,M6:M134)</f>
        <v>2</v>
      </c>
      <c r="N2" s="15"/>
      <c r="O2" s="39"/>
      <c r="Q2" s="5"/>
      <c r="R2" s="5"/>
      <c r="S2" s="5"/>
      <c r="T2" s="5"/>
      <c r="U2" s="5"/>
      <c r="V2" s="5"/>
      <c r="W2" s="15"/>
      <c r="X2" s="39"/>
      <c r="Z2" s="12"/>
    </row>
    <row r="3" spans="1:29" ht="3" customHeight="1">
      <c r="A3" s="1"/>
      <c r="B3" s="1"/>
      <c r="C3" s="10"/>
      <c r="D3" s="1"/>
      <c r="E3" s="1"/>
      <c r="F3" s="10"/>
      <c r="H3" s="39"/>
      <c r="J3" s="1"/>
      <c r="K3" s="1"/>
      <c r="L3" s="1"/>
      <c r="M3" s="1"/>
      <c r="N3" s="15"/>
      <c r="O3" s="39"/>
      <c r="Q3" s="1"/>
      <c r="R3" s="1"/>
      <c r="S3" s="1"/>
      <c r="T3" s="1"/>
      <c r="U3" s="1"/>
      <c r="V3" s="1"/>
      <c r="W3" s="15"/>
      <c r="X3" s="39"/>
    </row>
    <row r="4" spans="1:29" s="8" customFormat="1" ht="30">
      <c r="A4" s="9"/>
      <c r="B4" s="13" t="s">
        <v>1</v>
      </c>
      <c r="C4" s="21" t="s">
        <v>2</v>
      </c>
      <c r="D4" s="13" t="s">
        <v>3</v>
      </c>
      <c r="E4" s="13" t="s">
        <v>4</v>
      </c>
      <c r="F4" s="21" t="s">
        <v>5</v>
      </c>
      <c r="H4" s="40"/>
      <c r="J4" s="21" t="s">
        <v>6</v>
      </c>
      <c r="K4" s="21" t="s">
        <v>7</v>
      </c>
      <c r="L4" s="13" t="s">
        <v>8</v>
      </c>
      <c r="M4" s="21" t="s">
        <v>9</v>
      </c>
      <c r="N4" s="22"/>
      <c r="O4" s="40"/>
      <c r="Q4" s="13" t="s">
        <v>10</v>
      </c>
      <c r="R4" s="13" t="s">
        <v>11</v>
      </c>
      <c r="S4" s="13" t="s">
        <v>12</v>
      </c>
      <c r="T4" s="13" t="s">
        <v>13</v>
      </c>
      <c r="U4" s="13" t="s">
        <v>14</v>
      </c>
      <c r="V4" s="13" t="s">
        <v>15</v>
      </c>
      <c r="W4" s="22"/>
      <c r="X4" s="40"/>
      <c r="Z4" s="42"/>
      <c r="AC4" s="4"/>
    </row>
    <row r="5" spans="1:29" ht="3" customHeight="1">
      <c r="A5" s="1"/>
      <c r="B5" s="1"/>
      <c r="C5" s="10"/>
      <c r="D5" s="23"/>
      <c r="E5" s="23"/>
      <c r="F5" s="10"/>
      <c r="H5" s="39"/>
      <c r="J5" s="23"/>
      <c r="K5" s="24"/>
      <c r="L5" s="23"/>
      <c r="M5" s="24"/>
      <c r="N5" s="15"/>
      <c r="O5" s="39"/>
      <c r="Q5" s="1"/>
      <c r="R5" s="1"/>
      <c r="S5" s="1"/>
      <c r="T5" s="1"/>
      <c r="U5" s="1"/>
      <c r="V5" s="1"/>
      <c r="W5" s="15"/>
      <c r="X5" s="39"/>
      <c r="Z5" s="12"/>
      <c r="AA5" s="12"/>
    </row>
    <row r="6" spans="1:29" ht="15">
      <c r="A6" s="1"/>
      <c r="B6" s="7" t="s">
        <v>16</v>
      </c>
      <c r="C6" s="25" t="s">
        <v>17</v>
      </c>
      <c r="D6" s="26"/>
      <c r="E6" s="26"/>
      <c r="F6" s="25"/>
      <c r="H6" s="39"/>
      <c r="J6" s="26">
        <f>SUBTOTAL(9,J7:J55)</f>
        <v>4.1269914999999999</v>
      </c>
      <c r="K6" s="27">
        <f>SUBTOTAL(9,K7:K55)</f>
        <v>14</v>
      </c>
      <c r="L6" s="26">
        <f>SUBTOTAL(9,L7:L55)</f>
        <v>0.6</v>
      </c>
      <c r="M6" s="27">
        <f>SUBTOTAL(9,M7:M55)</f>
        <v>2</v>
      </c>
      <c r="N6" s="15"/>
      <c r="O6" s="39"/>
      <c r="Q6" s="7"/>
      <c r="R6" s="7"/>
      <c r="S6" s="7"/>
      <c r="T6" s="7"/>
      <c r="U6" s="7"/>
      <c r="V6" s="7"/>
      <c r="W6" s="15"/>
      <c r="X6" s="39"/>
      <c r="Z6" s="12"/>
      <c r="AA6" s="12"/>
    </row>
    <row r="7" spans="1:29" s="33" customFormat="1" outlineLevel="1" collapsed="1">
      <c r="A7" s="2"/>
      <c r="B7" s="16" t="s">
        <v>18</v>
      </c>
      <c r="C7" s="17" t="s">
        <v>19</v>
      </c>
      <c r="D7" s="30"/>
      <c r="E7" s="30"/>
      <c r="F7" s="139"/>
      <c r="H7" s="41"/>
      <c r="J7" s="30">
        <f>SUBTOTAL(9,J8:J31)</f>
        <v>3.3658999999999999</v>
      </c>
      <c r="K7" s="31">
        <f>SUBTOTAL(9,K8:K31)</f>
        <v>8</v>
      </c>
      <c r="L7" s="30">
        <f>SUBTOTAL(9,L8:L31)</f>
        <v>0.6</v>
      </c>
      <c r="M7" s="31">
        <f>SUBTOTAL(9,M8:M31)</f>
        <v>2</v>
      </c>
      <c r="N7" s="32"/>
      <c r="O7" s="41"/>
      <c r="Q7" s="16"/>
      <c r="R7" s="16"/>
      <c r="S7" s="16"/>
      <c r="T7" s="16"/>
      <c r="U7" s="16"/>
      <c r="V7" s="16"/>
      <c r="W7" s="32"/>
      <c r="X7" s="41"/>
      <c r="AA7" s="12"/>
    </row>
    <row r="8" spans="1:29" hidden="1" outlineLevel="2">
      <c r="A8" s="1"/>
      <c r="B8" s="1" t="s">
        <v>16</v>
      </c>
      <c r="C8" s="14" t="s">
        <v>20</v>
      </c>
      <c r="D8" s="47">
        <v>46295</v>
      </c>
      <c r="E8" s="14" t="s">
        <v>21</v>
      </c>
      <c r="F8" s="10"/>
      <c r="H8" s="39"/>
      <c r="J8" s="34">
        <v>0.17</v>
      </c>
      <c r="K8" s="28">
        <v>1</v>
      </c>
      <c r="L8" s="11">
        <f>IF(M8=1,J8,0)</f>
        <v>0</v>
      </c>
      <c r="M8" s="28"/>
      <c r="N8" s="15"/>
      <c r="O8" s="39"/>
      <c r="Q8" s="1" t="s">
        <v>22</v>
      </c>
      <c r="R8" s="1" t="s">
        <v>23</v>
      </c>
      <c r="S8" s="1" t="s">
        <v>24</v>
      </c>
      <c r="T8" s="1"/>
      <c r="U8" s="1"/>
      <c r="V8" s="1"/>
      <c r="W8" s="15"/>
      <c r="X8" s="39"/>
      <c r="AA8" s="46"/>
    </row>
    <row r="9" spans="1:29" s="50" customFormat="1" ht="12.75" hidden="1" outlineLevel="3">
      <c r="A9" s="49"/>
      <c r="B9" s="57"/>
      <c r="C9" s="58" t="s">
        <v>25</v>
      </c>
      <c r="D9" s="59">
        <v>46289</v>
      </c>
      <c r="E9" s="60" t="s">
        <v>23</v>
      </c>
      <c r="F9" s="140"/>
      <c r="H9" s="51"/>
      <c r="J9" s="52"/>
      <c r="K9" s="53"/>
      <c r="L9" s="54"/>
      <c r="M9" s="53"/>
      <c r="N9" s="55"/>
      <c r="O9" s="51"/>
      <c r="Q9" s="49"/>
      <c r="R9" s="49"/>
      <c r="S9" s="49"/>
      <c r="T9" s="49"/>
      <c r="U9" s="49"/>
      <c r="V9" s="49"/>
      <c r="W9" s="55"/>
      <c r="X9" s="51"/>
      <c r="AA9" s="56"/>
    </row>
    <row r="10" spans="1:29" s="50" customFormat="1" ht="12.75" hidden="1" outlineLevel="3">
      <c r="A10" s="49"/>
      <c r="B10" s="57"/>
      <c r="C10" s="58" t="s">
        <v>26</v>
      </c>
      <c r="D10" s="59">
        <v>46289</v>
      </c>
      <c r="E10" s="60" t="s">
        <v>23</v>
      </c>
      <c r="F10" s="140"/>
      <c r="H10" s="51"/>
      <c r="J10" s="52"/>
      <c r="K10" s="53"/>
      <c r="L10" s="54"/>
      <c r="M10" s="53"/>
      <c r="N10" s="55"/>
      <c r="O10" s="51"/>
      <c r="Q10" s="49"/>
      <c r="R10" s="49"/>
      <c r="S10" s="49"/>
      <c r="T10" s="49"/>
      <c r="U10" s="49"/>
      <c r="V10" s="49"/>
      <c r="W10" s="55"/>
      <c r="X10" s="51"/>
    </row>
    <row r="11" spans="1:29" s="50" customFormat="1" ht="12.75" hidden="1" outlineLevel="3">
      <c r="A11" s="49"/>
      <c r="B11" s="57"/>
      <c r="C11" s="58" t="s">
        <v>27</v>
      </c>
      <c r="D11" s="59">
        <v>46289</v>
      </c>
      <c r="E11" s="60" t="s">
        <v>23</v>
      </c>
      <c r="F11" s="140"/>
      <c r="H11" s="51"/>
      <c r="J11" s="52"/>
      <c r="K11" s="53"/>
      <c r="L11" s="54"/>
      <c r="M11" s="53"/>
      <c r="N11" s="55"/>
      <c r="O11" s="51"/>
      <c r="Q11" s="49"/>
      <c r="R11" s="49"/>
      <c r="S11" s="49"/>
      <c r="T11" s="49"/>
      <c r="U11" s="49"/>
      <c r="V11" s="49"/>
      <c r="W11" s="55"/>
      <c r="X11" s="51"/>
    </row>
    <row r="12" spans="1:29" s="50" customFormat="1" ht="12.75" hidden="1" outlineLevel="3">
      <c r="A12" s="49"/>
      <c r="B12" s="57"/>
      <c r="C12" s="58" t="s">
        <v>28</v>
      </c>
      <c r="D12" s="59">
        <v>46293</v>
      </c>
      <c r="E12" s="60" t="s">
        <v>23</v>
      </c>
      <c r="F12" s="140"/>
      <c r="H12" s="51"/>
      <c r="J12" s="52"/>
      <c r="K12" s="53"/>
      <c r="L12" s="54"/>
      <c r="M12" s="53"/>
      <c r="N12" s="55"/>
      <c r="O12" s="51"/>
      <c r="Q12" s="49"/>
      <c r="R12" s="49"/>
      <c r="S12" s="49"/>
      <c r="T12" s="49"/>
      <c r="U12" s="49"/>
      <c r="V12" s="49"/>
      <c r="W12" s="55"/>
      <c r="X12" s="51"/>
    </row>
    <row r="13" spans="1:29" ht="26.45" hidden="1" outlineLevel="2">
      <c r="A13" s="1"/>
      <c r="B13" s="1" t="s">
        <v>16</v>
      </c>
      <c r="C13" s="14" t="s">
        <v>29</v>
      </c>
      <c r="D13" s="47">
        <v>46295</v>
      </c>
      <c r="E13" s="48" t="s">
        <v>21</v>
      </c>
      <c r="F13" s="10"/>
      <c r="H13" s="39"/>
      <c r="J13" s="34">
        <v>0.17</v>
      </c>
      <c r="K13" s="28">
        <v>1</v>
      </c>
      <c r="L13" s="11">
        <f>IF(M13=1,J13,0)</f>
        <v>0</v>
      </c>
      <c r="M13" s="28"/>
      <c r="N13" s="15"/>
      <c r="O13" s="39"/>
      <c r="Q13" s="1" t="s">
        <v>22</v>
      </c>
      <c r="R13" s="1" t="s">
        <v>23</v>
      </c>
      <c r="S13" s="1" t="s">
        <v>24</v>
      </c>
      <c r="T13" s="1"/>
      <c r="U13" s="1"/>
      <c r="V13" s="1"/>
      <c r="W13" s="15"/>
      <c r="X13" s="39"/>
    </row>
    <row r="14" spans="1:29" s="50" customFormat="1" ht="12.75" hidden="1" outlineLevel="3">
      <c r="A14" s="49"/>
      <c r="B14" s="57"/>
      <c r="C14" s="58" t="s">
        <v>30</v>
      </c>
      <c r="D14" s="59">
        <v>46289</v>
      </c>
      <c r="E14" s="60" t="s">
        <v>23</v>
      </c>
      <c r="F14" s="140"/>
      <c r="H14" s="51"/>
      <c r="J14" s="52"/>
      <c r="K14" s="53"/>
      <c r="L14" s="54"/>
      <c r="M14" s="53"/>
      <c r="N14" s="55"/>
      <c r="O14" s="51"/>
      <c r="Q14" s="49"/>
      <c r="R14" s="49"/>
      <c r="S14" s="49"/>
      <c r="T14" s="49"/>
      <c r="U14" s="49"/>
      <c r="V14" s="49"/>
      <c r="W14" s="55"/>
      <c r="X14" s="51"/>
      <c r="AA14" s="56"/>
    </row>
    <row r="15" spans="1:29" s="50" customFormat="1" ht="12.75" hidden="1" outlineLevel="3">
      <c r="A15" s="49"/>
      <c r="B15" s="57"/>
      <c r="C15" s="58" t="s">
        <v>31</v>
      </c>
      <c r="D15" s="59">
        <v>46293</v>
      </c>
      <c r="E15" s="60" t="s">
        <v>23</v>
      </c>
      <c r="F15" s="140" t="s">
        <v>32</v>
      </c>
      <c r="H15" s="51"/>
      <c r="J15" s="52"/>
      <c r="K15" s="53"/>
      <c r="L15" s="54"/>
      <c r="M15" s="53"/>
      <c r="N15" s="55"/>
      <c r="O15" s="51"/>
      <c r="Q15" s="49"/>
      <c r="R15" s="49"/>
      <c r="S15" s="49"/>
      <c r="T15" s="49"/>
      <c r="U15" s="49"/>
      <c r="V15" s="49"/>
      <c r="W15" s="55"/>
      <c r="X15" s="51"/>
    </row>
    <row r="16" spans="1:29" hidden="1" outlineLevel="2">
      <c r="A16" s="1"/>
      <c r="B16" s="1" t="s">
        <v>16</v>
      </c>
      <c r="C16" s="14" t="s">
        <v>33</v>
      </c>
      <c r="D16" s="47">
        <v>46300</v>
      </c>
      <c r="E16" s="48" t="s">
        <v>21</v>
      </c>
      <c r="F16" s="10"/>
      <c r="H16" s="39"/>
      <c r="J16" s="34">
        <v>1.18</v>
      </c>
      <c r="K16" s="28">
        <v>1</v>
      </c>
      <c r="L16" s="11">
        <f t="shared" ref="L16:L31" si="0">IF(M16=1,J16,0)</f>
        <v>0</v>
      </c>
      <c r="M16" s="28"/>
      <c r="N16" s="15"/>
      <c r="O16" s="39"/>
      <c r="Q16" s="1" t="s">
        <v>22</v>
      </c>
      <c r="R16" s="1" t="s">
        <v>34</v>
      </c>
      <c r="S16" s="1"/>
      <c r="T16" s="1"/>
      <c r="U16" s="1"/>
      <c r="V16" s="1"/>
      <c r="W16" s="15"/>
      <c r="X16" s="39"/>
    </row>
    <row r="17" spans="1:29" s="120" customFormat="1" ht="11.45" hidden="1" outlineLevel="3">
      <c r="A17" s="49"/>
      <c r="B17" s="57" t="s">
        <v>35</v>
      </c>
      <c r="C17" s="58" t="s">
        <v>36</v>
      </c>
      <c r="D17" s="59">
        <v>46310</v>
      </c>
      <c r="E17" s="60" t="s">
        <v>37</v>
      </c>
      <c r="F17" s="140"/>
      <c r="G17" s="50"/>
      <c r="H17" s="51"/>
      <c r="I17" s="50"/>
      <c r="J17" s="54"/>
      <c r="K17" s="121"/>
      <c r="L17" s="54"/>
      <c r="M17" s="121"/>
      <c r="N17" s="55"/>
      <c r="O17" s="51"/>
      <c r="P17" s="50"/>
      <c r="Q17" s="49"/>
      <c r="R17" s="49"/>
      <c r="S17" s="49"/>
      <c r="T17" s="49"/>
      <c r="U17" s="49"/>
      <c r="V17" s="49"/>
      <c r="W17" s="55"/>
      <c r="X17" s="51"/>
      <c r="Y17" s="50"/>
      <c r="Z17" s="50"/>
      <c r="AA17" s="56"/>
      <c r="AB17" s="50"/>
      <c r="AC17" s="50"/>
    </row>
    <row r="18" spans="1:29" s="120" customFormat="1" ht="11.45" hidden="1" outlineLevel="3">
      <c r="A18" s="49"/>
      <c r="B18" s="57" t="s">
        <v>38</v>
      </c>
      <c r="C18" s="58" t="s">
        <v>39</v>
      </c>
      <c r="D18" s="59">
        <v>46325</v>
      </c>
      <c r="E18" s="60" t="s">
        <v>40</v>
      </c>
      <c r="F18" s="140"/>
      <c r="G18" s="50"/>
      <c r="H18" s="51"/>
      <c r="I18" s="50"/>
      <c r="J18" s="54"/>
      <c r="K18" s="121"/>
      <c r="L18" s="54"/>
      <c r="M18" s="121"/>
      <c r="N18" s="55"/>
      <c r="O18" s="51"/>
      <c r="P18" s="50"/>
      <c r="Q18" s="49"/>
      <c r="R18" s="49"/>
      <c r="S18" s="49"/>
      <c r="T18" s="49"/>
      <c r="U18" s="49"/>
      <c r="V18" s="49"/>
      <c r="W18" s="55"/>
      <c r="X18" s="51"/>
      <c r="Y18" s="50"/>
      <c r="Z18" s="50"/>
      <c r="AA18" s="50"/>
      <c r="AB18" s="50"/>
      <c r="AC18" s="50"/>
    </row>
    <row r="19" spans="1:29" s="122" customFormat="1" hidden="1" outlineLevel="2">
      <c r="A19" s="1"/>
      <c r="B19" s="1" t="s">
        <v>16</v>
      </c>
      <c r="C19" s="14" t="s">
        <v>41</v>
      </c>
      <c r="D19" s="47">
        <v>46379</v>
      </c>
      <c r="E19" s="48" t="s">
        <v>21</v>
      </c>
      <c r="F19" s="10"/>
      <c r="G19" s="4"/>
      <c r="H19" s="39"/>
      <c r="I19" s="4"/>
      <c r="J19" s="37">
        <f>10659000/10^7</f>
        <v>1.0659000000000001</v>
      </c>
      <c r="K19" s="20">
        <v>1</v>
      </c>
      <c r="L19" s="11">
        <f>IF(M19=1,J19,0)</f>
        <v>0</v>
      </c>
      <c r="M19" s="20"/>
      <c r="N19" s="15"/>
      <c r="O19" s="39"/>
      <c r="P19" s="4"/>
      <c r="Q19" s="1" t="s">
        <v>22</v>
      </c>
      <c r="R19" s="1" t="s">
        <v>42</v>
      </c>
      <c r="S19" s="1" t="s">
        <v>43</v>
      </c>
      <c r="T19" s="1"/>
      <c r="U19" s="1"/>
      <c r="V19" s="1"/>
      <c r="W19" s="15"/>
      <c r="X19" s="39"/>
      <c r="Y19" s="4"/>
      <c r="Z19" s="4"/>
      <c r="AA19" s="4"/>
      <c r="AB19" s="4"/>
      <c r="AC19" s="4"/>
    </row>
    <row r="20" spans="1:29" s="120" customFormat="1" ht="11.45" hidden="1" outlineLevel="3">
      <c r="A20" s="49"/>
      <c r="B20" s="57" t="s">
        <v>35</v>
      </c>
      <c r="C20" s="58" t="s">
        <v>36</v>
      </c>
      <c r="D20" s="59">
        <v>46310</v>
      </c>
      <c r="E20" s="60" t="s">
        <v>37</v>
      </c>
      <c r="F20" s="140"/>
      <c r="G20" s="50"/>
      <c r="H20" s="51"/>
      <c r="I20" s="50"/>
      <c r="J20" s="54"/>
      <c r="K20" s="121"/>
      <c r="L20" s="54"/>
      <c r="M20" s="121"/>
      <c r="N20" s="55"/>
      <c r="O20" s="51"/>
      <c r="P20" s="50"/>
      <c r="Q20" s="49"/>
      <c r="R20" s="49"/>
      <c r="S20" s="49"/>
      <c r="T20" s="49"/>
      <c r="U20" s="49"/>
      <c r="V20" s="49"/>
      <c r="W20" s="55"/>
      <c r="X20" s="51"/>
      <c r="Y20" s="50"/>
      <c r="Z20" s="50"/>
      <c r="AA20" s="56"/>
      <c r="AB20" s="50"/>
      <c r="AC20" s="50"/>
    </row>
    <row r="21" spans="1:29" s="120" customFormat="1" ht="11.45" hidden="1" outlineLevel="3">
      <c r="A21" s="49"/>
      <c r="B21" s="57" t="s">
        <v>38</v>
      </c>
      <c r="C21" s="58" t="s">
        <v>39</v>
      </c>
      <c r="D21" s="59">
        <v>46325</v>
      </c>
      <c r="E21" s="60" t="s">
        <v>40</v>
      </c>
      <c r="F21" s="140"/>
      <c r="G21" s="50"/>
      <c r="H21" s="51"/>
      <c r="I21" s="50"/>
      <c r="J21" s="54"/>
      <c r="K21" s="121"/>
      <c r="L21" s="54"/>
      <c r="M21" s="121"/>
      <c r="N21" s="55"/>
      <c r="O21" s="51"/>
      <c r="P21" s="50"/>
      <c r="Q21" s="49"/>
      <c r="R21" s="49"/>
      <c r="S21" s="49"/>
      <c r="T21" s="49"/>
      <c r="U21" s="49"/>
      <c r="V21" s="49"/>
      <c r="W21" s="55"/>
      <c r="X21" s="51"/>
      <c r="Y21" s="50"/>
      <c r="Z21" s="50"/>
      <c r="AA21" s="50"/>
      <c r="AB21" s="50"/>
      <c r="AC21" s="50"/>
    </row>
    <row r="22" spans="1:29" s="122" customFormat="1" hidden="1" outlineLevel="2">
      <c r="A22" s="1"/>
      <c r="B22" s="1" t="s">
        <v>16</v>
      </c>
      <c r="C22" s="14" t="s">
        <v>44</v>
      </c>
      <c r="D22" s="47">
        <v>46264</v>
      </c>
      <c r="E22" s="48" t="s">
        <v>21</v>
      </c>
      <c r="F22" s="10" t="s">
        <v>45</v>
      </c>
      <c r="G22" s="4"/>
      <c r="H22" s="39"/>
      <c r="I22" s="4"/>
      <c r="J22" s="37">
        <v>0.45</v>
      </c>
      <c r="K22" s="20">
        <v>1</v>
      </c>
      <c r="L22" s="11">
        <f>IF(M22=1,J22,0)</f>
        <v>0.45</v>
      </c>
      <c r="M22" s="20">
        <v>1</v>
      </c>
      <c r="N22" s="15"/>
      <c r="O22" s="39"/>
      <c r="P22" s="4"/>
      <c r="Q22" s="1" t="s">
        <v>22</v>
      </c>
      <c r="R22" s="1" t="s">
        <v>46</v>
      </c>
      <c r="S22" s="1"/>
      <c r="T22" s="1"/>
      <c r="U22" s="1"/>
      <c r="V22" s="1"/>
      <c r="W22" s="15"/>
      <c r="X22" s="39"/>
      <c r="Y22" s="4"/>
      <c r="Z22" s="4"/>
      <c r="AA22" s="4"/>
      <c r="AB22" s="4"/>
      <c r="AC22" s="4"/>
    </row>
    <row r="23" spans="1:29" s="120" customFormat="1" ht="11.45" hidden="1" outlineLevel="3">
      <c r="A23" s="49"/>
      <c r="B23" s="57" t="s">
        <v>35</v>
      </c>
      <c r="C23" s="58" t="s">
        <v>36</v>
      </c>
      <c r="D23" s="59">
        <v>46310</v>
      </c>
      <c r="E23" s="60" t="s">
        <v>37</v>
      </c>
      <c r="F23" s="140"/>
      <c r="G23" s="50"/>
      <c r="H23" s="51"/>
      <c r="I23" s="50"/>
      <c r="J23" s="54"/>
      <c r="K23" s="121"/>
      <c r="L23" s="54"/>
      <c r="M23" s="121"/>
      <c r="N23" s="55"/>
      <c r="O23" s="51"/>
      <c r="P23" s="50"/>
      <c r="Q23" s="49"/>
      <c r="R23" s="49"/>
      <c r="S23" s="49"/>
      <c r="T23" s="49"/>
      <c r="U23" s="49"/>
      <c r="V23" s="49"/>
      <c r="W23" s="55"/>
      <c r="X23" s="51"/>
      <c r="Y23" s="50"/>
      <c r="Z23" s="50"/>
      <c r="AA23" s="56"/>
      <c r="AB23" s="50"/>
      <c r="AC23" s="50"/>
    </row>
    <row r="24" spans="1:29" s="120" customFormat="1" ht="11.45" hidden="1" outlineLevel="3">
      <c r="A24" s="49"/>
      <c r="B24" s="57" t="s">
        <v>38</v>
      </c>
      <c r="C24" s="58" t="s">
        <v>39</v>
      </c>
      <c r="D24" s="59">
        <v>46325</v>
      </c>
      <c r="E24" s="60" t="s">
        <v>40</v>
      </c>
      <c r="F24" s="140"/>
      <c r="G24" s="50"/>
      <c r="H24" s="51"/>
      <c r="I24" s="50"/>
      <c r="J24" s="54"/>
      <c r="K24" s="121"/>
      <c r="L24" s="54"/>
      <c r="M24" s="121"/>
      <c r="N24" s="55"/>
      <c r="O24" s="51"/>
      <c r="P24" s="50"/>
      <c r="Q24" s="49"/>
      <c r="R24" s="49"/>
      <c r="S24" s="49"/>
      <c r="T24" s="49"/>
      <c r="U24" s="49"/>
      <c r="V24" s="49"/>
      <c r="W24" s="55"/>
      <c r="X24" s="51"/>
      <c r="Y24" s="50"/>
      <c r="Z24" s="50"/>
      <c r="AA24" s="50"/>
      <c r="AB24" s="50"/>
      <c r="AC24" s="50"/>
    </row>
    <row r="25" spans="1:29" hidden="1" outlineLevel="2">
      <c r="A25" s="1"/>
      <c r="B25" s="1" t="s">
        <v>16</v>
      </c>
      <c r="C25" s="14" t="s">
        <v>47</v>
      </c>
      <c r="D25" s="47">
        <v>46374</v>
      </c>
      <c r="E25" s="48" t="s">
        <v>21</v>
      </c>
      <c r="F25" s="10"/>
      <c r="H25" s="39"/>
      <c r="J25" s="34">
        <v>0.15</v>
      </c>
      <c r="K25" s="28">
        <v>1</v>
      </c>
      <c r="L25" s="11">
        <f t="shared" si="0"/>
        <v>0</v>
      </c>
      <c r="M25" s="28"/>
      <c r="N25" s="15"/>
      <c r="O25" s="39"/>
      <c r="Q25" s="1" t="s">
        <v>22</v>
      </c>
      <c r="R25" s="1" t="s">
        <v>46</v>
      </c>
      <c r="S25" s="1"/>
      <c r="T25" s="1"/>
      <c r="U25" s="1"/>
      <c r="V25" s="1"/>
      <c r="W25" s="15"/>
      <c r="X25" s="39"/>
    </row>
    <row r="26" spans="1:29" s="120" customFormat="1" ht="11.45" hidden="1" outlineLevel="3">
      <c r="A26" s="49"/>
      <c r="B26" s="57" t="s">
        <v>35</v>
      </c>
      <c r="C26" s="58" t="s">
        <v>36</v>
      </c>
      <c r="D26" s="59">
        <v>46310</v>
      </c>
      <c r="E26" s="60" t="s">
        <v>37</v>
      </c>
      <c r="F26" s="140"/>
      <c r="G26" s="50"/>
      <c r="H26" s="51"/>
      <c r="I26" s="50"/>
      <c r="J26" s="54"/>
      <c r="K26" s="121"/>
      <c r="L26" s="54"/>
      <c r="M26" s="121"/>
      <c r="N26" s="55"/>
      <c r="O26" s="51"/>
      <c r="P26" s="50"/>
      <c r="Q26" s="49"/>
      <c r="R26" s="49"/>
      <c r="S26" s="49"/>
      <c r="T26" s="49"/>
      <c r="U26" s="49"/>
      <c r="V26" s="49"/>
      <c r="W26" s="55"/>
      <c r="X26" s="51"/>
      <c r="Y26" s="50"/>
      <c r="Z26" s="50"/>
      <c r="AA26" s="56"/>
      <c r="AB26" s="50"/>
      <c r="AC26" s="50"/>
    </row>
    <row r="27" spans="1:29" s="120" customFormat="1" ht="11.45" hidden="1" outlineLevel="3">
      <c r="A27" s="49"/>
      <c r="B27" s="57" t="s">
        <v>38</v>
      </c>
      <c r="C27" s="58" t="s">
        <v>39</v>
      </c>
      <c r="D27" s="59">
        <v>46325</v>
      </c>
      <c r="E27" s="60" t="s">
        <v>40</v>
      </c>
      <c r="F27" s="140"/>
      <c r="G27" s="50"/>
      <c r="H27" s="51"/>
      <c r="I27" s="50"/>
      <c r="J27" s="54"/>
      <c r="K27" s="121"/>
      <c r="L27" s="54"/>
      <c r="M27" s="121"/>
      <c r="N27" s="55"/>
      <c r="O27" s="51"/>
      <c r="P27" s="50"/>
      <c r="Q27" s="49"/>
      <c r="R27" s="49"/>
      <c r="S27" s="49"/>
      <c r="T27" s="49"/>
      <c r="U27" s="49"/>
      <c r="V27" s="49"/>
      <c r="W27" s="55"/>
      <c r="X27" s="51"/>
      <c r="Y27" s="50"/>
      <c r="Z27" s="50"/>
      <c r="AA27" s="50"/>
      <c r="AB27" s="50"/>
      <c r="AC27" s="50"/>
    </row>
    <row r="28" spans="1:29" hidden="1" outlineLevel="2">
      <c r="A28" s="1"/>
      <c r="B28" s="1" t="s">
        <v>16</v>
      </c>
      <c r="C28" s="14" t="s">
        <v>48</v>
      </c>
      <c r="D28" s="47">
        <v>46264</v>
      </c>
      <c r="E28" s="48" t="s">
        <v>21</v>
      </c>
      <c r="F28" s="10" t="s">
        <v>45</v>
      </c>
      <c r="H28" s="39"/>
      <c r="J28" s="34">
        <v>0.15</v>
      </c>
      <c r="K28" s="28">
        <v>1</v>
      </c>
      <c r="L28" s="11">
        <f t="shared" si="0"/>
        <v>0.15</v>
      </c>
      <c r="M28" s="28">
        <v>1</v>
      </c>
      <c r="N28" s="15"/>
      <c r="O28" s="39"/>
      <c r="Q28" s="1" t="s">
        <v>22</v>
      </c>
      <c r="R28" s="1" t="s">
        <v>46</v>
      </c>
      <c r="S28" s="1"/>
      <c r="T28" s="1"/>
      <c r="U28" s="1"/>
      <c r="V28" s="1"/>
      <c r="W28" s="15"/>
      <c r="X28" s="39"/>
    </row>
    <row r="29" spans="1:29" s="120" customFormat="1" ht="11.45" hidden="1" outlineLevel="3">
      <c r="A29" s="49"/>
      <c r="B29" s="57" t="s">
        <v>35</v>
      </c>
      <c r="C29" s="58" t="s">
        <v>36</v>
      </c>
      <c r="D29" s="59">
        <v>46310</v>
      </c>
      <c r="E29" s="60" t="s">
        <v>37</v>
      </c>
      <c r="F29" s="140"/>
      <c r="G29" s="50"/>
      <c r="H29" s="51"/>
      <c r="I29" s="50"/>
      <c r="J29" s="54"/>
      <c r="K29" s="121"/>
      <c r="L29" s="54"/>
      <c r="M29" s="121"/>
      <c r="N29" s="55"/>
      <c r="O29" s="51"/>
      <c r="P29" s="50"/>
      <c r="Q29" s="49"/>
      <c r="R29" s="49"/>
      <c r="S29" s="49"/>
      <c r="T29" s="49"/>
      <c r="U29" s="49"/>
      <c r="V29" s="49"/>
      <c r="W29" s="55"/>
      <c r="X29" s="51"/>
      <c r="Y29" s="50"/>
      <c r="Z29" s="50"/>
      <c r="AA29" s="56"/>
      <c r="AB29" s="50"/>
      <c r="AC29" s="50"/>
    </row>
    <row r="30" spans="1:29" s="120" customFormat="1" ht="11.45" hidden="1" outlineLevel="3">
      <c r="A30" s="49"/>
      <c r="B30" s="57" t="s">
        <v>38</v>
      </c>
      <c r="C30" s="58" t="s">
        <v>39</v>
      </c>
      <c r="D30" s="59">
        <v>46325</v>
      </c>
      <c r="E30" s="60" t="s">
        <v>40</v>
      </c>
      <c r="F30" s="140"/>
      <c r="G30" s="50"/>
      <c r="H30" s="51"/>
      <c r="I30" s="50"/>
      <c r="J30" s="54"/>
      <c r="K30" s="121"/>
      <c r="L30" s="54"/>
      <c r="M30" s="121"/>
      <c r="N30" s="55"/>
      <c r="O30" s="51"/>
      <c r="P30" s="50"/>
      <c r="Q30" s="49"/>
      <c r="R30" s="49"/>
      <c r="S30" s="49"/>
      <c r="T30" s="49"/>
      <c r="U30" s="49"/>
      <c r="V30" s="49"/>
      <c r="W30" s="55"/>
      <c r="X30" s="51"/>
      <c r="Y30" s="50"/>
      <c r="Z30" s="50"/>
      <c r="AA30" s="50"/>
      <c r="AB30" s="50"/>
      <c r="AC30" s="50"/>
    </row>
    <row r="31" spans="1:29" hidden="1" outlineLevel="2">
      <c r="A31" s="1"/>
      <c r="B31" s="3" t="s">
        <v>16</v>
      </c>
      <c r="C31" s="29" t="s">
        <v>49</v>
      </c>
      <c r="D31" s="47">
        <v>46386</v>
      </c>
      <c r="E31" s="48" t="s">
        <v>21</v>
      </c>
      <c r="F31" s="29"/>
      <c r="H31" s="39"/>
      <c r="J31" s="35">
        <v>0.03</v>
      </c>
      <c r="K31" s="36">
        <v>1</v>
      </c>
      <c r="L31" s="11">
        <f t="shared" si="0"/>
        <v>0</v>
      </c>
      <c r="M31" s="36"/>
      <c r="N31" s="15"/>
      <c r="O31" s="39"/>
      <c r="Q31" s="3" t="s">
        <v>22</v>
      </c>
      <c r="R31" s="3" t="s">
        <v>46</v>
      </c>
      <c r="S31" s="3" t="s">
        <v>50</v>
      </c>
      <c r="T31" s="3"/>
      <c r="U31" s="3"/>
      <c r="V31" s="3"/>
      <c r="W31" s="15"/>
      <c r="X31" s="39"/>
    </row>
    <row r="32" spans="1:29" s="120" customFormat="1" ht="11.45" hidden="1" outlineLevel="3">
      <c r="A32" s="49"/>
      <c r="B32" s="57" t="s">
        <v>35</v>
      </c>
      <c r="C32" s="58" t="s">
        <v>36</v>
      </c>
      <c r="D32" s="59">
        <v>46310</v>
      </c>
      <c r="E32" s="60" t="s">
        <v>37</v>
      </c>
      <c r="F32" s="140"/>
      <c r="G32" s="50"/>
      <c r="H32" s="51"/>
      <c r="I32" s="50"/>
      <c r="J32" s="54"/>
      <c r="K32" s="121"/>
      <c r="L32" s="54"/>
      <c r="M32" s="121"/>
      <c r="N32" s="55"/>
      <c r="O32" s="51"/>
      <c r="P32" s="50"/>
      <c r="Q32" s="49"/>
      <c r="R32" s="49"/>
      <c r="S32" s="49"/>
      <c r="T32" s="49"/>
      <c r="U32" s="49"/>
      <c r="V32" s="49"/>
      <c r="W32" s="55"/>
      <c r="X32" s="51"/>
      <c r="Y32" s="50"/>
      <c r="Z32" s="50"/>
      <c r="AA32" s="56"/>
      <c r="AB32" s="50"/>
      <c r="AC32" s="50"/>
    </row>
    <row r="33" spans="1:29" s="120" customFormat="1" ht="11.45" hidden="1" outlineLevel="3">
      <c r="A33" s="49"/>
      <c r="B33" s="57" t="s">
        <v>38</v>
      </c>
      <c r="C33" s="58" t="s">
        <v>39</v>
      </c>
      <c r="D33" s="59">
        <v>46325</v>
      </c>
      <c r="E33" s="60" t="s">
        <v>40</v>
      </c>
      <c r="F33" s="140"/>
      <c r="G33" s="50"/>
      <c r="H33" s="51"/>
      <c r="I33" s="50"/>
      <c r="J33" s="54"/>
      <c r="K33" s="121"/>
      <c r="L33" s="54"/>
      <c r="M33" s="121"/>
      <c r="N33" s="55"/>
      <c r="O33" s="51"/>
      <c r="P33" s="50"/>
      <c r="Q33" s="49"/>
      <c r="R33" s="49"/>
      <c r="S33" s="49"/>
      <c r="T33" s="49"/>
      <c r="U33" s="49"/>
      <c r="V33" s="49"/>
      <c r="W33" s="55"/>
      <c r="X33" s="51"/>
      <c r="Y33" s="50"/>
      <c r="Z33" s="50"/>
      <c r="AA33" s="50"/>
      <c r="AB33" s="50"/>
      <c r="AC33" s="50"/>
    </row>
    <row r="34" spans="1:29" s="33" customFormat="1" outlineLevel="1" collapsed="1">
      <c r="A34" s="2"/>
      <c r="B34" s="16" t="s">
        <v>51</v>
      </c>
      <c r="C34" s="17" t="s">
        <v>19</v>
      </c>
      <c r="D34" s="30"/>
      <c r="E34" s="30"/>
      <c r="F34" s="139"/>
      <c r="H34" s="41"/>
      <c r="J34" s="30">
        <f>SUBTOTAL(9,J35:J41)</f>
        <v>0.36</v>
      </c>
      <c r="K34" s="31">
        <f>SUBTOTAL(9,K35:K41)</f>
        <v>3</v>
      </c>
      <c r="L34" s="30">
        <f>SUBTOTAL(9,L35:L41)</f>
        <v>0</v>
      </c>
      <c r="M34" s="31">
        <f>SUBTOTAL(9,M35:M41)</f>
        <v>0</v>
      </c>
      <c r="N34" s="32"/>
      <c r="O34" s="41"/>
      <c r="Q34" s="16"/>
      <c r="R34" s="16"/>
      <c r="S34" s="16"/>
      <c r="T34" s="16"/>
      <c r="U34" s="16"/>
      <c r="V34" s="16"/>
      <c r="W34" s="32"/>
      <c r="X34" s="41"/>
    </row>
    <row r="35" spans="1:29" hidden="1" outlineLevel="2">
      <c r="A35" s="1"/>
      <c r="B35" s="1" t="s">
        <v>16</v>
      </c>
      <c r="C35" s="14" t="s">
        <v>52</v>
      </c>
      <c r="D35" s="47">
        <v>46310</v>
      </c>
      <c r="E35" s="48" t="s">
        <v>53</v>
      </c>
      <c r="F35" s="10"/>
      <c r="H35" s="39"/>
      <c r="J35" s="34">
        <v>0.19</v>
      </c>
      <c r="K35" s="28">
        <v>1</v>
      </c>
      <c r="L35" s="11">
        <f>IF(M35=1,J35,0)</f>
        <v>0</v>
      </c>
      <c r="M35" s="28"/>
      <c r="N35" s="15"/>
      <c r="O35" s="39"/>
      <c r="Q35" s="1" t="s">
        <v>53</v>
      </c>
      <c r="R35" s="1" t="s">
        <v>54</v>
      </c>
      <c r="S35" s="1" t="s">
        <v>55</v>
      </c>
      <c r="T35" s="1"/>
      <c r="U35" s="1" t="s">
        <v>56</v>
      </c>
      <c r="V35" s="1"/>
      <c r="W35" s="15"/>
      <c r="X35" s="39"/>
    </row>
    <row r="36" spans="1:29" s="120" customFormat="1" ht="12.75" hidden="1" outlineLevel="3">
      <c r="A36" s="49"/>
      <c r="B36" s="57" t="s">
        <v>35</v>
      </c>
      <c r="C36" s="58" t="s">
        <v>57</v>
      </c>
      <c r="D36" s="59">
        <v>46310</v>
      </c>
      <c r="E36" s="60" t="s">
        <v>37</v>
      </c>
      <c r="F36" s="140" t="s">
        <v>58</v>
      </c>
      <c r="G36" s="50"/>
      <c r="H36" s="51"/>
      <c r="I36" s="50"/>
      <c r="J36" s="54"/>
      <c r="K36" s="121"/>
      <c r="L36" s="54"/>
      <c r="M36" s="121"/>
      <c r="N36" s="55"/>
      <c r="O36" s="51"/>
      <c r="P36" s="50"/>
      <c r="Q36" s="49"/>
      <c r="R36" s="49"/>
      <c r="S36" s="49"/>
      <c r="T36" s="49"/>
      <c r="U36" s="49"/>
      <c r="V36" s="49"/>
      <c r="W36" s="55"/>
      <c r="X36" s="51"/>
      <c r="Y36" s="50"/>
      <c r="Z36" s="50"/>
      <c r="AA36" s="56"/>
      <c r="AB36" s="50"/>
      <c r="AC36" s="50"/>
    </row>
    <row r="37" spans="1:29" s="120" customFormat="1" ht="11.45" hidden="1" outlineLevel="3">
      <c r="A37" s="49"/>
      <c r="B37" s="57"/>
      <c r="C37" s="58"/>
      <c r="D37" s="59"/>
      <c r="E37" s="60"/>
      <c r="F37" s="140"/>
      <c r="G37" s="50"/>
      <c r="H37" s="51"/>
      <c r="I37" s="50"/>
      <c r="J37" s="54"/>
      <c r="K37" s="121"/>
      <c r="L37" s="54"/>
      <c r="M37" s="121"/>
      <c r="N37" s="55"/>
      <c r="O37" s="51"/>
      <c r="P37" s="50"/>
      <c r="Q37" s="49"/>
      <c r="R37" s="49"/>
      <c r="S37" s="49"/>
      <c r="T37" s="49"/>
      <c r="U37" s="49"/>
      <c r="V37" s="49"/>
      <c r="W37" s="55"/>
      <c r="X37" s="51"/>
      <c r="Y37" s="50"/>
      <c r="Z37" s="50"/>
      <c r="AA37" s="50"/>
      <c r="AB37" s="50"/>
      <c r="AC37" s="50"/>
    </row>
    <row r="38" spans="1:29" hidden="1" outlineLevel="2">
      <c r="A38" s="1"/>
      <c r="B38" s="1" t="s">
        <v>16</v>
      </c>
      <c r="C38" s="14" t="s">
        <v>59</v>
      </c>
      <c r="D38" s="47">
        <v>46385</v>
      </c>
      <c r="E38" s="48" t="s">
        <v>53</v>
      </c>
      <c r="F38" s="10"/>
      <c r="H38" s="39"/>
      <c r="J38" s="34">
        <v>0.16</v>
      </c>
      <c r="K38" s="28">
        <v>1</v>
      </c>
      <c r="L38" s="11">
        <f>IF(M38=1,J38,0)</f>
        <v>0</v>
      </c>
      <c r="M38" s="28"/>
      <c r="N38" s="15"/>
      <c r="O38" s="39"/>
      <c r="Q38" s="1" t="s">
        <v>53</v>
      </c>
      <c r="R38" s="1" t="s">
        <v>54</v>
      </c>
      <c r="S38" s="1" t="s">
        <v>55</v>
      </c>
      <c r="T38" s="1"/>
      <c r="U38" s="1" t="s">
        <v>56</v>
      </c>
      <c r="V38" s="1"/>
      <c r="W38" s="15"/>
      <c r="X38" s="39"/>
    </row>
    <row r="39" spans="1:29" s="120" customFormat="1" ht="12.75" hidden="1" outlineLevel="3">
      <c r="A39" s="49"/>
      <c r="B39" s="57" t="s">
        <v>35</v>
      </c>
      <c r="C39" s="58" t="s">
        <v>60</v>
      </c>
      <c r="D39" s="59">
        <v>46310</v>
      </c>
      <c r="E39" s="60" t="s">
        <v>37</v>
      </c>
      <c r="F39" s="140" t="s">
        <v>61</v>
      </c>
      <c r="G39" s="50"/>
      <c r="H39" s="51"/>
      <c r="I39" s="50"/>
      <c r="J39" s="54"/>
      <c r="K39" s="121"/>
      <c r="L39" s="54"/>
      <c r="M39" s="121"/>
      <c r="N39" s="55"/>
      <c r="O39" s="51"/>
      <c r="P39" s="50"/>
      <c r="Q39" s="49"/>
      <c r="R39" s="49"/>
      <c r="S39" s="49"/>
      <c r="T39" s="49"/>
      <c r="U39" s="49"/>
      <c r="V39" s="49"/>
      <c r="W39" s="55"/>
      <c r="X39" s="51"/>
      <c r="Y39" s="50"/>
      <c r="Z39" s="50"/>
      <c r="AA39" s="56"/>
      <c r="AB39" s="50"/>
      <c r="AC39" s="50"/>
    </row>
    <row r="40" spans="1:29" s="120" customFormat="1" ht="11.45" hidden="1" outlineLevel="3">
      <c r="A40" s="49"/>
      <c r="B40" s="57"/>
      <c r="C40" s="58"/>
      <c r="D40" s="59"/>
      <c r="E40" s="60"/>
      <c r="F40" s="140"/>
      <c r="G40" s="50"/>
      <c r="H40" s="51"/>
      <c r="I40" s="50"/>
      <c r="J40" s="54"/>
      <c r="K40" s="121"/>
      <c r="L40" s="54"/>
      <c r="M40" s="121"/>
      <c r="N40" s="55"/>
      <c r="O40" s="51"/>
      <c r="P40" s="50"/>
      <c r="Q40" s="49"/>
      <c r="R40" s="49"/>
      <c r="S40" s="49"/>
      <c r="T40" s="49"/>
      <c r="U40" s="49"/>
      <c r="V40" s="49"/>
      <c r="W40" s="55"/>
      <c r="X40" s="51"/>
      <c r="Y40" s="50"/>
      <c r="Z40" s="50"/>
      <c r="AA40" s="50"/>
      <c r="AB40" s="50"/>
      <c r="AC40" s="50"/>
    </row>
    <row r="41" spans="1:29" hidden="1" outlineLevel="2">
      <c r="A41" s="1"/>
      <c r="B41" s="1" t="s">
        <v>16</v>
      </c>
      <c r="C41" s="14" t="s">
        <v>62</v>
      </c>
      <c r="D41" s="47">
        <v>46325</v>
      </c>
      <c r="E41" s="48" t="s">
        <v>53</v>
      </c>
      <c r="F41" s="10"/>
      <c r="H41" s="39"/>
      <c r="J41" s="34">
        <v>0.01</v>
      </c>
      <c r="K41" s="28">
        <v>1</v>
      </c>
      <c r="L41" s="11">
        <f>IF(M41=1,J41,0)</f>
        <v>0</v>
      </c>
      <c r="M41" s="28"/>
      <c r="N41" s="15"/>
      <c r="O41" s="39"/>
      <c r="Q41" s="1" t="s">
        <v>53</v>
      </c>
      <c r="R41" s="1" t="s">
        <v>54</v>
      </c>
      <c r="S41" s="1" t="s">
        <v>55</v>
      </c>
      <c r="T41" s="1" t="s">
        <v>63</v>
      </c>
      <c r="U41" s="1" t="s">
        <v>56</v>
      </c>
      <c r="V41" s="1"/>
      <c r="W41" s="15"/>
      <c r="X41" s="39"/>
    </row>
    <row r="42" spans="1:29" s="120" customFormat="1" ht="11.45" hidden="1" outlineLevel="3">
      <c r="A42" s="49"/>
      <c r="B42" s="57" t="s">
        <v>35</v>
      </c>
      <c r="C42" s="58" t="s">
        <v>64</v>
      </c>
      <c r="D42" s="59">
        <v>46310</v>
      </c>
      <c r="E42" s="60" t="s">
        <v>37</v>
      </c>
      <c r="F42" s="140" t="s">
        <v>65</v>
      </c>
      <c r="G42" s="50"/>
      <c r="H42" s="51"/>
      <c r="I42" s="50"/>
      <c r="J42" s="54"/>
      <c r="K42" s="121"/>
      <c r="L42" s="54"/>
      <c r="M42" s="121"/>
      <c r="N42" s="55"/>
      <c r="O42" s="51"/>
      <c r="P42" s="50"/>
      <c r="Q42" s="49"/>
      <c r="R42" s="49"/>
      <c r="S42" s="49"/>
      <c r="T42" s="49"/>
      <c r="U42" s="49"/>
      <c r="V42" s="49"/>
      <c r="W42" s="55"/>
      <c r="X42" s="51"/>
      <c r="Y42" s="50"/>
      <c r="Z42" s="50"/>
      <c r="AA42" s="56"/>
      <c r="AB42" s="50"/>
      <c r="AC42" s="50"/>
    </row>
    <row r="43" spans="1:29" s="120" customFormat="1" ht="38.25" hidden="1" outlineLevel="3">
      <c r="A43" s="49"/>
      <c r="B43" s="57" t="s">
        <v>38</v>
      </c>
      <c r="C43" s="58" t="s">
        <v>66</v>
      </c>
      <c r="D43" s="59">
        <v>46325</v>
      </c>
      <c r="E43" s="60" t="s">
        <v>40</v>
      </c>
      <c r="F43" s="140" t="s">
        <v>67</v>
      </c>
      <c r="G43" s="50"/>
      <c r="H43" s="51"/>
      <c r="I43" s="50"/>
      <c r="J43" s="54"/>
      <c r="K43" s="121"/>
      <c r="L43" s="54"/>
      <c r="M43" s="121"/>
      <c r="N43" s="55"/>
      <c r="O43" s="51"/>
      <c r="P43" s="50"/>
      <c r="Q43" s="49"/>
      <c r="R43" s="49"/>
      <c r="S43" s="49"/>
      <c r="T43" s="49"/>
      <c r="U43" s="49"/>
      <c r="V43" s="49"/>
      <c r="W43" s="55"/>
      <c r="X43" s="51"/>
      <c r="Y43" s="50"/>
      <c r="Z43" s="50"/>
      <c r="AA43" s="50"/>
      <c r="AB43" s="50"/>
      <c r="AC43" s="50"/>
    </row>
    <row r="44" spans="1:29" s="33" customFormat="1" outlineLevel="1" collapsed="1">
      <c r="A44" s="2"/>
      <c r="B44" s="16" t="s">
        <v>68</v>
      </c>
      <c r="C44" s="17" t="s">
        <v>19</v>
      </c>
      <c r="D44" s="30"/>
      <c r="E44" s="30"/>
      <c r="F44" s="139"/>
      <c r="H44" s="41"/>
      <c r="J44" s="30">
        <f>SUBTOTAL(9,J45:J48)</f>
        <v>0.36109150000000001</v>
      </c>
      <c r="K44" s="31">
        <f>SUBTOTAL(9,K45:K48)</f>
        <v>2</v>
      </c>
      <c r="L44" s="30">
        <f>SUBTOTAL(9,L45:L48)</f>
        <v>0</v>
      </c>
      <c r="M44" s="31">
        <f>SUBTOTAL(9,M45:M48)</f>
        <v>0</v>
      </c>
      <c r="N44" s="32"/>
      <c r="O44" s="41"/>
      <c r="Q44" s="16"/>
      <c r="R44" s="16"/>
      <c r="S44" s="16"/>
      <c r="T44" s="16"/>
      <c r="U44" s="16"/>
      <c r="V44" s="16"/>
      <c r="W44" s="32"/>
      <c r="X44" s="41"/>
    </row>
    <row r="45" spans="1:29" hidden="1" outlineLevel="2">
      <c r="A45" s="1"/>
      <c r="B45" s="1" t="s">
        <v>16</v>
      </c>
      <c r="C45" s="14" t="s">
        <v>59</v>
      </c>
      <c r="D45" s="47">
        <v>46387</v>
      </c>
      <c r="E45" s="48" t="s">
        <v>69</v>
      </c>
      <c r="F45" s="10"/>
      <c r="H45" s="39"/>
      <c r="J45" s="37">
        <v>0.36</v>
      </c>
      <c r="K45" s="20">
        <v>1</v>
      </c>
      <c r="L45" s="11">
        <f>IF(M45=1,J45,0)</f>
        <v>0</v>
      </c>
      <c r="M45" s="20"/>
      <c r="N45" s="15"/>
      <c r="O45" s="39"/>
      <c r="Q45" s="1" t="s">
        <v>69</v>
      </c>
      <c r="R45" s="1" t="s">
        <v>70</v>
      </c>
      <c r="S45" s="1" t="s">
        <v>71</v>
      </c>
      <c r="T45" s="1" t="s">
        <v>72</v>
      </c>
      <c r="U45" s="1"/>
      <c r="V45" s="1"/>
      <c r="W45" s="15"/>
      <c r="X45" s="39"/>
    </row>
    <row r="46" spans="1:29" s="120" customFormat="1" ht="11.45" hidden="1" outlineLevel="3">
      <c r="A46" s="49"/>
      <c r="B46" s="57" t="s">
        <v>35</v>
      </c>
      <c r="C46" s="58" t="s">
        <v>73</v>
      </c>
      <c r="D46" s="59">
        <v>46310</v>
      </c>
      <c r="E46" s="60" t="s">
        <v>74</v>
      </c>
      <c r="F46" s="140"/>
      <c r="G46" s="50"/>
      <c r="H46" s="51"/>
      <c r="I46" s="50"/>
      <c r="J46" s="54"/>
      <c r="K46" s="121"/>
      <c r="L46" s="54"/>
      <c r="M46" s="121"/>
      <c r="N46" s="55"/>
      <c r="O46" s="51"/>
      <c r="P46" s="50"/>
      <c r="Q46" s="49"/>
      <c r="R46" s="49"/>
      <c r="S46" s="49"/>
      <c r="T46" s="49"/>
      <c r="U46" s="49"/>
      <c r="V46" s="49"/>
      <c r="W46" s="55"/>
      <c r="X46" s="51"/>
      <c r="Y46" s="50"/>
      <c r="Z46" s="50"/>
      <c r="AA46" s="56"/>
      <c r="AB46" s="50"/>
      <c r="AC46" s="50"/>
    </row>
    <row r="47" spans="1:29" s="120" customFormat="1" ht="11.45" hidden="1" outlineLevel="3">
      <c r="A47" s="49"/>
      <c r="B47" s="57"/>
      <c r="C47" s="58"/>
      <c r="D47" s="59"/>
      <c r="E47" s="60"/>
      <c r="F47" s="140"/>
      <c r="G47" s="50"/>
      <c r="H47" s="51"/>
      <c r="I47" s="50"/>
      <c r="J47" s="54"/>
      <c r="K47" s="121"/>
      <c r="L47" s="54"/>
      <c r="M47" s="121"/>
      <c r="N47" s="55"/>
      <c r="O47" s="51"/>
      <c r="P47" s="50"/>
      <c r="Q47" s="49"/>
      <c r="R47" s="49"/>
      <c r="S47" s="49"/>
      <c r="T47" s="49"/>
      <c r="U47" s="49"/>
      <c r="V47" s="49"/>
      <c r="W47" s="55"/>
      <c r="X47" s="51"/>
      <c r="Y47" s="50"/>
      <c r="Z47" s="50"/>
      <c r="AA47" s="50"/>
      <c r="AB47" s="50"/>
      <c r="AC47" s="50"/>
    </row>
    <row r="48" spans="1:29" hidden="1" outlineLevel="2">
      <c r="A48" s="1"/>
      <c r="B48" s="1" t="s">
        <v>16</v>
      </c>
      <c r="C48" s="14" t="s">
        <v>62</v>
      </c>
      <c r="D48" s="47">
        <v>46386</v>
      </c>
      <c r="E48" s="48" t="s">
        <v>69</v>
      </c>
      <c r="F48" s="10"/>
      <c r="H48" s="39"/>
      <c r="J48" s="34">
        <v>1.0915E-3</v>
      </c>
      <c r="K48" s="28">
        <v>1</v>
      </c>
      <c r="L48" s="11">
        <f>IF(M48=1,J48,0)</f>
        <v>0</v>
      </c>
      <c r="M48" s="28"/>
      <c r="N48" s="15"/>
      <c r="O48" s="39"/>
      <c r="Q48" s="1" t="s">
        <v>69</v>
      </c>
      <c r="R48" s="1" t="s">
        <v>70</v>
      </c>
      <c r="S48" s="1" t="s">
        <v>71</v>
      </c>
      <c r="T48" s="1" t="s">
        <v>72</v>
      </c>
      <c r="U48" s="1"/>
      <c r="V48" s="1"/>
      <c r="W48" s="15"/>
      <c r="X48" s="39"/>
    </row>
    <row r="49" spans="1:29" s="120" customFormat="1" ht="11.45" hidden="1" outlineLevel="3">
      <c r="A49" s="49"/>
      <c r="B49" s="57"/>
      <c r="C49" s="58" t="s">
        <v>75</v>
      </c>
      <c r="D49" s="59">
        <v>46325</v>
      </c>
      <c r="E49" s="60" t="s">
        <v>76</v>
      </c>
      <c r="F49" s="140" t="s">
        <v>77</v>
      </c>
      <c r="G49" s="50"/>
      <c r="H49" s="51"/>
      <c r="I49" s="50"/>
      <c r="J49" s="54"/>
      <c r="K49" s="121"/>
      <c r="L49" s="54"/>
      <c r="M49" s="121"/>
      <c r="N49" s="55"/>
      <c r="O49" s="51"/>
      <c r="P49" s="50"/>
      <c r="Q49" s="49"/>
      <c r="R49" s="49"/>
      <c r="S49" s="49"/>
      <c r="T49" s="49"/>
      <c r="U49" s="49"/>
      <c r="V49" s="49"/>
      <c r="W49" s="55"/>
      <c r="X49" s="51"/>
      <c r="Y49" s="50"/>
      <c r="Z49" s="50"/>
      <c r="AA49" s="56"/>
      <c r="AB49" s="50"/>
      <c r="AC49" s="50"/>
    </row>
    <row r="50" spans="1:29" s="120" customFormat="1" ht="11.45" hidden="1" outlineLevel="3">
      <c r="A50" s="49"/>
      <c r="B50" s="57"/>
      <c r="C50" s="58" t="s">
        <v>78</v>
      </c>
      <c r="D50" s="59">
        <v>46325</v>
      </c>
      <c r="E50" s="60" t="s">
        <v>79</v>
      </c>
      <c r="F50" s="140"/>
      <c r="G50" s="50"/>
      <c r="H50" s="51"/>
      <c r="I50" s="50"/>
      <c r="J50" s="54"/>
      <c r="K50" s="121"/>
      <c r="L50" s="54"/>
      <c r="M50" s="121"/>
      <c r="N50" s="55"/>
      <c r="O50" s="51"/>
      <c r="P50" s="50"/>
      <c r="Q50" s="49"/>
      <c r="R50" s="49"/>
      <c r="S50" s="49"/>
      <c r="T50" s="49"/>
      <c r="U50" s="49"/>
      <c r="V50" s="49"/>
      <c r="W50" s="55"/>
      <c r="X50" s="51"/>
      <c r="Y50" s="50"/>
      <c r="Z50" s="50"/>
      <c r="AA50" s="50"/>
      <c r="AB50" s="50"/>
      <c r="AC50" s="50"/>
    </row>
    <row r="51" spans="1:29" s="120" customFormat="1" ht="11.45" hidden="1" outlineLevel="3">
      <c r="A51" s="49"/>
      <c r="B51" s="57"/>
      <c r="C51" s="58" t="s">
        <v>80</v>
      </c>
      <c r="D51" s="59">
        <v>46325</v>
      </c>
      <c r="E51" s="60" t="s">
        <v>74</v>
      </c>
      <c r="F51" s="140" t="s">
        <v>81</v>
      </c>
      <c r="G51" s="50"/>
      <c r="H51" s="51"/>
      <c r="I51" s="50"/>
      <c r="J51" s="54"/>
      <c r="K51" s="121"/>
      <c r="L51" s="54"/>
      <c r="M51" s="121"/>
      <c r="N51" s="55"/>
      <c r="O51" s="51"/>
      <c r="P51" s="50"/>
      <c r="Q51" s="49"/>
      <c r="R51" s="49"/>
      <c r="S51" s="49"/>
      <c r="T51" s="49"/>
      <c r="U51" s="49"/>
      <c r="V51" s="49"/>
      <c r="W51" s="55"/>
      <c r="X51" s="51"/>
      <c r="Y51" s="50"/>
      <c r="Z51" s="50"/>
      <c r="AA51" s="50"/>
      <c r="AB51" s="50"/>
      <c r="AC51" s="50"/>
    </row>
    <row r="52" spans="1:29" s="120" customFormat="1" ht="11.45" hidden="1" outlineLevel="3">
      <c r="A52" s="49"/>
      <c r="B52" s="57"/>
      <c r="C52" s="58" t="s">
        <v>82</v>
      </c>
      <c r="D52" s="59">
        <v>46325</v>
      </c>
      <c r="E52" s="60" t="s">
        <v>83</v>
      </c>
      <c r="F52" s="140"/>
      <c r="G52" s="50"/>
      <c r="H52" s="51"/>
      <c r="I52" s="50"/>
      <c r="J52" s="54"/>
      <c r="K52" s="121"/>
      <c r="L52" s="54"/>
      <c r="M52" s="121"/>
      <c r="N52" s="55"/>
      <c r="O52" s="51"/>
      <c r="P52" s="50"/>
      <c r="Q52" s="49"/>
      <c r="R52" s="49"/>
      <c r="S52" s="49"/>
      <c r="T52" s="49"/>
      <c r="U52" s="49"/>
      <c r="V52" s="49"/>
      <c r="W52" s="55"/>
      <c r="X52" s="51"/>
      <c r="Y52" s="50"/>
      <c r="Z52" s="50"/>
      <c r="AA52" s="50"/>
      <c r="AB52" s="50"/>
      <c r="AC52" s="50"/>
    </row>
    <row r="53" spans="1:29" s="120" customFormat="1" ht="11.45" hidden="1" outlineLevel="3">
      <c r="A53" s="49"/>
      <c r="B53" s="57"/>
      <c r="C53" s="58"/>
      <c r="D53" s="59"/>
      <c r="E53" s="60"/>
      <c r="F53" s="140"/>
      <c r="G53" s="50"/>
      <c r="H53" s="51"/>
      <c r="I53" s="50"/>
      <c r="J53" s="54"/>
      <c r="K53" s="121"/>
      <c r="L53" s="54"/>
      <c r="M53" s="121"/>
      <c r="N53" s="55"/>
      <c r="O53" s="51"/>
      <c r="P53" s="50"/>
      <c r="Q53" s="49"/>
      <c r="R53" s="49"/>
      <c r="S53" s="49"/>
      <c r="T53" s="49"/>
      <c r="U53" s="49"/>
      <c r="V53" s="49"/>
      <c r="W53" s="55"/>
      <c r="X53" s="51"/>
      <c r="Y53" s="50"/>
      <c r="Z53" s="50"/>
      <c r="AA53" s="50"/>
      <c r="AB53" s="50"/>
      <c r="AC53" s="50"/>
    </row>
    <row r="54" spans="1:29" s="33" customFormat="1" outlineLevel="1">
      <c r="A54" s="2"/>
      <c r="B54" s="16" t="s">
        <v>84</v>
      </c>
      <c r="C54" s="17" t="s">
        <v>19</v>
      </c>
      <c r="D54" s="30"/>
      <c r="E54" s="30"/>
      <c r="F54" s="139"/>
      <c r="H54" s="41"/>
      <c r="J54" s="30">
        <f>SUBTOTAL(9,J55)</f>
        <v>0.04</v>
      </c>
      <c r="K54" s="31">
        <f>SUBTOTAL(9,K55)</f>
        <v>1</v>
      </c>
      <c r="L54" s="30">
        <f>SUBTOTAL(9,L55)</f>
        <v>0</v>
      </c>
      <c r="M54" s="31">
        <f>SUBTOTAL(9,M55)</f>
        <v>0</v>
      </c>
      <c r="N54" s="32"/>
      <c r="O54" s="41"/>
      <c r="Q54" s="16"/>
      <c r="R54" s="16"/>
      <c r="S54" s="16"/>
      <c r="T54" s="16"/>
      <c r="U54" s="16"/>
      <c r="V54" s="16"/>
      <c r="W54" s="32"/>
      <c r="X54" s="41"/>
    </row>
    <row r="55" spans="1:29" ht="26.45" outlineLevel="2">
      <c r="A55" s="1"/>
      <c r="B55" s="1" t="s">
        <v>16</v>
      </c>
      <c r="C55" s="14" t="s">
        <v>85</v>
      </c>
      <c r="D55" s="47">
        <v>46386</v>
      </c>
      <c r="E55" s="48" t="s">
        <v>69</v>
      </c>
      <c r="F55" s="10"/>
      <c r="H55" s="39"/>
      <c r="J55" s="34">
        <v>0.04</v>
      </c>
      <c r="K55" s="28">
        <v>1</v>
      </c>
      <c r="L55" s="11">
        <f>IF(M55=1,J55,0)</f>
        <v>0</v>
      </c>
      <c r="M55" s="28"/>
      <c r="N55" s="15"/>
      <c r="O55" s="39"/>
      <c r="Q55" s="1" t="s">
        <v>69</v>
      </c>
      <c r="R55" s="1" t="s">
        <v>86</v>
      </c>
      <c r="S55" s="1" t="s">
        <v>87</v>
      </c>
      <c r="T55" s="1"/>
      <c r="U55" s="1"/>
      <c r="V55" s="1"/>
      <c r="W55" s="15"/>
      <c r="X55" s="39"/>
    </row>
    <row r="56" spans="1:29" s="120" customFormat="1" ht="11.45" outlineLevel="3">
      <c r="A56" s="49"/>
      <c r="B56" s="57" t="s">
        <v>35</v>
      </c>
      <c r="C56" s="58" t="s">
        <v>36</v>
      </c>
      <c r="D56" s="59">
        <v>46310</v>
      </c>
      <c r="E56" s="60" t="s">
        <v>37</v>
      </c>
      <c r="F56" s="140"/>
      <c r="G56" s="50"/>
      <c r="H56" s="51"/>
      <c r="I56" s="50"/>
      <c r="J56" s="54"/>
      <c r="K56" s="121"/>
      <c r="L56" s="54"/>
      <c r="M56" s="121"/>
      <c r="N56" s="55"/>
      <c r="O56" s="51"/>
      <c r="P56" s="50"/>
      <c r="Q56" s="49"/>
      <c r="R56" s="49"/>
      <c r="S56" s="49"/>
      <c r="T56" s="49"/>
      <c r="U56" s="49"/>
      <c r="V56" s="49"/>
      <c r="W56" s="55"/>
      <c r="X56" s="51"/>
      <c r="Y56" s="50"/>
      <c r="Z56" s="50"/>
      <c r="AA56" s="56"/>
      <c r="AB56" s="50"/>
      <c r="AC56" s="50"/>
    </row>
    <row r="57" spans="1:29" s="120" customFormat="1" ht="11.45" outlineLevel="3">
      <c r="A57" s="49"/>
      <c r="B57" s="57" t="s">
        <v>38</v>
      </c>
      <c r="C57" s="58" t="s">
        <v>39</v>
      </c>
      <c r="D57" s="59">
        <v>46325</v>
      </c>
      <c r="E57" s="60" t="s">
        <v>40</v>
      </c>
      <c r="F57" s="140"/>
      <c r="G57" s="50"/>
      <c r="H57" s="51"/>
      <c r="I57" s="50"/>
      <c r="J57" s="54"/>
      <c r="K57" s="121"/>
      <c r="L57" s="54"/>
      <c r="M57" s="121"/>
      <c r="N57" s="55"/>
      <c r="O57" s="51"/>
      <c r="P57" s="50"/>
      <c r="Q57" s="49"/>
      <c r="R57" s="49"/>
      <c r="S57" s="49"/>
      <c r="T57" s="49"/>
      <c r="U57" s="49"/>
      <c r="V57" s="49"/>
      <c r="W57" s="55"/>
      <c r="X57" s="51"/>
      <c r="Y57" s="50"/>
      <c r="Z57" s="50"/>
      <c r="AA57" s="50"/>
      <c r="AB57" s="50"/>
      <c r="AC57" s="50"/>
    </row>
    <row r="58" spans="1:29" ht="15">
      <c r="A58" s="1"/>
      <c r="B58" s="7" t="s">
        <v>88</v>
      </c>
      <c r="C58" s="25" t="s">
        <v>17</v>
      </c>
      <c r="D58" s="26"/>
      <c r="E58" s="26"/>
      <c r="F58" s="25"/>
      <c r="H58" s="39"/>
      <c r="J58" s="26">
        <f>SUBTOTAL(9,J59:J134)</f>
        <v>6.0395899999999987</v>
      </c>
      <c r="K58" s="27">
        <f>SUBTOTAL(9,K59:K134)</f>
        <v>24</v>
      </c>
      <c r="L58" s="26">
        <f>SUBTOTAL(9,L59:L134)</f>
        <v>0</v>
      </c>
      <c r="M58" s="27">
        <f>SUBTOTAL(9,M59:M134)</f>
        <v>0</v>
      </c>
      <c r="N58" s="15"/>
      <c r="O58" s="39"/>
      <c r="Q58" s="7"/>
      <c r="R58" s="7"/>
      <c r="S58" s="7"/>
      <c r="T58" s="7"/>
      <c r="U58" s="7"/>
      <c r="V58" s="7"/>
      <c r="W58" s="15"/>
      <c r="X58" s="39"/>
      <c r="Z58" s="12"/>
      <c r="AA58" s="12"/>
    </row>
    <row r="59" spans="1:29" s="33" customFormat="1" outlineLevel="1" collapsed="1">
      <c r="A59" s="2"/>
      <c r="B59" s="16" t="s">
        <v>18</v>
      </c>
      <c r="C59" s="17" t="s">
        <v>89</v>
      </c>
      <c r="D59" s="30"/>
      <c r="E59" s="30"/>
      <c r="F59" s="139"/>
      <c r="H59" s="41"/>
      <c r="J59" s="30">
        <f>SUBTOTAL(9,J60:J87)</f>
        <v>3.85385</v>
      </c>
      <c r="K59" s="31">
        <f>SUBTOTAL(9,K60:K87)</f>
        <v>10</v>
      </c>
      <c r="L59" s="30">
        <f>SUBTOTAL(9,L60:L87)</f>
        <v>0</v>
      </c>
      <c r="M59" s="31">
        <f>SUBTOTAL(9,M60:M87)</f>
        <v>0</v>
      </c>
      <c r="N59" s="32"/>
      <c r="O59" s="41"/>
      <c r="Q59" s="16"/>
      <c r="R59" s="16"/>
      <c r="S59" s="16"/>
      <c r="T59" s="16"/>
      <c r="U59" s="16"/>
      <c r="V59" s="16"/>
      <c r="W59" s="32"/>
      <c r="X59" s="41"/>
    </row>
    <row r="60" spans="1:29" hidden="1" outlineLevel="2">
      <c r="A60" s="1"/>
      <c r="B60" s="1" t="s">
        <v>88</v>
      </c>
      <c r="C60" s="14" t="s">
        <v>90</v>
      </c>
      <c r="D60" s="47">
        <v>46343</v>
      </c>
      <c r="E60" s="48" t="s">
        <v>21</v>
      </c>
      <c r="F60" s="29"/>
      <c r="H60" s="39"/>
      <c r="J60" s="23">
        <v>0.48</v>
      </c>
      <c r="K60" s="28">
        <v>1</v>
      </c>
      <c r="L60" s="11">
        <f>IF(M60=1,J60,0)</f>
        <v>0</v>
      </c>
      <c r="M60" s="28"/>
      <c r="N60" s="15"/>
      <c r="O60" s="39"/>
      <c r="Q60" s="3" t="s">
        <v>22</v>
      </c>
      <c r="R60" s="3" t="s">
        <v>91</v>
      </c>
      <c r="S60" s="3" t="s">
        <v>92</v>
      </c>
      <c r="T60" s="3"/>
      <c r="U60" s="3"/>
      <c r="V60" s="3"/>
      <c r="W60" s="15"/>
      <c r="X60" s="39"/>
    </row>
    <row r="61" spans="1:29" s="120" customFormat="1" ht="11.45" hidden="1" outlineLevel="3">
      <c r="A61" s="49"/>
      <c r="B61" s="57" t="s">
        <v>35</v>
      </c>
      <c r="C61" s="58" t="s">
        <v>36</v>
      </c>
      <c r="D61" s="59">
        <v>46310</v>
      </c>
      <c r="E61" s="60" t="s">
        <v>37</v>
      </c>
      <c r="F61" s="140"/>
      <c r="G61" s="50"/>
      <c r="H61" s="51"/>
      <c r="I61" s="50"/>
      <c r="J61" s="54"/>
      <c r="K61" s="121"/>
      <c r="L61" s="54"/>
      <c r="M61" s="121"/>
      <c r="N61" s="55"/>
      <c r="O61" s="51"/>
      <c r="P61" s="50"/>
      <c r="Q61" s="49"/>
      <c r="R61" s="49"/>
      <c r="S61" s="49"/>
      <c r="T61" s="49"/>
      <c r="U61" s="49"/>
      <c r="V61" s="49"/>
      <c r="W61" s="55"/>
      <c r="X61" s="51"/>
      <c r="Y61" s="50"/>
      <c r="Z61" s="50"/>
      <c r="AA61" s="56"/>
      <c r="AB61" s="50"/>
      <c r="AC61" s="50"/>
    </row>
    <row r="62" spans="1:29" s="120" customFormat="1" ht="11.45" hidden="1" outlineLevel="3">
      <c r="A62" s="49"/>
      <c r="B62" s="57" t="s">
        <v>38</v>
      </c>
      <c r="C62" s="58" t="s">
        <v>39</v>
      </c>
      <c r="D62" s="59">
        <v>46325</v>
      </c>
      <c r="E62" s="60" t="s">
        <v>40</v>
      </c>
      <c r="F62" s="140"/>
      <c r="G62" s="50"/>
      <c r="H62" s="51"/>
      <c r="I62" s="50"/>
      <c r="J62" s="54"/>
      <c r="K62" s="121"/>
      <c r="L62" s="54"/>
      <c r="M62" s="121"/>
      <c r="N62" s="55"/>
      <c r="O62" s="51"/>
      <c r="P62" s="50"/>
      <c r="Q62" s="49"/>
      <c r="R62" s="49"/>
      <c r="S62" s="49"/>
      <c r="T62" s="49"/>
      <c r="U62" s="49"/>
      <c r="V62" s="49"/>
      <c r="W62" s="55"/>
      <c r="X62" s="51"/>
      <c r="Y62" s="50"/>
      <c r="Z62" s="50"/>
      <c r="AA62" s="50"/>
      <c r="AB62" s="50"/>
      <c r="AC62" s="50"/>
    </row>
    <row r="63" spans="1:29" ht="26.45" hidden="1" outlineLevel="2">
      <c r="A63" s="1"/>
      <c r="B63" s="1" t="s">
        <v>88</v>
      </c>
      <c r="C63" s="14" t="s">
        <v>93</v>
      </c>
      <c r="D63" s="47">
        <v>46315</v>
      </c>
      <c r="E63" s="48" t="s">
        <v>21</v>
      </c>
      <c r="F63" s="29"/>
      <c r="H63" s="39"/>
      <c r="J63" s="23">
        <v>0.9638500000000001</v>
      </c>
      <c r="K63" s="28">
        <v>1</v>
      </c>
      <c r="L63" s="11">
        <f>IF(M63=1,J63,0)</f>
        <v>0</v>
      </c>
      <c r="M63" s="28"/>
      <c r="N63" s="15"/>
      <c r="O63" s="39"/>
      <c r="Q63" s="3" t="s">
        <v>22</v>
      </c>
      <c r="R63" s="3" t="s">
        <v>91</v>
      </c>
      <c r="S63" s="3" t="s">
        <v>92</v>
      </c>
      <c r="T63" s="3"/>
      <c r="U63" s="3"/>
      <c r="V63" s="3"/>
      <c r="W63" s="15"/>
      <c r="X63" s="39"/>
    </row>
    <row r="64" spans="1:29" s="120" customFormat="1" ht="11.45" hidden="1" outlineLevel="3">
      <c r="A64" s="49"/>
      <c r="B64" s="57" t="s">
        <v>35</v>
      </c>
      <c r="C64" s="58" t="s">
        <v>36</v>
      </c>
      <c r="D64" s="59">
        <v>46310</v>
      </c>
      <c r="E64" s="60" t="s">
        <v>37</v>
      </c>
      <c r="F64" s="140"/>
      <c r="G64" s="50"/>
      <c r="H64" s="51"/>
      <c r="I64" s="50"/>
      <c r="J64" s="54"/>
      <c r="K64" s="121"/>
      <c r="L64" s="54"/>
      <c r="M64" s="121"/>
      <c r="N64" s="55"/>
      <c r="O64" s="51"/>
      <c r="P64" s="50"/>
      <c r="Q64" s="49"/>
      <c r="R64" s="49"/>
      <c r="S64" s="49"/>
      <c r="T64" s="49"/>
      <c r="U64" s="49"/>
      <c r="V64" s="49"/>
      <c r="W64" s="55"/>
      <c r="X64" s="51"/>
      <c r="Y64" s="50"/>
      <c r="Z64" s="50"/>
      <c r="AA64" s="56"/>
      <c r="AB64" s="50"/>
      <c r="AC64" s="50"/>
    </row>
    <row r="65" spans="1:29" s="120" customFormat="1" ht="11.45" hidden="1" outlineLevel="3">
      <c r="A65" s="49"/>
      <c r="B65" s="57" t="s">
        <v>38</v>
      </c>
      <c r="C65" s="58" t="s">
        <v>39</v>
      </c>
      <c r="D65" s="59">
        <v>46325</v>
      </c>
      <c r="E65" s="60" t="s">
        <v>40</v>
      </c>
      <c r="F65" s="140"/>
      <c r="G65" s="50"/>
      <c r="H65" s="51"/>
      <c r="I65" s="50"/>
      <c r="J65" s="54"/>
      <c r="K65" s="121"/>
      <c r="L65" s="54"/>
      <c r="M65" s="121"/>
      <c r="N65" s="55"/>
      <c r="O65" s="51"/>
      <c r="P65" s="50"/>
      <c r="Q65" s="49"/>
      <c r="R65" s="49"/>
      <c r="S65" s="49"/>
      <c r="T65" s="49"/>
      <c r="U65" s="49"/>
      <c r="V65" s="49"/>
      <c r="W65" s="55"/>
      <c r="X65" s="51"/>
      <c r="Y65" s="50"/>
      <c r="Z65" s="50"/>
      <c r="AA65" s="50"/>
      <c r="AB65" s="50"/>
      <c r="AC65" s="50"/>
    </row>
    <row r="66" spans="1:29" hidden="1" outlineLevel="2">
      <c r="A66" s="1"/>
      <c r="B66" s="1" t="s">
        <v>88</v>
      </c>
      <c r="C66" s="14" t="s">
        <v>94</v>
      </c>
      <c r="D66" s="47">
        <v>46325</v>
      </c>
      <c r="E66" s="48" t="s">
        <v>21</v>
      </c>
      <c r="F66" s="29"/>
      <c r="H66" s="39"/>
      <c r="J66" s="23">
        <v>0.52</v>
      </c>
      <c r="K66" s="28">
        <v>1</v>
      </c>
      <c r="L66" s="11">
        <f>IF(M66=1,J66,0)</f>
        <v>0</v>
      </c>
      <c r="M66" s="28"/>
      <c r="N66" s="15"/>
      <c r="O66" s="39"/>
      <c r="Q66" s="3" t="s">
        <v>22</v>
      </c>
      <c r="R66" s="3" t="s">
        <v>92</v>
      </c>
      <c r="S66" s="3" t="s">
        <v>95</v>
      </c>
      <c r="T66" s="3"/>
      <c r="U66" s="3"/>
      <c r="V66" s="3"/>
      <c r="W66" s="15"/>
      <c r="X66" s="39"/>
    </row>
    <row r="67" spans="1:29" s="120" customFormat="1" ht="11.45" hidden="1" outlineLevel="3">
      <c r="A67" s="49"/>
      <c r="B67" s="57" t="s">
        <v>35</v>
      </c>
      <c r="C67" s="58" t="s">
        <v>36</v>
      </c>
      <c r="D67" s="59">
        <v>46310</v>
      </c>
      <c r="E67" s="60" t="s">
        <v>37</v>
      </c>
      <c r="F67" s="140"/>
      <c r="G67" s="50"/>
      <c r="H67" s="51"/>
      <c r="I67" s="50"/>
      <c r="J67" s="54"/>
      <c r="K67" s="121"/>
      <c r="L67" s="54"/>
      <c r="M67" s="121"/>
      <c r="N67" s="55"/>
      <c r="O67" s="51"/>
      <c r="P67" s="50"/>
      <c r="Q67" s="49"/>
      <c r="R67" s="49"/>
      <c r="S67" s="49"/>
      <c r="T67" s="49"/>
      <c r="U67" s="49"/>
      <c r="V67" s="49"/>
      <c r="W67" s="55"/>
      <c r="X67" s="51"/>
      <c r="Y67" s="50"/>
      <c r="Z67" s="50"/>
      <c r="AA67" s="56"/>
      <c r="AB67" s="50"/>
      <c r="AC67" s="50"/>
    </row>
    <row r="68" spans="1:29" s="120" customFormat="1" ht="11.45" hidden="1" outlineLevel="3">
      <c r="A68" s="49"/>
      <c r="B68" s="57" t="s">
        <v>38</v>
      </c>
      <c r="C68" s="58" t="s">
        <v>39</v>
      </c>
      <c r="D68" s="59">
        <v>46325</v>
      </c>
      <c r="E68" s="60" t="s">
        <v>40</v>
      </c>
      <c r="F68" s="140"/>
      <c r="G68" s="50"/>
      <c r="H68" s="51"/>
      <c r="I68" s="50"/>
      <c r="J68" s="54"/>
      <c r="K68" s="121"/>
      <c r="L68" s="54"/>
      <c r="M68" s="121"/>
      <c r="N68" s="55"/>
      <c r="O68" s="51"/>
      <c r="P68" s="50"/>
      <c r="Q68" s="49"/>
      <c r="R68" s="49"/>
      <c r="S68" s="49"/>
      <c r="T68" s="49"/>
      <c r="U68" s="49"/>
      <c r="V68" s="49"/>
      <c r="W68" s="55"/>
      <c r="X68" s="51"/>
      <c r="Y68" s="50"/>
      <c r="Z68" s="50"/>
      <c r="AA68" s="50"/>
      <c r="AB68" s="50"/>
      <c r="AC68" s="50"/>
    </row>
    <row r="69" spans="1:29" hidden="1" outlineLevel="2">
      <c r="A69" s="1"/>
      <c r="B69" s="1" t="s">
        <v>88</v>
      </c>
      <c r="C69" s="14" t="s">
        <v>96</v>
      </c>
      <c r="D69" s="47">
        <v>46300</v>
      </c>
      <c r="E69" s="4" t="s">
        <v>21</v>
      </c>
      <c r="F69" s="141"/>
      <c r="H69" s="39"/>
      <c r="J69" s="23">
        <v>0.52</v>
      </c>
      <c r="K69" s="28">
        <v>1</v>
      </c>
      <c r="N69" s="15"/>
      <c r="O69" s="39"/>
      <c r="Q69" s="3" t="s">
        <v>22</v>
      </c>
      <c r="R69" s="3" t="s">
        <v>97</v>
      </c>
      <c r="T69" s="39"/>
      <c r="V69" s="11"/>
      <c r="W69" s="15"/>
      <c r="X69" s="39"/>
    </row>
    <row r="70" spans="1:29" s="120" customFormat="1" hidden="1" outlineLevel="3">
      <c r="A70" s="49"/>
      <c r="B70" s="57" t="s">
        <v>35</v>
      </c>
      <c r="C70" s="58" t="s">
        <v>36</v>
      </c>
      <c r="D70" s="47">
        <v>46300</v>
      </c>
      <c r="E70" s="60" t="s">
        <v>37</v>
      </c>
      <c r="F70" s="140"/>
      <c r="G70" s="50"/>
      <c r="H70" s="51"/>
      <c r="I70" s="50"/>
      <c r="J70" s="54"/>
      <c r="K70" s="121"/>
      <c r="L70" s="54"/>
      <c r="M70" s="121"/>
      <c r="N70" s="55"/>
      <c r="O70" s="51"/>
      <c r="P70" s="50"/>
      <c r="Q70" s="49"/>
      <c r="R70" s="49"/>
      <c r="S70" s="49"/>
      <c r="T70" s="49"/>
      <c r="U70" s="49"/>
      <c r="V70" s="49"/>
      <c r="W70" s="55"/>
      <c r="X70" s="51"/>
      <c r="Y70" s="50"/>
      <c r="Z70" s="50"/>
      <c r="AA70" s="56"/>
      <c r="AB70" s="50"/>
      <c r="AC70" s="50"/>
    </row>
    <row r="71" spans="1:29" s="120" customFormat="1" hidden="1" outlineLevel="3">
      <c r="A71" s="49"/>
      <c r="B71" s="57" t="s">
        <v>38</v>
      </c>
      <c r="C71" s="58" t="s">
        <v>39</v>
      </c>
      <c r="D71" s="47">
        <v>46300</v>
      </c>
      <c r="E71" s="60" t="s">
        <v>40</v>
      </c>
      <c r="F71" s="140"/>
      <c r="G71" s="50"/>
      <c r="H71" s="51"/>
      <c r="I71" s="50"/>
      <c r="J71" s="54"/>
      <c r="K71" s="121"/>
      <c r="L71" s="54"/>
      <c r="M71" s="121"/>
      <c r="N71" s="55"/>
      <c r="O71" s="51"/>
      <c r="P71" s="50"/>
      <c r="Q71" s="49"/>
      <c r="R71" s="49"/>
      <c r="S71" s="49"/>
      <c r="T71" s="49"/>
      <c r="U71" s="49"/>
      <c r="V71" s="49"/>
      <c r="W71" s="55"/>
      <c r="X71" s="51"/>
      <c r="Y71" s="50"/>
      <c r="Z71" s="50"/>
      <c r="AA71" s="50"/>
      <c r="AB71" s="50"/>
      <c r="AC71" s="50"/>
    </row>
    <row r="72" spans="1:29" hidden="1" outlineLevel="2">
      <c r="A72" s="1"/>
      <c r="B72" s="1" t="s">
        <v>88</v>
      </c>
      <c r="C72" s="14" t="s">
        <v>98</v>
      </c>
      <c r="D72" s="47">
        <v>46300</v>
      </c>
      <c r="E72" s="48" t="s">
        <v>21</v>
      </c>
      <c r="F72" s="29" t="s">
        <v>99</v>
      </c>
      <c r="H72" s="39"/>
      <c r="J72" s="23">
        <v>0.52</v>
      </c>
      <c r="K72" s="28">
        <v>1</v>
      </c>
      <c r="L72" s="11">
        <f t="shared" ref="L72:L87" si="1">IF(M72=1,J72,0)</f>
        <v>0</v>
      </c>
      <c r="M72" s="28"/>
      <c r="N72" s="15"/>
      <c r="O72" s="39"/>
      <c r="Q72" s="3" t="s">
        <v>22</v>
      </c>
      <c r="R72" s="3" t="s">
        <v>97</v>
      </c>
      <c r="S72" s="3" t="s">
        <v>91</v>
      </c>
      <c r="T72" s="3"/>
      <c r="U72" s="3"/>
      <c r="V72" s="3"/>
      <c r="W72" s="15"/>
      <c r="X72" s="39"/>
    </row>
    <row r="73" spans="1:29" s="120" customFormat="1" hidden="1" outlineLevel="3">
      <c r="A73" s="49"/>
      <c r="B73" s="57" t="s">
        <v>35</v>
      </c>
      <c r="C73" s="58" t="s">
        <v>36</v>
      </c>
      <c r="D73" s="47">
        <v>46300</v>
      </c>
      <c r="E73" s="60" t="s">
        <v>37</v>
      </c>
      <c r="F73" s="140"/>
      <c r="G73" s="50"/>
      <c r="H73" s="51"/>
      <c r="I73" s="50"/>
      <c r="J73" s="54"/>
      <c r="K73" s="121"/>
      <c r="L73" s="54"/>
      <c r="M73" s="121"/>
      <c r="N73" s="55"/>
      <c r="O73" s="51"/>
      <c r="P73" s="50"/>
      <c r="Q73" s="49"/>
      <c r="R73" s="49"/>
      <c r="S73" s="49"/>
      <c r="T73" s="49"/>
      <c r="U73" s="49"/>
      <c r="V73" s="49"/>
      <c r="W73" s="55"/>
      <c r="X73" s="51"/>
      <c r="Y73" s="50"/>
      <c r="Z73" s="50"/>
      <c r="AA73" s="56"/>
      <c r="AB73" s="50"/>
      <c r="AC73" s="50"/>
    </row>
    <row r="74" spans="1:29" s="120" customFormat="1" hidden="1" outlineLevel="3">
      <c r="A74" s="49"/>
      <c r="B74" s="57" t="s">
        <v>38</v>
      </c>
      <c r="C74" s="58" t="s">
        <v>39</v>
      </c>
      <c r="D74" s="47">
        <v>46300</v>
      </c>
      <c r="E74" s="60" t="s">
        <v>40</v>
      </c>
      <c r="F74" s="140"/>
      <c r="G74" s="50"/>
      <c r="H74" s="51"/>
      <c r="I74" s="50"/>
      <c r="J74" s="54"/>
      <c r="K74" s="121"/>
      <c r="L74" s="54"/>
      <c r="M74" s="121"/>
      <c r="N74" s="55"/>
      <c r="O74" s="51"/>
      <c r="P74" s="50"/>
      <c r="Q74" s="49"/>
      <c r="R74" s="49"/>
      <c r="S74" s="49"/>
      <c r="T74" s="49"/>
      <c r="U74" s="49"/>
      <c r="V74" s="49"/>
      <c r="W74" s="55"/>
      <c r="X74" s="51"/>
      <c r="Y74" s="50"/>
      <c r="Z74" s="50"/>
      <c r="AA74" s="50"/>
      <c r="AB74" s="50"/>
      <c r="AC74" s="50"/>
    </row>
    <row r="75" spans="1:29" hidden="1" outlineLevel="2">
      <c r="A75" s="1"/>
      <c r="B75" s="1" t="s">
        <v>88</v>
      </c>
      <c r="C75" s="14" t="s">
        <v>100</v>
      </c>
      <c r="D75" s="47">
        <v>46300</v>
      </c>
      <c r="E75" s="48" t="s">
        <v>21</v>
      </c>
      <c r="F75" s="29" t="s">
        <v>99</v>
      </c>
      <c r="H75" s="39"/>
      <c r="J75" s="23">
        <v>0.52</v>
      </c>
      <c r="K75" s="28">
        <v>1</v>
      </c>
      <c r="L75" s="11">
        <f t="shared" si="1"/>
        <v>0</v>
      </c>
      <c r="M75" s="28"/>
      <c r="N75" s="15"/>
      <c r="O75" s="39"/>
      <c r="Q75" s="3" t="s">
        <v>22</v>
      </c>
      <c r="R75" s="3" t="s">
        <v>91</v>
      </c>
      <c r="S75" s="3" t="s">
        <v>97</v>
      </c>
      <c r="T75" s="3"/>
      <c r="U75" s="3"/>
      <c r="V75" s="3"/>
      <c r="W75" s="15"/>
      <c r="X75" s="39"/>
    </row>
    <row r="76" spans="1:29" s="120" customFormat="1" ht="11.45" hidden="1" outlineLevel="3">
      <c r="A76" s="49"/>
      <c r="B76" s="57" t="s">
        <v>35</v>
      </c>
      <c r="C76" s="58" t="s">
        <v>36</v>
      </c>
      <c r="D76" s="59">
        <v>46310</v>
      </c>
      <c r="E76" s="60" t="s">
        <v>37</v>
      </c>
      <c r="F76" s="140"/>
      <c r="G76" s="50"/>
      <c r="H76" s="51"/>
      <c r="I76" s="50"/>
      <c r="J76" s="54"/>
      <c r="K76" s="121"/>
      <c r="L76" s="54"/>
      <c r="M76" s="121"/>
      <c r="N76" s="55"/>
      <c r="O76" s="51"/>
      <c r="P76" s="50"/>
      <c r="Q76" s="49"/>
      <c r="R76" s="49"/>
      <c r="S76" s="49"/>
      <c r="T76" s="49"/>
      <c r="U76" s="49"/>
      <c r="V76" s="49"/>
      <c r="W76" s="55"/>
      <c r="X76" s="51"/>
      <c r="Y76" s="50"/>
      <c r="Z76" s="50"/>
      <c r="AA76" s="56"/>
      <c r="AB76" s="50"/>
      <c r="AC76" s="50"/>
    </row>
    <row r="77" spans="1:29" s="120" customFormat="1" ht="11.45" hidden="1" outlineLevel="3">
      <c r="A77" s="49"/>
      <c r="B77" s="57" t="s">
        <v>38</v>
      </c>
      <c r="C77" s="58" t="s">
        <v>39</v>
      </c>
      <c r="D77" s="59">
        <v>46325</v>
      </c>
      <c r="E77" s="60" t="s">
        <v>40</v>
      </c>
      <c r="F77" s="140"/>
      <c r="G77" s="50"/>
      <c r="H77" s="51"/>
      <c r="I77" s="50"/>
      <c r="J77" s="54"/>
      <c r="K77" s="121"/>
      <c r="L77" s="54"/>
      <c r="M77" s="121"/>
      <c r="N77" s="55"/>
      <c r="O77" s="51"/>
      <c r="P77" s="50"/>
      <c r="Q77" s="49"/>
      <c r="R77" s="49"/>
      <c r="S77" s="49"/>
      <c r="T77" s="49"/>
      <c r="U77" s="49"/>
      <c r="V77" s="49"/>
      <c r="W77" s="55"/>
      <c r="X77" s="51"/>
      <c r="Y77" s="50"/>
      <c r="Z77" s="50"/>
      <c r="AA77" s="50"/>
      <c r="AB77" s="50"/>
      <c r="AC77" s="50"/>
    </row>
    <row r="78" spans="1:29" hidden="1" outlineLevel="2">
      <c r="A78" s="1"/>
      <c r="B78" s="1" t="s">
        <v>88</v>
      </c>
      <c r="C78" s="14" t="s">
        <v>101</v>
      </c>
      <c r="D78" s="47">
        <v>46378</v>
      </c>
      <c r="E78" s="48" t="s">
        <v>21</v>
      </c>
      <c r="F78" s="29"/>
      <c r="H78" s="39"/>
      <c r="J78" s="23">
        <v>0.17</v>
      </c>
      <c r="K78" s="28">
        <v>1</v>
      </c>
      <c r="L78" s="11">
        <f t="shared" si="1"/>
        <v>0</v>
      </c>
      <c r="M78" s="28"/>
      <c r="N78" s="15"/>
      <c r="O78" s="39"/>
      <c r="Q78" s="3" t="s">
        <v>22</v>
      </c>
      <c r="R78" s="3" t="s">
        <v>102</v>
      </c>
      <c r="S78" s="3" t="s">
        <v>91</v>
      </c>
      <c r="T78" s="3"/>
      <c r="U78" s="3"/>
      <c r="V78" s="3"/>
      <c r="W78" s="15"/>
      <c r="X78" s="39"/>
    </row>
    <row r="79" spans="1:29" s="120" customFormat="1" ht="11.45" hidden="1" outlineLevel="3">
      <c r="A79" s="49"/>
      <c r="B79" s="57" t="s">
        <v>35</v>
      </c>
      <c r="C79" s="58" t="s">
        <v>36</v>
      </c>
      <c r="D79" s="59">
        <v>46310</v>
      </c>
      <c r="E79" s="60" t="s">
        <v>37</v>
      </c>
      <c r="F79" s="140"/>
      <c r="G79" s="50"/>
      <c r="H79" s="51"/>
      <c r="I79" s="50"/>
      <c r="J79" s="54"/>
      <c r="K79" s="121"/>
      <c r="L79" s="54"/>
      <c r="M79" s="121"/>
      <c r="N79" s="55"/>
      <c r="O79" s="51"/>
      <c r="P79" s="50"/>
      <c r="Q79" s="49"/>
      <c r="R79" s="49"/>
      <c r="S79" s="49"/>
      <c r="T79" s="49"/>
      <c r="U79" s="49"/>
      <c r="V79" s="49"/>
      <c r="W79" s="55"/>
      <c r="X79" s="51"/>
      <c r="Y79" s="50"/>
      <c r="Z79" s="50"/>
      <c r="AA79" s="56"/>
      <c r="AB79" s="50"/>
      <c r="AC79" s="50"/>
    </row>
    <row r="80" spans="1:29" s="120" customFormat="1" ht="11.45" hidden="1" outlineLevel="3">
      <c r="A80" s="49"/>
      <c r="B80" s="57" t="s">
        <v>38</v>
      </c>
      <c r="C80" s="58" t="s">
        <v>39</v>
      </c>
      <c r="D80" s="59">
        <v>46325</v>
      </c>
      <c r="E80" s="60" t="s">
        <v>40</v>
      </c>
      <c r="F80" s="140"/>
      <c r="G80" s="50"/>
      <c r="H80" s="51"/>
      <c r="I80" s="50"/>
      <c r="J80" s="54"/>
      <c r="K80" s="121"/>
      <c r="L80" s="54"/>
      <c r="M80" s="121"/>
      <c r="N80" s="55"/>
      <c r="O80" s="51"/>
      <c r="P80" s="50"/>
      <c r="Q80" s="49"/>
      <c r="R80" s="49"/>
      <c r="S80" s="49"/>
      <c r="T80" s="49"/>
      <c r="U80" s="49"/>
      <c r="V80" s="49"/>
      <c r="W80" s="55"/>
      <c r="X80" s="51"/>
      <c r="Y80" s="50"/>
      <c r="Z80" s="50"/>
      <c r="AA80" s="50"/>
      <c r="AB80" s="50"/>
      <c r="AC80" s="50"/>
    </row>
    <row r="81" spans="1:29" hidden="1" outlineLevel="2">
      <c r="A81" s="1"/>
      <c r="B81" s="1" t="s">
        <v>88</v>
      </c>
      <c r="C81" s="14" t="s">
        <v>103</v>
      </c>
      <c r="D81" s="47">
        <v>46374</v>
      </c>
      <c r="E81" s="48" t="s">
        <v>21</v>
      </c>
      <c r="F81" s="29"/>
      <c r="H81" s="39"/>
      <c r="J81" s="23">
        <v>0.03</v>
      </c>
      <c r="K81" s="28">
        <v>1</v>
      </c>
      <c r="L81" s="11">
        <f t="shared" si="1"/>
        <v>0</v>
      </c>
      <c r="M81" s="28"/>
      <c r="N81" s="15"/>
      <c r="O81" s="39"/>
      <c r="Q81" s="3" t="s">
        <v>22</v>
      </c>
      <c r="R81" s="3" t="s">
        <v>102</v>
      </c>
      <c r="S81" s="3" t="s">
        <v>91</v>
      </c>
      <c r="T81" s="3"/>
      <c r="U81" s="3"/>
      <c r="V81" s="3"/>
      <c r="W81" s="15"/>
      <c r="X81" s="39"/>
    </row>
    <row r="82" spans="1:29" s="120" customFormat="1" ht="11.45" hidden="1" outlineLevel="3">
      <c r="A82" s="49"/>
      <c r="B82" s="57" t="s">
        <v>35</v>
      </c>
      <c r="C82" s="58" t="s">
        <v>36</v>
      </c>
      <c r="D82" s="59">
        <v>46310</v>
      </c>
      <c r="E82" s="60" t="s">
        <v>37</v>
      </c>
      <c r="F82" s="140"/>
      <c r="G82" s="50"/>
      <c r="H82" s="51"/>
      <c r="I82" s="50"/>
      <c r="J82" s="54"/>
      <c r="K82" s="121"/>
      <c r="L82" s="54"/>
      <c r="M82" s="121"/>
      <c r="N82" s="55"/>
      <c r="O82" s="51"/>
      <c r="P82" s="50"/>
      <c r="Q82" s="49"/>
      <c r="R82" s="49"/>
      <c r="S82" s="49"/>
      <c r="T82" s="49"/>
      <c r="U82" s="49"/>
      <c r="V82" s="49"/>
      <c r="W82" s="55"/>
      <c r="X82" s="51"/>
      <c r="Y82" s="50"/>
      <c r="Z82" s="50"/>
      <c r="AA82" s="56"/>
      <c r="AB82" s="50"/>
      <c r="AC82" s="50"/>
    </row>
    <row r="83" spans="1:29" s="120" customFormat="1" ht="11.45" hidden="1" outlineLevel="3">
      <c r="A83" s="49"/>
      <c r="B83" s="57" t="s">
        <v>38</v>
      </c>
      <c r="C83" s="58" t="s">
        <v>39</v>
      </c>
      <c r="D83" s="59">
        <v>46325</v>
      </c>
      <c r="E83" s="60" t="s">
        <v>40</v>
      </c>
      <c r="F83" s="140"/>
      <c r="G83" s="50"/>
      <c r="H83" s="51"/>
      <c r="I83" s="50"/>
      <c r="J83" s="54"/>
      <c r="K83" s="121"/>
      <c r="L83" s="54"/>
      <c r="M83" s="121"/>
      <c r="N83" s="55"/>
      <c r="O83" s="51"/>
      <c r="P83" s="50"/>
      <c r="Q83" s="49"/>
      <c r="R83" s="49"/>
      <c r="S83" s="49"/>
      <c r="T83" s="49"/>
      <c r="U83" s="49"/>
      <c r="V83" s="49"/>
      <c r="W83" s="55"/>
      <c r="X83" s="51"/>
      <c r="Y83" s="50"/>
      <c r="Z83" s="50"/>
      <c r="AA83" s="50"/>
      <c r="AB83" s="50"/>
      <c r="AC83" s="50"/>
    </row>
    <row r="84" spans="1:29" hidden="1" outlineLevel="2">
      <c r="A84" s="1"/>
      <c r="B84" s="1" t="s">
        <v>88</v>
      </c>
      <c r="C84" s="14" t="s">
        <v>59</v>
      </c>
      <c r="D84" s="47">
        <v>46370</v>
      </c>
      <c r="E84" s="48" t="s">
        <v>21</v>
      </c>
      <c r="F84" s="29"/>
      <c r="H84" s="39"/>
      <c r="J84" s="23">
        <v>0.03</v>
      </c>
      <c r="K84" s="28">
        <v>1</v>
      </c>
      <c r="L84" s="11">
        <f t="shared" si="1"/>
        <v>0</v>
      </c>
      <c r="M84" s="28"/>
      <c r="N84" s="15"/>
      <c r="O84" s="39"/>
      <c r="Q84" s="3" t="s">
        <v>22</v>
      </c>
      <c r="R84" s="3" t="s">
        <v>102</v>
      </c>
      <c r="S84" s="3" t="s">
        <v>91</v>
      </c>
      <c r="T84" s="3"/>
      <c r="U84" s="3"/>
      <c r="V84" s="3"/>
      <c r="W84" s="15"/>
      <c r="X84" s="39"/>
    </row>
    <row r="85" spans="1:29" s="120" customFormat="1" ht="11.45" hidden="1" outlineLevel="3">
      <c r="A85" s="49"/>
      <c r="B85" s="57" t="s">
        <v>35</v>
      </c>
      <c r="C85" s="58" t="s">
        <v>36</v>
      </c>
      <c r="D85" s="59">
        <v>46310</v>
      </c>
      <c r="E85" s="60" t="s">
        <v>37</v>
      </c>
      <c r="F85" s="140"/>
      <c r="G85" s="50"/>
      <c r="H85" s="51"/>
      <c r="I85" s="50"/>
      <c r="J85" s="54"/>
      <c r="K85" s="121"/>
      <c r="L85" s="54"/>
      <c r="M85" s="121"/>
      <c r="N85" s="55"/>
      <c r="O85" s="51"/>
      <c r="P85" s="50"/>
      <c r="Q85" s="49"/>
      <c r="R85" s="49"/>
      <c r="S85" s="49"/>
      <c r="T85" s="49"/>
      <c r="U85" s="49"/>
      <c r="V85" s="49"/>
      <c r="W85" s="55"/>
      <c r="X85" s="51"/>
      <c r="Y85" s="50"/>
      <c r="Z85" s="50"/>
      <c r="AA85" s="56"/>
      <c r="AB85" s="50"/>
      <c r="AC85" s="50"/>
    </row>
    <row r="86" spans="1:29" s="120" customFormat="1" ht="11.45" hidden="1" outlineLevel="3">
      <c r="A86" s="49"/>
      <c r="B86" s="57" t="s">
        <v>38</v>
      </c>
      <c r="C86" s="58" t="s">
        <v>39</v>
      </c>
      <c r="D86" s="59">
        <v>46325</v>
      </c>
      <c r="E86" s="60" t="s">
        <v>40</v>
      </c>
      <c r="F86" s="140"/>
      <c r="G86" s="50"/>
      <c r="H86" s="51"/>
      <c r="I86" s="50"/>
      <c r="J86" s="54"/>
      <c r="K86" s="121"/>
      <c r="L86" s="54"/>
      <c r="M86" s="121"/>
      <c r="N86" s="55"/>
      <c r="O86" s="51"/>
      <c r="P86" s="50"/>
      <c r="Q86" s="49"/>
      <c r="R86" s="49"/>
      <c r="S86" s="49"/>
      <c r="T86" s="49"/>
      <c r="U86" s="49"/>
      <c r="V86" s="49"/>
      <c r="W86" s="55"/>
      <c r="X86" s="51"/>
      <c r="Y86" s="50"/>
      <c r="Z86" s="50"/>
      <c r="AA86" s="50"/>
      <c r="AB86" s="50"/>
      <c r="AC86" s="50"/>
    </row>
    <row r="87" spans="1:29" hidden="1" outlineLevel="2">
      <c r="A87" s="1"/>
      <c r="B87" s="1" t="s">
        <v>88</v>
      </c>
      <c r="C87" s="14" t="s">
        <v>52</v>
      </c>
      <c r="D87" s="47">
        <v>46379</v>
      </c>
      <c r="E87" s="48" t="s">
        <v>21</v>
      </c>
      <c r="F87" s="29"/>
      <c r="H87" s="39"/>
      <c r="J87" s="23">
        <v>0.1</v>
      </c>
      <c r="K87" s="28">
        <v>1</v>
      </c>
      <c r="L87" s="11">
        <f t="shared" si="1"/>
        <v>0</v>
      </c>
      <c r="M87" s="28"/>
      <c r="N87" s="15"/>
      <c r="O87" s="39"/>
      <c r="Q87" s="3" t="s">
        <v>22</v>
      </c>
      <c r="R87" s="3" t="s">
        <v>102</v>
      </c>
      <c r="S87" s="3" t="s">
        <v>91</v>
      </c>
      <c r="T87" s="3"/>
      <c r="U87" s="3"/>
      <c r="V87" s="3"/>
      <c r="W87" s="15"/>
      <c r="X87" s="39"/>
    </row>
    <row r="88" spans="1:29" s="120" customFormat="1" ht="11.45" hidden="1" outlineLevel="3">
      <c r="A88" s="49"/>
      <c r="B88" s="57" t="s">
        <v>35</v>
      </c>
      <c r="C88" s="58" t="s">
        <v>36</v>
      </c>
      <c r="D88" s="59">
        <v>46310</v>
      </c>
      <c r="E88" s="60" t="s">
        <v>37</v>
      </c>
      <c r="F88" s="140"/>
      <c r="G88" s="50"/>
      <c r="H88" s="51"/>
      <c r="I88" s="50"/>
      <c r="J88" s="54"/>
      <c r="K88" s="121"/>
      <c r="L88" s="54"/>
      <c r="M88" s="121"/>
      <c r="N88" s="55"/>
      <c r="O88" s="51"/>
      <c r="P88" s="50"/>
      <c r="Q88" s="49"/>
      <c r="R88" s="49"/>
      <c r="S88" s="49"/>
      <c r="T88" s="49"/>
      <c r="U88" s="49"/>
      <c r="V88" s="49"/>
      <c r="W88" s="55"/>
      <c r="X88" s="51"/>
      <c r="Y88" s="50"/>
      <c r="Z88" s="50"/>
      <c r="AA88" s="56"/>
      <c r="AB88" s="50"/>
      <c r="AC88" s="50"/>
    </row>
    <row r="89" spans="1:29" s="120" customFormat="1" ht="11.45" hidden="1" outlineLevel="3">
      <c r="A89" s="49"/>
      <c r="B89" s="57" t="s">
        <v>38</v>
      </c>
      <c r="C89" s="58" t="s">
        <v>39</v>
      </c>
      <c r="D89" s="59">
        <v>46325</v>
      </c>
      <c r="E89" s="60" t="s">
        <v>40</v>
      </c>
      <c r="F89" s="140"/>
      <c r="G89" s="50"/>
      <c r="H89" s="51"/>
      <c r="I89" s="50"/>
      <c r="J89" s="54"/>
      <c r="K89" s="121"/>
      <c r="L89" s="54"/>
      <c r="M89" s="121"/>
      <c r="N89" s="55"/>
      <c r="O89" s="51"/>
      <c r="P89" s="50"/>
      <c r="Q89" s="49"/>
      <c r="R89" s="49"/>
      <c r="S89" s="49"/>
      <c r="T89" s="49"/>
      <c r="U89" s="49"/>
      <c r="V89" s="49"/>
      <c r="W89" s="55"/>
      <c r="X89" s="51"/>
      <c r="Y89" s="50"/>
      <c r="Z89" s="50"/>
      <c r="AA89" s="50"/>
      <c r="AB89" s="50"/>
      <c r="AC89" s="50"/>
    </row>
    <row r="90" spans="1:29" s="33" customFormat="1" outlineLevel="1" collapsed="1">
      <c r="A90" s="2"/>
      <c r="B90" s="16" t="s">
        <v>51</v>
      </c>
      <c r="C90" s="17" t="s">
        <v>19</v>
      </c>
      <c r="D90" s="30"/>
      <c r="E90" s="30"/>
      <c r="F90" s="139"/>
      <c r="H90" s="41"/>
      <c r="J90" s="30">
        <f>SUBTOTAL(9,J91:J109)</f>
        <v>1.7000000000000002</v>
      </c>
      <c r="K90" s="31">
        <f>SUBTOTAL(9,K91:K109)</f>
        <v>7</v>
      </c>
      <c r="L90" s="30">
        <f>SUBTOTAL(9,L91:L109)</f>
        <v>0</v>
      </c>
      <c r="M90" s="31">
        <f>SUBTOTAL(9,M91:M109)</f>
        <v>0</v>
      </c>
      <c r="N90" s="32"/>
      <c r="O90" s="41"/>
      <c r="Q90" s="16"/>
      <c r="R90" s="16"/>
      <c r="S90" s="16"/>
      <c r="T90" s="16"/>
      <c r="U90" s="16"/>
      <c r="V90" s="16"/>
      <c r="W90" s="32"/>
      <c r="X90" s="41"/>
    </row>
    <row r="91" spans="1:29" hidden="1" outlineLevel="2">
      <c r="A91" s="1"/>
      <c r="B91" s="1" t="s">
        <v>88</v>
      </c>
      <c r="C91" s="14" t="s">
        <v>104</v>
      </c>
      <c r="D91" s="47">
        <v>46301</v>
      </c>
      <c r="E91" s="48" t="s">
        <v>53</v>
      </c>
      <c r="F91" s="10"/>
      <c r="H91" s="39"/>
      <c r="J91" s="34">
        <v>0.2</v>
      </c>
      <c r="K91" s="28">
        <v>1</v>
      </c>
      <c r="L91" s="11">
        <f t="shared" ref="L91:L109" si="2">IF(M91=1,J91,0)</f>
        <v>0</v>
      </c>
      <c r="M91" s="28"/>
      <c r="N91" s="15"/>
      <c r="O91" s="39"/>
      <c r="Q91" s="1" t="s">
        <v>53</v>
      </c>
      <c r="R91" s="1" t="s">
        <v>54</v>
      </c>
      <c r="S91" s="1" t="s">
        <v>105</v>
      </c>
      <c r="T91" s="1" t="s">
        <v>55</v>
      </c>
      <c r="U91" s="1" t="s">
        <v>56</v>
      </c>
      <c r="V91" s="1"/>
      <c r="W91" s="15"/>
      <c r="X91" s="39"/>
    </row>
    <row r="92" spans="1:29" s="120" customFormat="1" ht="11.45" hidden="1" outlineLevel="3">
      <c r="A92" s="49"/>
      <c r="B92" s="57" t="s">
        <v>35</v>
      </c>
      <c r="C92" s="58" t="s">
        <v>106</v>
      </c>
      <c r="D92" s="59">
        <v>46310</v>
      </c>
      <c r="E92" s="60" t="s">
        <v>37</v>
      </c>
      <c r="F92" s="140" t="s">
        <v>65</v>
      </c>
      <c r="G92" s="50"/>
      <c r="H92" s="51"/>
      <c r="I92" s="50"/>
      <c r="J92" s="54"/>
      <c r="K92" s="121"/>
      <c r="L92" s="54"/>
      <c r="M92" s="121"/>
      <c r="N92" s="55"/>
      <c r="O92" s="51"/>
      <c r="P92" s="50"/>
      <c r="Q92" s="49"/>
      <c r="R92" s="49"/>
      <c r="S92" s="49"/>
      <c r="T92" s="49"/>
      <c r="U92" s="49"/>
      <c r="V92" s="49"/>
      <c r="W92" s="55"/>
      <c r="X92" s="51"/>
      <c r="Y92" s="50"/>
      <c r="Z92" s="50"/>
      <c r="AA92" s="56"/>
      <c r="AB92" s="50"/>
      <c r="AC92" s="50"/>
    </row>
    <row r="93" spans="1:29" s="120" customFormat="1" ht="11.45" hidden="1" outlineLevel="3">
      <c r="A93" s="49"/>
      <c r="B93" s="57" t="s">
        <v>38</v>
      </c>
      <c r="C93" s="58" t="s">
        <v>107</v>
      </c>
      <c r="D93" s="59">
        <v>46325</v>
      </c>
      <c r="E93" s="60" t="s">
        <v>40</v>
      </c>
      <c r="F93" s="140" t="s">
        <v>108</v>
      </c>
      <c r="G93" s="50"/>
      <c r="H93" s="51"/>
      <c r="I93" s="50"/>
      <c r="J93" s="54"/>
      <c r="K93" s="121"/>
      <c r="L93" s="54"/>
      <c r="M93" s="121"/>
      <c r="N93" s="55"/>
      <c r="O93" s="51"/>
      <c r="P93" s="50"/>
      <c r="Q93" s="49"/>
      <c r="R93" s="49"/>
      <c r="S93" s="49"/>
      <c r="T93" s="49"/>
      <c r="U93" s="49"/>
      <c r="V93" s="49"/>
      <c r="W93" s="55"/>
      <c r="X93" s="51"/>
      <c r="Y93" s="50"/>
      <c r="Z93" s="50"/>
      <c r="AA93" s="50"/>
      <c r="AB93" s="50"/>
      <c r="AC93" s="50"/>
    </row>
    <row r="94" spans="1:29" hidden="1" outlineLevel="2">
      <c r="A94" s="1"/>
      <c r="B94" s="1" t="s">
        <v>88</v>
      </c>
      <c r="C94" s="14" t="s">
        <v>109</v>
      </c>
      <c r="D94" s="47">
        <v>46331</v>
      </c>
      <c r="E94" s="48" t="s">
        <v>53</v>
      </c>
      <c r="F94" s="10"/>
      <c r="H94" s="39"/>
      <c r="J94" s="34">
        <v>0.4</v>
      </c>
      <c r="K94" s="20">
        <v>1</v>
      </c>
      <c r="L94" s="11">
        <f t="shared" si="2"/>
        <v>0</v>
      </c>
      <c r="M94" s="20"/>
      <c r="N94" s="15"/>
      <c r="O94" s="39"/>
      <c r="Q94" s="1" t="s">
        <v>53</v>
      </c>
      <c r="R94" s="1" t="s">
        <v>54</v>
      </c>
      <c r="S94" s="1" t="s">
        <v>105</v>
      </c>
      <c r="T94" s="1" t="s">
        <v>55</v>
      </c>
      <c r="U94" s="1" t="s">
        <v>56</v>
      </c>
      <c r="V94" s="1"/>
      <c r="W94" s="15"/>
      <c r="X94" s="39"/>
    </row>
    <row r="95" spans="1:29" s="120" customFormat="1" ht="34.15" hidden="1" outlineLevel="3">
      <c r="A95" s="49"/>
      <c r="B95" s="57" t="s">
        <v>35</v>
      </c>
      <c r="C95" s="58" t="s">
        <v>106</v>
      </c>
      <c r="D95" s="59">
        <v>46310</v>
      </c>
      <c r="E95" s="60" t="s">
        <v>37</v>
      </c>
      <c r="F95" s="140" t="s">
        <v>110</v>
      </c>
      <c r="G95" s="50"/>
      <c r="H95" s="51"/>
      <c r="I95" s="50"/>
      <c r="J95" s="54"/>
      <c r="K95" s="121"/>
      <c r="L95" s="54"/>
      <c r="M95" s="121"/>
      <c r="N95" s="55"/>
      <c r="O95" s="51"/>
      <c r="P95" s="50"/>
      <c r="Q95" s="49"/>
      <c r="R95" s="49"/>
      <c r="S95" s="49"/>
      <c r="T95" s="49"/>
      <c r="U95" s="49"/>
      <c r="V95" s="49"/>
      <c r="W95" s="55"/>
      <c r="X95" s="51"/>
      <c r="Y95" s="50"/>
      <c r="Z95" s="50"/>
      <c r="AA95" s="56"/>
      <c r="AB95" s="50"/>
      <c r="AC95" s="50"/>
    </row>
    <row r="96" spans="1:29" s="120" customFormat="1" ht="11.45" hidden="1" outlineLevel="3">
      <c r="A96" s="49"/>
      <c r="B96" s="57" t="s">
        <v>38</v>
      </c>
      <c r="C96" s="58" t="s">
        <v>107</v>
      </c>
      <c r="D96" s="59">
        <v>46325</v>
      </c>
      <c r="E96" s="60" t="s">
        <v>40</v>
      </c>
      <c r="F96" s="140" t="s">
        <v>108</v>
      </c>
      <c r="G96" s="50"/>
      <c r="H96" s="51"/>
      <c r="I96" s="50"/>
      <c r="J96" s="54"/>
      <c r="K96" s="121"/>
      <c r="L96" s="54"/>
      <c r="M96" s="121"/>
      <c r="N96" s="55"/>
      <c r="O96" s="51"/>
      <c r="P96" s="50"/>
      <c r="Q96" s="49"/>
      <c r="R96" s="49"/>
      <c r="S96" s="49"/>
      <c r="T96" s="49"/>
      <c r="U96" s="49"/>
      <c r="V96" s="49"/>
      <c r="W96" s="55"/>
      <c r="X96" s="51"/>
      <c r="Y96" s="50"/>
      <c r="Z96" s="50"/>
      <c r="AA96" s="50"/>
      <c r="AB96" s="50"/>
      <c r="AC96" s="50"/>
    </row>
    <row r="97" spans="1:29" hidden="1" outlineLevel="2">
      <c r="A97" s="1"/>
      <c r="B97" s="1" t="s">
        <v>88</v>
      </c>
      <c r="C97" s="14" t="s">
        <v>111</v>
      </c>
      <c r="D97" s="47">
        <v>46360</v>
      </c>
      <c r="E97" s="48" t="s">
        <v>53</v>
      </c>
      <c r="F97" s="10"/>
      <c r="H97" s="39"/>
      <c r="J97" s="34">
        <v>0.32</v>
      </c>
      <c r="K97" s="20">
        <v>1</v>
      </c>
      <c r="L97" s="11">
        <f t="shared" si="2"/>
        <v>0</v>
      </c>
      <c r="M97" s="20"/>
      <c r="N97" s="15"/>
      <c r="O97" s="39"/>
      <c r="Q97" s="1" t="s">
        <v>53</v>
      </c>
      <c r="R97" s="1" t="s">
        <v>54</v>
      </c>
      <c r="S97" s="1" t="s">
        <v>112</v>
      </c>
      <c r="T97" s="1" t="s">
        <v>113</v>
      </c>
      <c r="U97" s="1" t="s">
        <v>56</v>
      </c>
      <c r="V97" s="1"/>
      <c r="W97" s="15"/>
      <c r="X97" s="39"/>
    </row>
    <row r="98" spans="1:29" s="120" customFormat="1" ht="11.45" hidden="1" outlineLevel="3">
      <c r="A98" s="49"/>
      <c r="B98" s="57" t="s">
        <v>35</v>
      </c>
      <c r="C98" s="58" t="s">
        <v>114</v>
      </c>
      <c r="D98" s="59">
        <v>46310</v>
      </c>
      <c r="E98" s="60" t="s">
        <v>37</v>
      </c>
      <c r="F98" s="140" t="s">
        <v>65</v>
      </c>
      <c r="G98" s="50"/>
      <c r="H98" s="51"/>
      <c r="I98" s="50"/>
      <c r="J98" s="54"/>
      <c r="K98" s="121"/>
      <c r="L98" s="54"/>
      <c r="M98" s="121"/>
      <c r="N98" s="55"/>
      <c r="O98" s="51"/>
      <c r="P98" s="50"/>
      <c r="Q98" s="49"/>
      <c r="R98" s="49"/>
      <c r="S98" s="49"/>
      <c r="T98" s="49"/>
      <c r="U98" s="49"/>
      <c r="V98" s="49"/>
      <c r="W98" s="55"/>
      <c r="X98" s="51"/>
      <c r="Y98" s="50"/>
      <c r="Z98" s="50"/>
      <c r="AA98" s="56"/>
      <c r="AB98" s="50"/>
      <c r="AC98" s="50"/>
    </row>
    <row r="99" spans="1:29" s="120" customFormat="1" ht="11.45" hidden="1" outlineLevel="3">
      <c r="A99" s="49"/>
      <c r="B99" s="57" t="s">
        <v>38</v>
      </c>
      <c r="C99" s="58" t="s">
        <v>115</v>
      </c>
      <c r="D99" s="59">
        <v>46325</v>
      </c>
      <c r="E99" s="60" t="s">
        <v>40</v>
      </c>
      <c r="F99" s="140" t="s">
        <v>116</v>
      </c>
      <c r="G99" s="50"/>
      <c r="H99" s="51"/>
      <c r="I99" s="50"/>
      <c r="J99" s="54"/>
      <c r="K99" s="121"/>
      <c r="L99" s="54"/>
      <c r="M99" s="121"/>
      <c r="N99" s="55"/>
      <c r="O99" s="51"/>
      <c r="P99" s="50"/>
      <c r="Q99" s="49"/>
      <c r="R99" s="49"/>
      <c r="S99" s="49"/>
      <c r="T99" s="49"/>
      <c r="U99" s="49"/>
      <c r="V99" s="49"/>
      <c r="W99" s="55"/>
      <c r="X99" s="51"/>
      <c r="Y99" s="50"/>
      <c r="Z99" s="50"/>
      <c r="AA99" s="50"/>
      <c r="AB99" s="50"/>
      <c r="AC99" s="50"/>
    </row>
    <row r="100" spans="1:29" hidden="1" outlineLevel="2">
      <c r="A100" s="1"/>
      <c r="B100" s="1" t="s">
        <v>88</v>
      </c>
      <c r="C100" s="14" t="s">
        <v>117</v>
      </c>
      <c r="D100" s="47">
        <v>46331</v>
      </c>
      <c r="E100" s="48" t="s">
        <v>53</v>
      </c>
      <c r="F100" s="10"/>
      <c r="H100" s="39"/>
      <c r="J100" s="34">
        <v>0.32</v>
      </c>
      <c r="K100" s="20">
        <v>1</v>
      </c>
      <c r="L100" s="11">
        <f t="shared" si="2"/>
        <v>0</v>
      </c>
      <c r="M100" s="20"/>
      <c r="N100" s="15"/>
      <c r="O100" s="39"/>
      <c r="Q100" s="1" t="s">
        <v>53</v>
      </c>
      <c r="R100" s="1" t="s">
        <v>54</v>
      </c>
      <c r="S100" s="1" t="s">
        <v>55</v>
      </c>
      <c r="T100" s="1" t="s">
        <v>63</v>
      </c>
      <c r="U100" s="1" t="s">
        <v>56</v>
      </c>
      <c r="V100" s="1"/>
      <c r="W100" s="15"/>
      <c r="X100" s="39"/>
    </row>
    <row r="101" spans="1:29" s="120" customFormat="1" ht="11.45" hidden="1" outlineLevel="3">
      <c r="A101" s="49"/>
      <c r="B101" s="57" t="s">
        <v>35</v>
      </c>
      <c r="C101" s="58" t="s">
        <v>106</v>
      </c>
      <c r="D101" s="59">
        <v>46310</v>
      </c>
      <c r="E101" s="60" t="s">
        <v>37</v>
      </c>
      <c r="F101" s="140"/>
      <c r="G101" s="50"/>
      <c r="H101" s="51"/>
      <c r="I101" s="50"/>
      <c r="J101" s="54"/>
      <c r="K101" s="121"/>
      <c r="L101" s="54"/>
      <c r="M101" s="121"/>
      <c r="N101" s="55"/>
      <c r="O101" s="51"/>
      <c r="P101" s="50"/>
      <c r="Q101" s="49"/>
      <c r="R101" s="49"/>
      <c r="S101" s="49"/>
      <c r="T101" s="49"/>
      <c r="U101" s="49"/>
      <c r="V101" s="49"/>
      <c r="W101" s="55"/>
      <c r="X101" s="51"/>
      <c r="Y101" s="50"/>
      <c r="Z101" s="50"/>
      <c r="AA101" s="56"/>
      <c r="AB101" s="50"/>
      <c r="AC101" s="50"/>
    </row>
    <row r="102" spans="1:29" s="120" customFormat="1" ht="11.45" hidden="1" outlineLevel="3">
      <c r="A102" s="49"/>
      <c r="B102" s="57" t="s">
        <v>38</v>
      </c>
      <c r="C102" s="58" t="s">
        <v>107</v>
      </c>
      <c r="D102" s="59">
        <v>46325</v>
      </c>
      <c r="E102" s="60" t="s">
        <v>40</v>
      </c>
      <c r="F102" s="140"/>
      <c r="G102" s="50"/>
      <c r="H102" s="51"/>
      <c r="I102" s="50"/>
      <c r="J102" s="54"/>
      <c r="K102" s="121"/>
      <c r="L102" s="54"/>
      <c r="M102" s="121"/>
      <c r="N102" s="55"/>
      <c r="O102" s="51"/>
      <c r="P102" s="50"/>
      <c r="Q102" s="49"/>
      <c r="R102" s="49"/>
      <c r="S102" s="49"/>
      <c r="T102" s="49"/>
      <c r="U102" s="49"/>
      <c r="V102" s="49"/>
      <c r="W102" s="55"/>
      <c r="X102" s="51"/>
      <c r="Y102" s="50"/>
      <c r="Z102" s="50"/>
      <c r="AA102" s="50"/>
      <c r="AB102" s="50"/>
      <c r="AC102" s="50"/>
    </row>
    <row r="103" spans="1:29" hidden="1" outlineLevel="2">
      <c r="A103" s="1"/>
      <c r="B103" s="1" t="s">
        <v>88</v>
      </c>
      <c r="C103" s="14" t="s">
        <v>118</v>
      </c>
      <c r="D103" s="47">
        <v>46323</v>
      </c>
      <c r="E103" s="48" t="s">
        <v>53</v>
      </c>
      <c r="F103" s="10"/>
      <c r="H103" s="39"/>
      <c r="J103" s="34">
        <v>0.43</v>
      </c>
      <c r="K103" s="20">
        <v>1</v>
      </c>
      <c r="L103" s="11">
        <f t="shared" si="2"/>
        <v>0</v>
      </c>
      <c r="M103" s="20"/>
      <c r="N103" s="15"/>
      <c r="O103" s="39"/>
      <c r="Q103" s="1" t="s">
        <v>53</v>
      </c>
      <c r="R103" s="1" t="s">
        <v>54</v>
      </c>
      <c r="S103" s="1" t="s">
        <v>112</v>
      </c>
      <c r="T103" s="1" t="s">
        <v>55</v>
      </c>
      <c r="U103" s="1" t="s">
        <v>119</v>
      </c>
      <c r="V103" s="1"/>
      <c r="W103" s="15"/>
      <c r="X103" s="39"/>
    </row>
    <row r="104" spans="1:29" s="120" customFormat="1" ht="11.45" hidden="1" outlineLevel="3">
      <c r="A104" s="49"/>
      <c r="B104" s="57" t="s">
        <v>35</v>
      </c>
      <c r="C104" s="58" t="s">
        <v>120</v>
      </c>
      <c r="D104" s="59">
        <v>46310</v>
      </c>
      <c r="E104" s="60" t="s">
        <v>37</v>
      </c>
      <c r="F104" s="140" t="s">
        <v>65</v>
      </c>
      <c r="G104" s="50"/>
      <c r="H104" s="51"/>
      <c r="I104" s="50"/>
      <c r="J104" s="54"/>
      <c r="K104" s="121"/>
      <c r="L104" s="54"/>
      <c r="M104" s="121"/>
      <c r="N104" s="55"/>
      <c r="O104" s="51"/>
      <c r="P104" s="50"/>
      <c r="Q104" s="49"/>
      <c r="R104" s="49"/>
      <c r="S104" s="49"/>
      <c r="T104" s="49"/>
      <c r="U104" s="49"/>
      <c r="V104" s="49"/>
      <c r="W104" s="55"/>
      <c r="X104" s="51"/>
      <c r="Y104" s="50"/>
      <c r="Z104" s="50"/>
      <c r="AA104" s="56"/>
      <c r="AB104" s="50"/>
      <c r="AC104" s="50"/>
    </row>
    <row r="105" spans="1:29" s="120" customFormat="1" ht="11.45" hidden="1" outlineLevel="3">
      <c r="A105" s="49"/>
      <c r="B105" s="57" t="s">
        <v>38</v>
      </c>
      <c r="C105" s="58" t="s">
        <v>121</v>
      </c>
      <c r="D105" s="59">
        <v>46325</v>
      </c>
      <c r="E105" s="60" t="s">
        <v>40</v>
      </c>
      <c r="F105" s="140" t="s">
        <v>65</v>
      </c>
      <c r="G105" s="50"/>
      <c r="H105" s="51"/>
      <c r="I105" s="50"/>
      <c r="J105" s="54"/>
      <c r="K105" s="121"/>
      <c r="L105" s="54"/>
      <c r="M105" s="121"/>
      <c r="N105" s="55"/>
      <c r="O105" s="51"/>
      <c r="P105" s="50"/>
      <c r="Q105" s="49"/>
      <c r="R105" s="49"/>
      <c r="S105" s="49"/>
      <c r="T105" s="49"/>
      <c r="U105" s="49"/>
      <c r="V105" s="49"/>
      <c r="W105" s="55"/>
      <c r="X105" s="51"/>
      <c r="Y105" s="50"/>
      <c r="Z105" s="50"/>
      <c r="AA105" s="50"/>
      <c r="AB105" s="50"/>
      <c r="AC105" s="50"/>
    </row>
    <row r="106" spans="1:29" hidden="1" outlineLevel="2">
      <c r="A106" s="1"/>
      <c r="B106" s="1" t="s">
        <v>88</v>
      </c>
      <c r="C106" s="14" t="s">
        <v>52</v>
      </c>
      <c r="D106" s="47">
        <v>46381</v>
      </c>
      <c r="E106" s="48" t="s">
        <v>53</v>
      </c>
      <c r="F106" s="10"/>
      <c r="H106" s="39"/>
      <c r="J106" s="34">
        <v>0.02</v>
      </c>
      <c r="K106" s="28">
        <v>1</v>
      </c>
      <c r="L106" s="11">
        <f t="shared" si="2"/>
        <v>0</v>
      </c>
      <c r="M106" s="28"/>
      <c r="N106" s="15"/>
      <c r="O106" s="39"/>
      <c r="Q106" s="1" t="s">
        <v>53</v>
      </c>
      <c r="R106" s="1" t="s">
        <v>54</v>
      </c>
      <c r="S106" s="1" t="s">
        <v>55</v>
      </c>
      <c r="T106" s="1" t="s">
        <v>113</v>
      </c>
      <c r="U106" s="1" t="s">
        <v>119</v>
      </c>
      <c r="V106" s="1"/>
      <c r="W106" s="15"/>
      <c r="X106" s="39"/>
    </row>
    <row r="107" spans="1:29" s="120" customFormat="1" ht="11.45" hidden="1" outlineLevel="3">
      <c r="A107" s="49"/>
      <c r="B107" s="57" t="s">
        <v>35</v>
      </c>
      <c r="C107" s="58" t="s">
        <v>122</v>
      </c>
      <c r="D107" s="59">
        <v>46310</v>
      </c>
      <c r="E107" s="60" t="s">
        <v>37</v>
      </c>
      <c r="F107" s="140"/>
      <c r="G107" s="50"/>
      <c r="H107" s="51"/>
      <c r="I107" s="50"/>
      <c r="J107" s="54"/>
      <c r="K107" s="121"/>
      <c r="L107" s="54"/>
      <c r="M107" s="121"/>
      <c r="N107" s="55"/>
      <c r="O107" s="51"/>
      <c r="P107" s="50"/>
      <c r="Q107" s="49"/>
      <c r="R107" s="49"/>
      <c r="S107" s="49"/>
      <c r="T107" s="49"/>
      <c r="U107" s="49"/>
      <c r="V107" s="49"/>
      <c r="W107" s="55"/>
      <c r="X107" s="51"/>
      <c r="Y107" s="50"/>
      <c r="Z107" s="50"/>
      <c r="AA107" s="56"/>
      <c r="AB107" s="50"/>
      <c r="AC107" s="50"/>
    </row>
    <row r="108" spans="1:29" s="120" customFormat="1" ht="11.45" hidden="1" outlineLevel="3">
      <c r="A108" s="49"/>
      <c r="B108" s="57" t="s">
        <v>38</v>
      </c>
      <c r="C108" s="58" t="s">
        <v>123</v>
      </c>
      <c r="D108" s="59">
        <v>46325</v>
      </c>
      <c r="E108" s="60" t="s">
        <v>40</v>
      </c>
      <c r="F108" s="140"/>
      <c r="G108" s="50"/>
      <c r="H108" s="51"/>
      <c r="I108" s="50"/>
      <c r="J108" s="54"/>
      <c r="K108" s="121"/>
      <c r="L108" s="54"/>
      <c r="M108" s="121"/>
      <c r="N108" s="55"/>
      <c r="O108" s="51"/>
      <c r="P108" s="50"/>
      <c r="Q108" s="49"/>
      <c r="R108" s="49"/>
      <c r="S108" s="49"/>
      <c r="T108" s="49"/>
      <c r="U108" s="49"/>
      <c r="V108" s="49"/>
      <c r="W108" s="55"/>
      <c r="X108" s="51"/>
      <c r="Y108" s="50"/>
      <c r="Z108" s="50"/>
      <c r="AA108" s="50"/>
      <c r="AB108" s="50"/>
      <c r="AC108" s="50"/>
    </row>
    <row r="109" spans="1:29" hidden="1" outlineLevel="2">
      <c r="A109" s="1"/>
      <c r="B109" s="1" t="s">
        <v>88</v>
      </c>
      <c r="C109" s="14" t="s">
        <v>59</v>
      </c>
      <c r="D109" s="47">
        <v>46372</v>
      </c>
      <c r="E109" s="48" t="s">
        <v>53</v>
      </c>
      <c r="F109" s="10"/>
      <c r="H109" s="39"/>
      <c r="J109" s="34">
        <v>0.01</v>
      </c>
      <c r="K109" s="28">
        <v>1</v>
      </c>
      <c r="L109" s="11">
        <f t="shared" si="2"/>
        <v>0</v>
      </c>
      <c r="M109" s="28"/>
      <c r="N109" s="15"/>
      <c r="O109" s="39"/>
      <c r="Q109" s="1" t="s">
        <v>53</v>
      </c>
      <c r="R109" s="1" t="s">
        <v>54</v>
      </c>
      <c r="S109" s="1" t="s">
        <v>55</v>
      </c>
      <c r="T109" s="1" t="s">
        <v>113</v>
      </c>
      <c r="U109" s="1" t="s">
        <v>119</v>
      </c>
      <c r="V109" s="1"/>
      <c r="W109" s="15"/>
      <c r="X109" s="39"/>
    </row>
    <row r="110" spans="1:29" s="120" customFormat="1" ht="22.9" hidden="1" outlineLevel="3">
      <c r="A110" s="49"/>
      <c r="B110" s="57" t="s">
        <v>35</v>
      </c>
      <c r="C110" s="58" t="s">
        <v>124</v>
      </c>
      <c r="D110" s="59">
        <v>46310</v>
      </c>
      <c r="E110" s="60" t="s">
        <v>37</v>
      </c>
      <c r="F110" s="140" t="s">
        <v>125</v>
      </c>
      <c r="G110" s="50"/>
      <c r="H110" s="51"/>
      <c r="I110" s="50"/>
      <c r="J110" s="54"/>
      <c r="K110" s="121"/>
      <c r="L110" s="54"/>
      <c r="M110" s="121"/>
      <c r="N110" s="55"/>
      <c r="O110" s="51"/>
      <c r="P110" s="50"/>
      <c r="Q110" s="49"/>
      <c r="R110" s="49"/>
      <c r="S110" s="49"/>
      <c r="T110" s="49"/>
      <c r="U110" s="49"/>
      <c r="V110" s="49"/>
      <c r="W110" s="55"/>
      <c r="X110" s="51"/>
      <c r="Y110" s="50"/>
      <c r="Z110" s="50"/>
      <c r="AA110" s="56"/>
      <c r="AB110" s="50"/>
      <c r="AC110" s="50"/>
    </row>
    <row r="111" spans="1:29" s="120" customFormat="1" ht="11.45" hidden="1" outlineLevel="3">
      <c r="A111" s="49"/>
      <c r="B111" s="57" t="s">
        <v>38</v>
      </c>
      <c r="C111" s="58" t="s">
        <v>39</v>
      </c>
      <c r="D111" s="59">
        <v>46325</v>
      </c>
      <c r="E111" s="60" t="s">
        <v>40</v>
      </c>
      <c r="F111" s="140"/>
      <c r="G111" s="50"/>
      <c r="H111" s="51"/>
      <c r="I111" s="50"/>
      <c r="J111" s="54"/>
      <c r="K111" s="121"/>
      <c r="L111" s="54"/>
      <c r="M111" s="121"/>
      <c r="N111" s="55"/>
      <c r="O111" s="51"/>
      <c r="P111" s="50"/>
      <c r="Q111" s="49"/>
      <c r="R111" s="49"/>
      <c r="S111" s="49"/>
      <c r="T111" s="49"/>
      <c r="U111" s="49"/>
      <c r="V111" s="49"/>
      <c r="W111" s="55"/>
      <c r="X111" s="51"/>
      <c r="Y111" s="50"/>
      <c r="Z111" s="50"/>
      <c r="AA111" s="50"/>
      <c r="AB111" s="50"/>
      <c r="AC111" s="50"/>
    </row>
    <row r="112" spans="1:29" s="33" customFormat="1" outlineLevel="1" collapsed="1">
      <c r="A112" s="2"/>
      <c r="B112" s="16" t="s">
        <v>68</v>
      </c>
      <c r="C112" s="17" t="s">
        <v>89</v>
      </c>
      <c r="D112" s="30"/>
      <c r="E112" s="30"/>
      <c r="F112" s="139"/>
      <c r="H112" s="41"/>
      <c r="J112" s="30">
        <f>SUBTOTAL(9,J113:J128)</f>
        <v>0.46573999999999993</v>
      </c>
      <c r="K112" s="31">
        <f>SUBTOTAL(9,K113:K128)</f>
        <v>6</v>
      </c>
      <c r="L112" s="30">
        <f>SUBTOTAL(9,L113:L128)</f>
        <v>0</v>
      </c>
      <c r="M112" s="31">
        <f>SUBTOTAL(9,M113:M128)</f>
        <v>0</v>
      </c>
      <c r="N112" s="32"/>
      <c r="O112" s="41"/>
      <c r="Q112" s="16"/>
      <c r="R112" s="16"/>
      <c r="S112" s="16"/>
      <c r="T112" s="16"/>
      <c r="U112" s="16"/>
      <c r="V112" s="16"/>
      <c r="W112" s="32"/>
      <c r="X112" s="41"/>
    </row>
    <row r="113" spans="1:29" hidden="1" outlineLevel="2">
      <c r="A113" s="1"/>
      <c r="B113" s="1" t="s">
        <v>88</v>
      </c>
      <c r="C113" s="14" t="s">
        <v>109</v>
      </c>
      <c r="D113" s="47">
        <v>46379</v>
      </c>
      <c r="E113" s="48" t="s">
        <v>69</v>
      </c>
      <c r="F113" s="10"/>
      <c r="H113" s="39"/>
      <c r="J113" s="37">
        <v>8.5739999999999997E-2</v>
      </c>
      <c r="K113" s="20">
        <v>1</v>
      </c>
      <c r="L113" s="11">
        <f t="shared" ref="L113:L128" si="3">IF(M113=1,J113,0)</f>
        <v>0</v>
      </c>
      <c r="M113" s="20"/>
      <c r="N113" s="15"/>
      <c r="O113" s="39"/>
      <c r="Q113" s="1" t="s">
        <v>69</v>
      </c>
      <c r="R113" s="1" t="s">
        <v>70</v>
      </c>
      <c r="S113" s="1" t="s">
        <v>126</v>
      </c>
      <c r="T113" s="1" t="s">
        <v>127</v>
      </c>
      <c r="U113" s="1"/>
      <c r="V113" s="1"/>
      <c r="W113" s="15"/>
      <c r="X113" s="39"/>
    </row>
    <row r="114" spans="1:29" s="120" customFormat="1" ht="11.45" hidden="1" outlineLevel="3">
      <c r="A114" s="49"/>
      <c r="B114" s="57" t="s">
        <v>35</v>
      </c>
      <c r="C114" s="58" t="s">
        <v>128</v>
      </c>
      <c r="D114" s="59">
        <v>46341</v>
      </c>
      <c r="E114" s="60" t="s">
        <v>129</v>
      </c>
      <c r="F114" s="140" t="s">
        <v>130</v>
      </c>
      <c r="G114" s="50"/>
      <c r="H114" s="51"/>
      <c r="I114" s="50"/>
      <c r="J114" s="54"/>
      <c r="K114" s="121"/>
      <c r="L114" s="54"/>
      <c r="M114" s="121"/>
      <c r="N114" s="55"/>
      <c r="O114" s="51"/>
      <c r="P114" s="50"/>
      <c r="Q114" s="49"/>
      <c r="R114" s="49"/>
      <c r="S114" s="49"/>
      <c r="T114" s="49"/>
      <c r="U114" s="49"/>
      <c r="V114" s="49"/>
      <c r="W114" s="55"/>
      <c r="X114" s="51"/>
      <c r="Y114" s="50"/>
      <c r="Z114" s="50"/>
      <c r="AA114" s="56"/>
      <c r="AB114" s="50"/>
      <c r="AC114" s="50"/>
    </row>
    <row r="115" spans="1:29" s="120" customFormat="1" ht="11.45" hidden="1" outlineLevel="3">
      <c r="A115" s="49"/>
      <c r="B115" s="57" t="s">
        <v>38</v>
      </c>
      <c r="C115" s="58" t="s">
        <v>131</v>
      </c>
      <c r="D115" s="59">
        <v>46341</v>
      </c>
      <c r="E115" s="60" t="s">
        <v>129</v>
      </c>
      <c r="F115" s="140" t="s">
        <v>130</v>
      </c>
      <c r="G115" s="50"/>
      <c r="H115" s="51"/>
      <c r="I115" s="50"/>
      <c r="J115" s="54"/>
      <c r="K115" s="121"/>
      <c r="L115" s="54"/>
      <c r="M115" s="121"/>
      <c r="N115" s="55"/>
      <c r="O115" s="51"/>
      <c r="P115" s="50"/>
      <c r="Q115" s="49"/>
      <c r="R115" s="49"/>
      <c r="S115" s="49"/>
      <c r="T115" s="49"/>
      <c r="U115" s="49"/>
      <c r="V115" s="49"/>
      <c r="W115" s="55"/>
      <c r="X115" s="51"/>
      <c r="Y115" s="50"/>
      <c r="Z115" s="50"/>
      <c r="AA115" s="50"/>
      <c r="AB115" s="50"/>
      <c r="AC115" s="50"/>
    </row>
    <row r="116" spans="1:29" hidden="1" outlineLevel="2">
      <c r="A116" s="1"/>
      <c r="B116" s="1" t="s">
        <v>88</v>
      </c>
      <c r="C116" s="14" t="s">
        <v>132</v>
      </c>
      <c r="D116" s="47">
        <v>46300</v>
      </c>
      <c r="E116" s="48" t="s">
        <v>69</v>
      </c>
      <c r="F116" s="10" t="s">
        <v>133</v>
      </c>
      <c r="H116" s="39"/>
      <c r="J116" s="34">
        <v>0.06</v>
      </c>
      <c r="K116" s="28">
        <v>1</v>
      </c>
      <c r="L116" s="11">
        <f t="shared" si="3"/>
        <v>0</v>
      </c>
      <c r="M116" s="28"/>
      <c r="N116" s="15"/>
      <c r="O116" s="39"/>
      <c r="Q116" s="1" t="s">
        <v>69</v>
      </c>
      <c r="R116" s="1" t="s">
        <v>70</v>
      </c>
      <c r="S116" s="1" t="s">
        <v>126</v>
      </c>
      <c r="T116" s="1" t="s">
        <v>127</v>
      </c>
      <c r="U116" s="1"/>
      <c r="V116" s="1"/>
      <c r="W116" s="15"/>
      <c r="X116" s="39"/>
    </row>
    <row r="117" spans="1:29" s="120" customFormat="1" hidden="1" outlineLevel="3">
      <c r="A117" s="49"/>
      <c r="B117" s="57" t="s">
        <v>35</v>
      </c>
      <c r="C117" s="58" t="s">
        <v>36</v>
      </c>
      <c r="D117" s="47">
        <v>46300</v>
      </c>
      <c r="E117" s="60" t="s">
        <v>37</v>
      </c>
      <c r="F117" s="140"/>
      <c r="G117" s="50"/>
      <c r="H117" s="51"/>
      <c r="I117" s="50"/>
      <c r="J117" s="54"/>
      <c r="K117" s="121"/>
      <c r="L117" s="54"/>
      <c r="M117" s="121"/>
      <c r="N117" s="55"/>
      <c r="O117" s="51"/>
      <c r="P117" s="50"/>
      <c r="Q117" s="49"/>
      <c r="R117" s="49"/>
      <c r="S117" s="49"/>
      <c r="T117" s="49"/>
      <c r="U117" s="49"/>
      <c r="V117" s="49"/>
      <c r="W117" s="55"/>
      <c r="X117" s="51"/>
      <c r="Y117" s="50"/>
      <c r="Z117" s="50"/>
      <c r="AA117" s="56"/>
      <c r="AB117" s="50"/>
      <c r="AC117" s="50"/>
    </row>
    <row r="118" spans="1:29" s="120" customFormat="1" hidden="1" outlineLevel="3">
      <c r="A118" s="49"/>
      <c r="B118" s="57" t="s">
        <v>38</v>
      </c>
      <c r="C118" s="58" t="s">
        <v>39</v>
      </c>
      <c r="D118" s="47">
        <v>46300</v>
      </c>
      <c r="E118" s="60" t="s">
        <v>40</v>
      </c>
      <c r="F118" s="140"/>
      <c r="G118" s="50"/>
      <c r="H118" s="51"/>
      <c r="I118" s="50"/>
      <c r="J118" s="54"/>
      <c r="K118" s="121"/>
      <c r="L118" s="54"/>
      <c r="M118" s="121"/>
      <c r="N118" s="55"/>
      <c r="O118" s="51"/>
      <c r="P118" s="50"/>
      <c r="Q118" s="49"/>
      <c r="R118" s="49"/>
      <c r="S118" s="49"/>
      <c r="T118" s="49"/>
      <c r="U118" s="49"/>
      <c r="V118" s="49"/>
      <c r="W118" s="55"/>
      <c r="X118" s="51"/>
      <c r="Y118" s="50"/>
      <c r="Z118" s="50"/>
      <c r="AA118" s="50"/>
      <c r="AB118" s="50"/>
      <c r="AC118" s="50"/>
    </row>
    <row r="119" spans="1:29" hidden="1" outlineLevel="2">
      <c r="A119" s="1"/>
      <c r="B119" s="1" t="s">
        <v>88</v>
      </c>
      <c r="C119" s="14" t="s">
        <v>134</v>
      </c>
      <c r="D119" s="47">
        <v>46300</v>
      </c>
      <c r="E119" s="48" t="s">
        <v>69</v>
      </c>
      <c r="F119" s="10" t="s">
        <v>133</v>
      </c>
      <c r="H119" s="39"/>
      <c r="J119" s="34">
        <v>0.06</v>
      </c>
      <c r="K119" s="28">
        <v>1</v>
      </c>
      <c r="L119" s="11">
        <f t="shared" si="3"/>
        <v>0</v>
      </c>
      <c r="M119" s="28"/>
      <c r="N119" s="15"/>
      <c r="O119" s="39"/>
      <c r="Q119" s="1" t="s">
        <v>69</v>
      </c>
      <c r="R119" s="1" t="s">
        <v>70</v>
      </c>
      <c r="S119" s="1" t="s">
        <v>126</v>
      </c>
      <c r="T119" s="1" t="s">
        <v>127</v>
      </c>
      <c r="U119" s="1"/>
      <c r="V119" s="1"/>
      <c r="W119" s="15"/>
      <c r="X119" s="39"/>
    </row>
    <row r="120" spans="1:29" s="120" customFormat="1" ht="11.45" hidden="1" outlineLevel="3">
      <c r="A120" s="49"/>
      <c r="B120" s="57" t="s">
        <v>35</v>
      </c>
      <c r="C120" s="58" t="s">
        <v>36</v>
      </c>
      <c r="D120" s="59">
        <v>46310</v>
      </c>
      <c r="E120" s="60" t="s">
        <v>37</v>
      </c>
      <c r="F120" s="140"/>
      <c r="G120" s="50"/>
      <c r="H120" s="51"/>
      <c r="I120" s="50"/>
      <c r="J120" s="54"/>
      <c r="K120" s="121"/>
      <c r="L120" s="54"/>
      <c r="M120" s="121"/>
      <c r="N120" s="55"/>
      <c r="O120" s="51"/>
      <c r="P120" s="50"/>
      <c r="Q120" s="49"/>
      <c r="R120" s="49"/>
      <c r="S120" s="49"/>
      <c r="T120" s="49"/>
      <c r="U120" s="49"/>
      <c r="V120" s="49"/>
      <c r="W120" s="55"/>
      <c r="X120" s="51"/>
      <c r="Y120" s="50"/>
      <c r="Z120" s="50"/>
      <c r="AA120" s="56"/>
      <c r="AB120" s="50"/>
      <c r="AC120" s="50"/>
    </row>
    <row r="121" spans="1:29" s="120" customFormat="1" ht="11.45" hidden="1" outlineLevel="3">
      <c r="A121" s="49"/>
      <c r="B121" s="57" t="s">
        <v>38</v>
      </c>
      <c r="C121" s="58" t="s">
        <v>39</v>
      </c>
      <c r="D121" s="59">
        <v>46325</v>
      </c>
      <c r="E121" s="60" t="s">
        <v>40</v>
      </c>
      <c r="F121" s="140"/>
      <c r="G121" s="50"/>
      <c r="H121" s="51"/>
      <c r="I121" s="50"/>
      <c r="J121" s="54"/>
      <c r="K121" s="121"/>
      <c r="L121" s="54"/>
      <c r="M121" s="121"/>
      <c r="N121" s="55"/>
      <c r="O121" s="51"/>
      <c r="P121" s="50"/>
      <c r="Q121" s="49"/>
      <c r="R121" s="49"/>
      <c r="S121" s="49"/>
      <c r="T121" s="49"/>
      <c r="U121" s="49"/>
      <c r="V121" s="49"/>
      <c r="W121" s="55"/>
      <c r="X121" s="51"/>
      <c r="Y121" s="50"/>
      <c r="Z121" s="50"/>
      <c r="AA121" s="50"/>
      <c r="AB121" s="50"/>
      <c r="AC121" s="50"/>
    </row>
    <row r="122" spans="1:29" hidden="1" outlineLevel="2">
      <c r="A122" s="1"/>
      <c r="B122" s="1" t="s">
        <v>88</v>
      </c>
      <c r="C122" s="14" t="s">
        <v>101</v>
      </c>
      <c r="D122" s="47">
        <v>46373</v>
      </c>
      <c r="E122" s="48" t="s">
        <v>69</v>
      </c>
      <c r="F122" s="10"/>
      <c r="H122" s="39"/>
      <c r="J122" s="34">
        <v>0.04</v>
      </c>
      <c r="K122" s="28">
        <v>1</v>
      </c>
      <c r="L122" s="11">
        <f t="shared" si="3"/>
        <v>0</v>
      </c>
      <c r="M122" s="28"/>
      <c r="N122" s="15"/>
      <c r="O122" s="39"/>
      <c r="Q122" s="1" t="s">
        <v>69</v>
      </c>
      <c r="R122" s="1" t="s">
        <v>70</v>
      </c>
      <c r="S122" s="1" t="s">
        <v>126</v>
      </c>
      <c r="T122" s="1" t="s">
        <v>127</v>
      </c>
      <c r="U122" s="1"/>
      <c r="V122" s="1"/>
      <c r="W122" s="15"/>
      <c r="X122" s="39"/>
    </row>
    <row r="123" spans="1:29" s="120" customFormat="1" ht="22.9" hidden="1" outlineLevel="3">
      <c r="A123" s="49"/>
      <c r="B123" s="57" t="s">
        <v>35</v>
      </c>
      <c r="C123" s="58" t="s">
        <v>135</v>
      </c>
      <c r="D123" s="59">
        <v>46310</v>
      </c>
      <c r="E123" s="60" t="s">
        <v>129</v>
      </c>
      <c r="F123" s="140" t="s">
        <v>136</v>
      </c>
      <c r="G123" s="50"/>
      <c r="H123" s="51"/>
      <c r="I123" s="50"/>
      <c r="J123" s="54"/>
      <c r="K123" s="121"/>
      <c r="L123" s="54"/>
      <c r="M123" s="121"/>
      <c r="N123" s="55"/>
      <c r="O123" s="51"/>
      <c r="P123" s="50"/>
      <c r="Q123" s="49"/>
      <c r="R123" s="49"/>
      <c r="S123" s="49"/>
      <c r="T123" s="49"/>
      <c r="U123" s="49"/>
      <c r="V123" s="49"/>
      <c r="W123" s="55"/>
      <c r="X123" s="51"/>
      <c r="Y123" s="50"/>
      <c r="Z123" s="50"/>
      <c r="AA123" s="56"/>
      <c r="AB123" s="50"/>
      <c r="AC123" s="50"/>
    </row>
    <row r="124" spans="1:29" s="120" customFormat="1" ht="11.45" hidden="1" outlineLevel="3">
      <c r="A124" s="49"/>
      <c r="B124" s="57" t="s">
        <v>38</v>
      </c>
      <c r="C124" s="58" t="s">
        <v>39</v>
      </c>
      <c r="D124" s="59">
        <v>46325</v>
      </c>
      <c r="E124" s="60" t="s">
        <v>40</v>
      </c>
      <c r="F124" s="140"/>
      <c r="G124" s="50"/>
      <c r="H124" s="51"/>
      <c r="I124" s="50"/>
      <c r="J124" s="54"/>
      <c r="K124" s="121"/>
      <c r="L124" s="54"/>
      <c r="M124" s="121"/>
      <c r="N124" s="55"/>
      <c r="O124" s="51"/>
      <c r="P124" s="50"/>
      <c r="Q124" s="49"/>
      <c r="R124" s="49"/>
      <c r="S124" s="49"/>
      <c r="T124" s="49"/>
      <c r="U124" s="49"/>
      <c r="V124" s="49"/>
      <c r="W124" s="55"/>
      <c r="X124" s="51"/>
      <c r="Y124" s="50"/>
      <c r="Z124" s="50"/>
      <c r="AA124" s="50"/>
      <c r="AB124" s="50"/>
      <c r="AC124" s="50"/>
    </row>
    <row r="125" spans="1:29" hidden="1" outlineLevel="2">
      <c r="A125" s="1"/>
      <c r="B125" s="1" t="s">
        <v>88</v>
      </c>
      <c r="C125" s="14" t="s">
        <v>59</v>
      </c>
      <c r="D125" s="47">
        <v>46377</v>
      </c>
      <c r="E125" s="48" t="s">
        <v>69</v>
      </c>
      <c r="F125" s="140"/>
      <c r="H125" s="39"/>
      <c r="J125" s="34">
        <v>0.12</v>
      </c>
      <c r="K125" s="28">
        <v>1</v>
      </c>
      <c r="L125" s="11">
        <f t="shared" si="3"/>
        <v>0</v>
      </c>
      <c r="M125" s="28"/>
      <c r="N125" s="15"/>
      <c r="O125" s="39"/>
      <c r="Q125" s="1" t="s">
        <v>69</v>
      </c>
      <c r="R125" s="1" t="s">
        <v>70</v>
      </c>
      <c r="S125" s="1" t="s">
        <v>126</v>
      </c>
      <c r="T125" s="1" t="s">
        <v>127</v>
      </c>
      <c r="U125" s="1"/>
      <c r="V125" s="1"/>
      <c r="W125" s="15"/>
      <c r="X125" s="39"/>
    </row>
    <row r="126" spans="1:29" s="120" customFormat="1" ht="22.9" hidden="1" outlineLevel="3">
      <c r="A126" s="49"/>
      <c r="B126" s="57" t="s">
        <v>35</v>
      </c>
      <c r="C126" s="58" t="s">
        <v>36</v>
      </c>
      <c r="D126" s="59">
        <v>46310</v>
      </c>
      <c r="E126" s="60" t="s">
        <v>129</v>
      </c>
      <c r="F126" s="140" t="s">
        <v>136</v>
      </c>
      <c r="G126" s="50"/>
      <c r="H126" s="51"/>
      <c r="I126" s="50"/>
      <c r="J126" s="54"/>
      <c r="K126" s="121"/>
      <c r="L126" s="54"/>
      <c r="M126" s="121"/>
      <c r="N126" s="55"/>
      <c r="O126" s="51"/>
      <c r="P126" s="50"/>
      <c r="Q126" s="49"/>
      <c r="R126" s="49"/>
      <c r="S126" s="49"/>
      <c r="T126" s="49"/>
      <c r="U126" s="49"/>
      <c r="V126" s="49"/>
      <c r="W126" s="55"/>
      <c r="X126" s="51"/>
      <c r="Y126" s="50"/>
      <c r="Z126" s="50"/>
      <c r="AA126" s="56"/>
      <c r="AB126" s="50"/>
      <c r="AC126" s="50"/>
    </row>
    <row r="127" spans="1:29" s="120" customFormat="1" ht="11.45" hidden="1" outlineLevel="3">
      <c r="A127" s="49"/>
      <c r="B127" s="57" t="s">
        <v>38</v>
      </c>
      <c r="C127" s="58" t="s">
        <v>39</v>
      </c>
      <c r="D127" s="59">
        <v>46325</v>
      </c>
      <c r="E127" s="60" t="s">
        <v>40</v>
      </c>
      <c r="F127" s="140"/>
      <c r="G127" s="50"/>
      <c r="H127" s="51"/>
      <c r="I127" s="50"/>
      <c r="J127" s="54"/>
      <c r="K127" s="121"/>
      <c r="L127" s="54"/>
      <c r="M127" s="121"/>
      <c r="N127" s="55"/>
      <c r="O127" s="51"/>
      <c r="P127" s="50"/>
      <c r="Q127" s="49"/>
      <c r="R127" s="49"/>
      <c r="S127" s="49"/>
      <c r="T127" s="49"/>
      <c r="U127" s="49"/>
      <c r="V127" s="49"/>
      <c r="W127" s="55"/>
      <c r="X127" s="51"/>
      <c r="Y127" s="50"/>
      <c r="Z127" s="50"/>
      <c r="AA127" s="50"/>
      <c r="AB127" s="50"/>
      <c r="AC127" s="50"/>
    </row>
    <row r="128" spans="1:29" ht="26.45" hidden="1" outlineLevel="2">
      <c r="A128" s="1"/>
      <c r="B128" s="1" t="s">
        <v>88</v>
      </c>
      <c r="C128" s="14" t="s">
        <v>137</v>
      </c>
      <c r="D128" s="47">
        <v>46325</v>
      </c>
      <c r="E128" s="48" t="s">
        <v>69</v>
      </c>
      <c r="F128" s="10"/>
      <c r="H128" s="39"/>
      <c r="J128" s="37">
        <v>0.1</v>
      </c>
      <c r="K128" s="20">
        <v>1</v>
      </c>
      <c r="L128" s="11">
        <f t="shared" si="3"/>
        <v>0</v>
      </c>
      <c r="M128" s="20"/>
      <c r="N128" s="15"/>
      <c r="O128" s="39"/>
      <c r="Q128" s="1" t="s">
        <v>69</v>
      </c>
      <c r="R128" s="1" t="s">
        <v>70</v>
      </c>
      <c r="S128" s="1" t="s">
        <v>126</v>
      </c>
      <c r="T128" s="1" t="s">
        <v>127</v>
      </c>
      <c r="U128" s="1"/>
      <c r="V128" s="1"/>
      <c r="W128" s="15"/>
      <c r="X128" s="39"/>
    </row>
    <row r="129" spans="1:29" s="120" customFormat="1" ht="11.45" hidden="1" outlineLevel="3">
      <c r="A129" s="49"/>
      <c r="B129" s="57" t="s">
        <v>35</v>
      </c>
      <c r="C129" s="58" t="s">
        <v>138</v>
      </c>
      <c r="D129" s="59">
        <v>46325</v>
      </c>
      <c r="E129" s="60" t="s">
        <v>129</v>
      </c>
      <c r="F129" s="140"/>
      <c r="G129" s="50"/>
      <c r="H129" s="51"/>
      <c r="I129" s="50"/>
      <c r="J129" s="54"/>
      <c r="K129" s="121"/>
      <c r="L129" s="54"/>
      <c r="M129" s="121"/>
      <c r="N129" s="55"/>
      <c r="O129" s="51"/>
      <c r="P129" s="50"/>
      <c r="Q129" s="49"/>
      <c r="R129" s="49"/>
      <c r="S129" s="49"/>
      <c r="T129" s="49"/>
      <c r="U129" s="49"/>
      <c r="V129" s="49"/>
      <c r="W129" s="55"/>
      <c r="X129" s="51"/>
      <c r="Y129" s="50"/>
      <c r="Z129" s="50"/>
      <c r="AA129" s="56"/>
      <c r="AB129" s="50"/>
      <c r="AC129" s="50"/>
    </row>
    <row r="130" spans="1:29" s="120" customFormat="1" ht="11.45" hidden="1" outlineLevel="3">
      <c r="A130" s="49"/>
      <c r="B130" s="57" t="s">
        <v>38</v>
      </c>
      <c r="C130" s="58" t="s">
        <v>39</v>
      </c>
      <c r="D130" s="59">
        <v>46325</v>
      </c>
      <c r="E130" s="60" t="s">
        <v>40</v>
      </c>
      <c r="F130" s="140"/>
      <c r="G130" s="50"/>
      <c r="H130" s="51"/>
      <c r="I130" s="50"/>
      <c r="J130" s="54"/>
      <c r="K130" s="121"/>
      <c r="L130" s="54"/>
      <c r="M130" s="121"/>
      <c r="N130" s="55"/>
      <c r="O130" s="51"/>
      <c r="P130" s="50"/>
      <c r="Q130" s="49"/>
      <c r="R130" s="49"/>
      <c r="S130" s="49"/>
      <c r="T130" s="49"/>
      <c r="U130" s="49"/>
      <c r="V130" s="49"/>
      <c r="W130" s="55"/>
      <c r="X130" s="51"/>
      <c r="Y130" s="50"/>
      <c r="Z130" s="50"/>
      <c r="AA130" s="50"/>
      <c r="AB130" s="50"/>
      <c r="AC130" s="50"/>
    </row>
    <row r="131" spans="1:29" s="33" customFormat="1" outlineLevel="1">
      <c r="A131" s="2"/>
      <c r="B131" s="16" t="s">
        <v>84</v>
      </c>
      <c r="C131" s="17" t="s">
        <v>89</v>
      </c>
      <c r="D131" s="30"/>
      <c r="E131" s="30"/>
      <c r="F131" s="139"/>
      <c r="H131" s="41"/>
      <c r="J131" s="30">
        <f>SUBTOTAL(9,J132:J134)</f>
        <v>0.02</v>
      </c>
      <c r="K131" s="31">
        <f>SUBTOTAL(9,K132:K134)</f>
        <v>1</v>
      </c>
      <c r="L131" s="30">
        <f>SUBTOTAL(9,L132:L134)</f>
        <v>0</v>
      </c>
      <c r="M131" s="31">
        <f>SUBTOTAL(9,M132:M134)</f>
        <v>0</v>
      </c>
      <c r="N131" s="32"/>
      <c r="O131" s="41"/>
      <c r="Q131" s="16"/>
      <c r="R131" s="16"/>
      <c r="S131" s="16"/>
      <c r="T131" s="16"/>
      <c r="U131" s="16"/>
      <c r="V131" s="16"/>
      <c r="W131" s="32"/>
      <c r="X131" s="41"/>
    </row>
    <row r="132" spans="1:29" outlineLevel="2">
      <c r="A132" s="1"/>
      <c r="B132" s="1" t="s">
        <v>88</v>
      </c>
      <c r="C132" s="14" t="s">
        <v>139</v>
      </c>
      <c r="D132" s="47">
        <v>46384</v>
      </c>
      <c r="E132" s="48" t="s">
        <v>69</v>
      </c>
      <c r="F132" s="10"/>
      <c r="H132" s="39"/>
      <c r="J132" s="34">
        <v>0.02</v>
      </c>
      <c r="K132" s="28">
        <v>1</v>
      </c>
      <c r="L132" s="11">
        <f>IF(M132=1,J132,0)</f>
        <v>0</v>
      </c>
      <c r="M132" s="28"/>
      <c r="N132" s="15"/>
      <c r="O132" s="39"/>
      <c r="Q132" s="1" t="s">
        <v>69</v>
      </c>
      <c r="R132" s="1" t="s">
        <v>86</v>
      </c>
      <c r="S132" s="1" t="s">
        <v>87</v>
      </c>
      <c r="T132" s="1"/>
      <c r="U132" s="1"/>
      <c r="V132" s="1"/>
      <c r="W132" s="15"/>
      <c r="X132" s="39"/>
    </row>
    <row r="133" spans="1:29" s="120" customFormat="1" ht="11.45" outlineLevel="3">
      <c r="A133" s="49"/>
      <c r="B133" s="57" t="s">
        <v>35</v>
      </c>
      <c r="C133" s="58" t="s">
        <v>36</v>
      </c>
      <c r="D133" s="59">
        <v>46310</v>
      </c>
      <c r="E133" s="60" t="s">
        <v>37</v>
      </c>
      <c r="F133" s="140"/>
      <c r="G133" s="50"/>
      <c r="H133" s="51"/>
      <c r="I133" s="50"/>
      <c r="J133" s="54"/>
      <c r="K133" s="121"/>
      <c r="L133" s="54"/>
      <c r="M133" s="121"/>
      <c r="N133" s="55"/>
      <c r="O133" s="51"/>
      <c r="P133" s="50"/>
      <c r="Q133" s="49"/>
      <c r="R133" s="49"/>
      <c r="S133" s="49"/>
      <c r="T133" s="49"/>
      <c r="U133" s="49"/>
      <c r="V133" s="49"/>
      <c r="W133" s="55"/>
      <c r="X133" s="51"/>
      <c r="Y133" s="50"/>
      <c r="Z133" s="50"/>
      <c r="AA133" s="56"/>
      <c r="AB133" s="50"/>
      <c r="AC133" s="50"/>
    </row>
    <row r="134" spans="1:29" s="120" customFormat="1" ht="11.45" outlineLevel="3">
      <c r="A134" s="49"/>
      <c r="B134" s="57" t="s">
        <v>38</v>
      </c>
      <c r="C134" s="58" t="s">
        <v>39</v>
      </c>
      <c r="D134" s="59">
        <v>46325</v>
      </c>
      <c r="E134" s="60" t="s">
        <v>40</v>
      </c>
      <c r="F134" s="140"/>
      <c r="G134" s="50"/>
      <c r="H134" s="51"/>
      <c r="I134" s="50"/>
      <c r="J134" s="54"/>
      <c r="K134" s="121"/>
      <c r="L134" s="54"/>
      <c r="M134" s="121"/>
      <c r="N134" s="55"/>
      <c r="O134" s="51"/>
      <c r="P134" s="50"/>
      <c r="Q134" s="49"/>
      <c r="R134" s="49"/>
      <c r="S134" s="49"/>
      <c r="T134" s="49"/>
      <c r="U134" s="49"/>
      <c r="V134" s="49"/>
      <c r="W134" s="55"/>
      <c r="X134" s="51"/>
      <c r="Y134" s="50"/>
      <c r="Z134" s="50"/>
      <c r="AA134" s="50"/>
      <c r="AB134" s="50"/>
      <c r="AC134" s="50"/>
    </row>
    <row r="136" spans="1:29" ht="12.75"/>
    <row r="137" spans="1:29" ht="12.75"/>
  </sheetData>
  <autoFilter ref="B4:M134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5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9C3DF-8988-4CA1-A5ED-1E91F0403758}">
  <sheetPr codeName="Sheet9">
    <outlinePr summaryBelow="0" summaryRight="0"/>
    <pageSetUpPr fitToPage="1"/>
  </sheetPr>
  <dimension ref="A1:Z229"/>
  <sheetViews>
    <sheetView zoomScaleNormal="100" zoomScaleSheetLayoutView="35" workbookViewId="0">
      <pane xSplit="5" ySplit="7" topLeftCell="F8" activePane="bottomRight" state="frozen"/>
      <selection pane="bottomRight" activeCell="F4" sqref="F4:L4"/>
      <selection pane="bottomLeft" activeCell="A7" sqref="A7"/>
      <selection pane="topRight" activeCell="F1" sqref="F1"/>
    </sheetView>
  </sheetViews>
  <sheetFormatPr defaultColWidth="11.42578125" defaultRowHeight="11.85" customHeight="1" outlineLevelRow="3"/>
  <cols>
    <col min="1" max="1" width="0.5703125" style="66" customWidth="1"/>
    <col min="2" max="2" width="7.7109375" style="105" bestFit="1" customWidth="1"/>
    <col min="3" max="3" width="5.42578125" style="90" bestFit="1" customWidth="1"/>
    <col min="4" max="4" width="69.42578125" style="91" bestFit="1" customWidth="1"/>
    <col min="5" max="5" width="0.42578125" style="66" customWidth="1"/>
    <col min="6" max="6" width="7.5703125" style="92" customWidth="1"/>
    <col min="7" max="7" width="0.42578125" style="93" customWidth="1"/>
    <col min="8" max="8" width="7.5703125" style="92" customWidth="1"/>
    <col min="9" max="9" width="0.42578125" style="93" customWidth="1"/>
    <col min="10" max="10" width="7.5703125" style="92" customWidth="1"/>
    <col min="11" max="11" width="0.42578125" style="93" customWidth="1"/>
    <col min="12" max="12" width="7.5703125" style="92" customWidth="1"/>
    <col min="13" max="13" width="0.42578125" style="93" customWidth="1"/>
    <col min="14" max="16384" width="11.42578125" style="66"/>
  </cols>
  <sheetData>
    <row r="1" spans="1:16" ht="3" customHeight="1">
      <c r="A1" s="61"/>
      <c r="B1" s="101"/>
      <c r="C1" s="62"/>
      <c r="D1" s="63"/>
      <c r="E1" s="61"/>
      <c r="F1" s="64"/>
      <c r="G1" s="65"/>
      <c r="H1" s="64"/>
      <c r="I1" s="65"/>
      <c r="J1" s="64"/>
      <c r="K1" s="65"/>
      <c r="L1" s="64"/>
      <c r="M1" s="65"/>
    </row>
    <row r="2" spans="1:16" s="70" customFormat="1" ht="17.45">
      <c r="A2" s="67"/>
      <c r="B2" s="114"/>
      <c r="C2" s="142" t="s">
        <v>140</v>
      </c>
      <c r="D2" s="142"/>
      <c r="E2" s="68"/>
      <c r="F2" s="119" t="s">
        <v>141</v>
      </c>
      <c r="G2" s="69"/>
      <c r="H2" s="119" t="s">
        <v>142</v>
      </c>
      <c r="I2" s="69"/>
      <c r="J2" s="119" t="s">
        <v>68</v>
      </c>
      <c r="K2" s="69"/>
      <c r="L2" s="119" t="s">
        <v>143</v>
      </c>
      <c r="M2" s="69"/>
      <c r="O2" s="124">
        <v>1</v>
      </c>
      <c r="P2" s="114" t="s">
        <v>45</v>
      </c>
    </row>
    <row r="3" spans="1:16" s="73" customFormat="1" ht="15.6">
      <c r="A3" s="71"/>
      <c r="B3" s="115"/>
      <c r="C3" s="72"/>
      <c r="D3" s="100" t="s">
        <v>144</v>
      </c>
      <c r="E3" s="71"/>
      <c r="F3" s="71">
        <f>COUNTA(F$8:F$204)</f>
        <v>108</v>
      </c>
      <c r="G3" s="71"/>
      <c r="H3" s="71">
        <f>COUNTA(H$8:H$204)</f>
        <v>91</v>
      </c>
      <c r="I3" s="71"/>
      <c r="J3" s="71">
        <f>COUNTA(J$8:J$204)</f>
        <v>66</v>
      </c>
      <c r="K3" s="71"/>
      <c r="L3" s="71">
        <f>COUNTA(L$8:L$204)</f>
        <v>28</v>
      </c>
      <c r="M3" s="71"/>
      <c r="O3" s="124">
        <v>-1</v>
      </c>
      <c r="P3" s="114" t="s">
        <v>145</v>
      </c>
    </row>
    <row r="4" spans="1:16" s="73" customFormat="1" ht="15.6">
      <c r="A4" s="71"/>
      <c r="B4" s="115"/>
      <c r="C4" s="72"/>
      <c r="D4" s="100" t="s">
        <v>146</v>
      </c>
      <c r="E4" s="71"/>
      <c r="F4" s="71">
        <f>COUNTIF(F$8:F$204,1)</f>
        <v>101</v>
      </c>
      <c r="G4" s="71"/>
      <c r="H4" s="71">
        <f>COUNTIF(H$8:H$204,1)</f>
        <v>87</v>
      </c>
      <c r="I4" s="71"/>
      <c r="J4" s="71">
        <f>COUNTIF(J$8:J$204,1)</f>
        <v>63</v>
      </c>
      <c r="K4" s="71"/>
      <c r="L4" s="71">
        <f>COUNTIF(L$8:L$204,1)</f>
        <v>26</v>
      </c>
      <c r="M4" s="71"/>
      <c r="O4" s="114"/>
      <c r="P4" s="114" t="s">
        <v>147</v>
      </c>
    </row>
    <row r="5" spans="1:16" ht="3" customHeight="1">
      <c r="A5" s="61"/>
      <c r="B5" s="101"/>
      <c r="C5" s="62"/>
      <c r="D5" s="74"/>
      <c r="E5" s="75"/>
      <c r="F5" s="64"/>
      <c r="G5" s="76"/>
      <c r="H5" s="64"/>
      <c r="I5" s="76"/>
      <c r="J5" s="64"/>
      <c r="K5" s="76"/>
      <c r="L5" s="64"/>
      <c r="M5" s="76"/>
    </row>
    <row r="6" spans="1:16" ht="3" customHeight="1">
      <c r="A6" s="61"/>
      <c r="B6" s="116"/>
      <c r="C6" s="77"/>
      <c r="D6" s="78"/>
      <c r="E6" s="79"/>
      <c r="F6" s="80"/>
      <c r="G6" s="80"/>
      <c r="H6" s="80"/>
      <c r="I6" s="80"/>
      <c r="J6" s="80"/>
      <c r="K6" s="80"/>
      <c r="L6" s="80"/>
      <c r="M6" s="80"/>
    </row>
    <row r="7" spans="1:16" ht="3.6" customHeight="1">
      <c r="A7" s="61"/>
      <c r="B7" s="101"/>
      <c r="C7" s="62"/>
      <c r="D7" s="74"/>
      <c r="E7" s="75"/>
      <c r="F7" s="133"/>
      <c r="G7" s="76"/>
      <c r="H7" s="133"/>
      <c r="I7" s="76"/>
      <c r="J7" s="133"/>
      <c r="K7" s="76"/>
      <c r="L7" s="133"/>
      <c r="M7" s="76"/>
    </row>
    <row r="8" spans="1:16" ht="17.45" customHeight="1">
      <c r="A8" s="61"/>
      <c r="B8" s="44"/>
      <c r="C8" s="143" t="s">
        <v>148</v>
      </c>
      <c r="D8" s="143"/>
      <c r="E8" s="75"/>
      <c r="F8" s="81"/>
      <c r="G8" s="82"/>
      <c r="H8" s="81"/>
      <c r="I8" s="82"/>
      <c r="J8" s="81"/>
      <c r="K8" s="82"/>
      <c r="L8" s="81"/>
      <c r="M8" s="82"/>
    </row>
    <row r="9" spans="1:16" ht="3" customHeight="1" outlineLevel="1">
      <c r="A9" s="61"/>
      <c r="B9" s="101"/>
      <c r="C9" s="101"/>
      <c r="D9" s="102"/>
      <c r="E9" s="75"/>
      <c r="F9" s="133"/>
      <c r="G9" s="83"/>
      <c r="H9" s="133"/>
      <c r="I9" s="83"/>
      <c r="J9" s="133"/>
      <c r="K9" s="83"/>
      <c r="L9" s="133"/>
      <c r="M9" s="83"/>
    </row>
    <row r="10" spans="1:16" ht="13.15" outlineLevel="1">
      <c r="A10" s="61"/>
      <c r="B10" s="117">
        <v>1</v>
      </c>
      <c r="C10" s="103">
        <v>1</v>
      </c>
      <c r="D10" s="104" t="s">
        <v>149</v>
      </c>
      <c r="E10" s="84"/>
      <c r="F10" s="123">
        <v>1</v>
      </c>
      <c r="G10" s="98"/>
      <c r="H10" s="123"/>
      <c r="I10" s="98"/>
      <c r="J10" s="123"/>
      <c r="K10" s="98"/>
      <c r="L10" s="123"/>
      <c r="M10" s="85"/>
    </row>
    <row r="11" spans="1:16" ht="13.15" outlineLevel="1">
      <c r="A11" s="61"/>
      <c r="B11" s="117">
        <v>2</v>
      </c>
      <c r="C11" s="103">
        <v>2</v>
      </c>
      <c r="D11" s="104" t="s">
        <v>150</v>
      </c>
      <c r="E11" s="84"/>
      <c r="F11" s="123">
        <v>1</v>
      </c>
      <c r="G11" s="98"/>
      <c r="H11" s="123">
        <v>1</v>
      </c>
      <c r="I11" s="98"/>
      <c r="J11" s="123">
        <v>1</v>
      </c>
      <c r="K11" s="98"/>
      <c r="L11" s="123">
        <v>1</v>
      </c>
      <c r="M11" s="85"/>
    </row>
    <row r="12" spans="1:16" ht="13.9" outlineLevel="1">
      <c r="B12" s="117">
        <v>3</v>
      </c>
      <c r="C12" s="103">
        <v>3</v>
      </c>
      <c r="D12" s="104" t="s">
        <v>151</v>
      </c>
      <c r="E12" s="84"/>
      <c r="F12" s="123">
        <v>1</v>
      </c>
      <c r="G12" s="118"/>
      <c r="H12" s="123">
        <v>1</v>
      </c>
      <c r="I12" s="118"/>
      <c r="J12" s="123">
        <v>1</v>
      </c>
      <c r="K12" s="118"/>
      <c r="L12" s="123">
        <v>1</v>
      </c>
      <c r="M12" s="89"/>
    </row>
    <row r="13" spans="1:16" ht="13.9" outlineLevel="1">
      <c r="B13" s="117">
        <v>4</v>
      </c>
      <c r="C13" s="103">
        <v>4</v>
      </c>
      <c r="D13" s="104" t="s">
        <v>152</v>
      </c>
      <c r="E13" s="84"/>
      <c r="F13" s="123">
        <v>1</v>
      </c>
      <c r="G13" s="118"/>
      <c r="H13" s="123"/>
      <c r="I13" s="118"/>
      <c r="J13" s="123">
        <v>1</v>
      </c>
      <c r="K13" s="118"/>
      <c r="L13" s="123">
        <v>1</v>
      </c>
      <c r="M13" s="89"/>
    </row>
    <row r="14" spans="1:16" ht="13.9" outlineLevel="1">
      <c r="B14" s="117">
        <v>5</v>
      </c>
      <c r="C14" s="103">
        <v>5</v>
      </c>
      <c r="D14" s="104" t="s">
        <v>153</v>
      </c>
      <c r="E14" s="84"/>
      <c r="F14" s="123">
        <v>1</v>
      </c>
      <c r="G14" s="118"/>
      <c r="H14" s="123"/>
      <c r="I14" s="118"/>
      <c r="J14" s="123"/>
      <c r="K14" s="118"/>
      <c r="L14" s="123">
        <v>1</v>
      </c>
      <c r="M14" s="89"/>
    </row>
    <row r="15" spans="1:16" ht="17.45" customHeight="1">
      <c r="B15" s="44"/>
      <c r="C15" s="143" t="s">
        <v>154</v>
      </c>
      <c r="D15" s="143"/>
      <c r="E15" s="75"/>
      <c r="F15" s="81"/>
      <c r="G15" s="82"/>
      <c r="H15" s="81"/>
      <c r="I15" s="82"/>
      <c r="J15" s="81"/>
      <c r="K15" s="82"/>
      <c r="L15" s="81"/>
      <c r="M15" s="82"/>
    </row>
    <row r="16" spans="1:16" ht="3" customHeight="1" outlineLevel="1">
      <c r="C16" s="105"/>
      <c r="D16" s="106"/>
    </row>
    <row r="17" spans="2:26" ht="13.15" outlineLevel="1">
      <c r="B17" s="103">
        <v>4</v>
      </c>
      <c r="C17" s="103">
        <v>1</v>
      </c>
      <c r="D17" s="104" t="s">
        <v>155</v>
      </c>
      <c r="E17" s="84"/>
      <c r="F17" s="85"/>
      <c r="G17" s="85"/>
      <c r="H17" s="85"/>
      <c r="I17" s="85"/>
      <c r="J17" s="85"/>
      <c r="K17" s="85"/>
      <c r="L17" s="85"/>
      <c r="M17" s="85"/>
    </row>
    <row r="18" spans="2:26" ht="13.15" outlineLevel="2">
      <c r="B18" s="107" t="s">
        <v>156</v>
      </c>
      <c r="C18" s="107">
        <v>1</v>
      </c>
      <c r="D18" s="44" t="s">
        <v>157</v>
      </c>
      <c r="E18" s="61"/>
      <c r="F18" s="123">
        <v>1</v>
      </c>
      <c r="G18" s="123"/>
      <c r="H18" s="123">
        <v>1</v>
      </c>
      <c r="I18" s="123"/>
      <c r="J18" s="123">
        <v>1</v>
      </c>
      <c r="K18" s="123"/>
      <c r="L18" s="123"/>
      <c r="M18" s="87"/>
    </row>
    <row r="19" spans="2:26" ht="13.15" outlineLevel="2">
      <c r="B19" s="107" t="s">
        <v>158</v>
      </c>
      <c r="C19" s="107">
        <v>2</v>
      </c>
      <c r="D19" s="44" t="s">
        <v>159</v>
      </c>
      <c r="E19" s="61"/>
      <c r="F19" s="123">
        <v>1</v>
      </c>
      <c r="G19" s="123"/>
      <c r="H19" s="123">
        <v>1</v>
      </c>
      <c r="I19" s="123"/>
      <c r="J19" s="123"/>
      <c r="K19" s="123"/>
      <c r="L19" s="123"/>
      <c r="M19" s="87"/>
    </row>
    <row r="20" spans="2:26" ht="13.15" outlineLevel="2">
      <c r="B20" s="107" t="s">
        <v>160</v>
      </c>
      <c r="C20" s="107">
        <v>3</v>
      </c>
      <c r="D20" s="44" t="s">
        <v>161</v>
      </c>
      <c r="E20" s="61"/>
      <c r="F20" s="123">
        <v>1</v>
      </c>
      <c r="G20" s="123"/>
      <c r="H20" s="123"/>
      <c r="I20" s="123"/>
      <c r="J20" s="123"/>
      <c r="K20" s="123"/>
      <c r="L20" s="123"/>
      <c r="M20" s="87"/>
    </row>
    <row r="21" spans="2:26" ht="13.15" outlineLevel="2">
      <c r="B21" s="107" t="s">
        <v>162</v>
      </c>
      <c r="C21" s="107">
        <v>4</v>
      </c>
      <c r="D21" s="44" t="s">
        <v>163</v>
      </c>
      <c r="E21" s="61"/>
      <c r="F21" s="123">
        <v>1</v>
      </c>
      <c r="G21" s="123"/>
      <c r="H21" s="123">
        <v>1</v>
      </c>
      <c r="I21" s="123"/>
      <c r="J21" s="123">
        <v>1</v>
      </c>
      <c r="K21" s="123"/>
      <c r="L21" s="123"/>
      <c r="M21" s="87"/>
    </row>
    <row r="22" spans="2:26" ht="13.15" outlineLevel="2">
      <c r="B22" s="107" t="s">
        <v>164</v>
      </c>
      <c r="C22" s="107">
        <v>5</v>
      </c>
      <c r="D22" s="44" t="s">
        <v>165</v>
      </c>
      <c r="E22" s="61"/>
      <c r="F22" s="123">
        <v>1</v>
      </c>
      <c r="G22" s="123"/>
      <c r="H22" s="123">
        <v>1</v>
      </c>
      <c r="I22" s="123"/>
      <c r="J22" s="123"/>
      <c r="K22" s="123"/>
      <c r="L22" s="123"/>
      <c r="M22" s="87"/>
    </row>
    <row r="23" spans="2:26" ht="13.15" outlineLevel="2">
      <c r="B23" s="107" t="s">
        <v>166</v>
      </c>
      <c r="C23" s="107">
        <v>6</v>
      </c>
      <c r="D23" s="44" t="s">
        <v>167</v>
      </c>
      <c r="E23" s="61"/>
      <c r="F23" s="123">
        <v>1</v>
      </c>
      <c r="G23" s="123"/>
      <c r="H23" s="123">
        <v>1</v>
      </c>
      <c r="I23" s="123"/>
      <c r="J23" s="123"/>
      <c r="K23" s="123"/>
      <c r="L23" s="123"/>
      <c r="M23" s="87"/>
    </row>
    <row r="24" spans="2:26" s="97" customFormat="1" ht="13.15" outlineLevel="2">
      <c r="B24" s="107" t="s">
        <v>168</v>
      </c>
      <c r="C24" s="108">
        <v>7</v>
      </c>
      <c r="D24" s="109" t="s">
        <v>169</v>
      </c>
      <c r="E24" s="94"/>
      <c r="F24" s="123">
        <v>1</v>
      </c>
      <c r="G24" s="123"/>
      <c r="H24" s="123"/>
      <c r="I24" s="123"/>
      <c r="J24" s="123">
        <v>1</v>
      </c>
      <c r="K24" s="123"/>
      <c r="L24" s="123"/>
      <c r="M24" s="96"/>
      <c r="Z24" s="97" t="s">
        <v>170</v>
      </c>
    </row>
    <row r="25" spans="2:26" ht="13.15" outlineLevel="2">
      <c r="B25" s="107" t="s">
        <v>171</v>
      </c>
      <c r="C25" s="107">
        <v>8</v>
      </c>
      <c r="D25" s="44" t="s">
        <v>172</v>
      </c>
      <c r="E25" s="61"/>
      <c r="F25" s="123">
        <v>1</v>
      </c>
      <c r="G25" s="123"/>
      <c r="H25" s="123">
        <v>1</v>
      </c>
      <c r="I25" s="123"/>
      <c r="J25" s="123">
        <v>1</v>
      </c>
      <c r="K25" s="123"/>
      <c r="L25" s="123"/>
      <c r="M25" s="87"/>
    </row>
    <row r="26" spans="2:26" s="97" customFormat="1" ht="13.15" outlineLevel="2">
      <c r="B26" s="107" t="s">
        <v>173</v>
      </c>
      <c r="C26" s="108">
        <v>9</v>
      </c>
      <c r="D26" s="109" t="s">
        <v>174</v>
      </c>
      <c r="E26" s="94"/>
      <c r="F26" s="123">
        <v>1</v>
      </c>
      <c r="G26" s="123"/>
      <c r="H26" s="123">
        <v>1</v>
      </c>
      <c r="I26" s="123"/>
      <c r="J26" s="123">
        <v>1</v>
      </c>
      <c r="K26" s="123"/>
      <c r="L26" s="123"/>
      <c r="M26" s="96"/>
    </row>
    <row r="27" spans="2:26" s="97" customFormat="1" ht="13.15" outlineLevel="2">
      <c r="B27" s="107" t="s">
        <v>175</v>
      </c>
      <c r="C27" s="108">
        <v>10</v>
      </c>
      <c r="D27" s="109" t="s">
        <v>176</v>
      </c>
      <c r="E27" s="94"/>
      <c r="F27" s="123">
        <v>1</v>
      </c>
      <c r="G27" s="123"/>
      <c r="H27" s="123"/>
      <c r="I27" s="123"/>
      <c r="J27" s="123"/>
      <c r="K27" s="123"/>
      <c r="L27" s="123"/>
      <c r="M27" s="96"/>
    </row>
    <row r="28" spans="2:26" ht="3" customHeight="1" outlineLevel="1">
      <c r="B28" s="110"/>
      <c r="C28" s="110"/>
      <c r="D28" s="44"/>
      <c r="E28" s="61"/>
      <c r="F28" s="98"/>
      <c r="G28" s="98"/>
      <c r="H28" s="98"/>
      <c r="I28" s="98"/>
      <c r="J28" s="98"/>
      <c r="K28" s="98"/>
      <c r="L28" s="98"/>
      <c r="M28" s="98"/>
    </row>
    <row r="29" spans="2:26" ht="13.15" outlineLevel="1">
      <c r="B29" s="103">
        <v>5</v>
      </c>
      <c r="C29" s="103">
        <v>2</v>
      </c>
      <c r="D29" s="104" t="s">
        <v>177</v>
      </c>
      <c r="E29" s="84"/>
      <c r="F29" s="85"/>
      <c r="G29" s="85"/>
      <c r="H29" s="85"/>
      <c r="I29" s="85"/>
      <c r="J29" s="85"/>
      <c r="K29" s="85"/>
      <c r="L29" s="85"/>
      <c r="M29" s="85"/>
    </row>
    <row r="30" spans="2:26" ht="13.15" outlineLevel="2">
      <c r="B30" s="107" t="s">
        <v>178</v>
      </c>
      <c r="C30" s="107">
        <v>1</v>
      </c>
      <c r="D30" s="44" t="s">
        <v>157</v>
      </c>
      <c r="E30" s="61"/>
      <c r="F30" s="123">
        <v>1</v>
      </c>
      <c r="G30" s="123"/>
      <c r="H30" s="123">
        <v>1</v>
      </c>
      <c r="I30" s="123"/>
      <c r="J30" s="123">
        <v>1</v>
      </c>
      <c r="K30" s="123"/>
      <c r="L30" s="123"/>
      <c r="M30" s="87"/>
    </row>
    <row r="31" spans="2:26" ht="13.15" outlineLevel="2">
      <c r="B31" s="107" t="s">
        <v>179</v>
      </c>
      <c r="C31" s="107">
        <v>2</v>
      </c>
      <c r="D31" s="44" t="s">
        <v>159</v>
      </c>
      <c r="E31" s="61"/>
      <c r="F31" s="123">
        <v>1</v>
      </c>
      <c r="G31" s="123"/>
      <c r="H31" s="123">
        <v>1</v>
      </c>
      <c r="I31" s="123"/>
      <c r="J31" s="123"/>
      <c r="K31" s="123"/>
      <c r="L31" s="123"/>
      <c r="M31" s="87"/>
    </row>
    <row r="32" spans="2:26" s="97" customFormat="1" ht="13.15" outlineLevel="2">
      <c r="B32" s="107" t="s">
        <v>180</v>
      </c>
      <c r="C32" s="108">
        <v>3</v>
      </c>
      <c r="D32" s="109" t="s">
        <v>161</v>
      </c>
      <c r="E32" s="94"/>
      <c r="F32" s="123">
        <v>1</v>
      </c>
      <c r="G32" s="123"/>
      <c r="H32" s="123"/>
      <c r="I32" s="123"/>
      <c r="J32" s="123"/>
      <c r="K32" s="123"/>
      <c r="L32" s="123"/>
      <c r="M32" s="96"/>
    </row>
    <row r="33" spans="2:13" ht="13.15" outlineLevel="2">
      <c r="B33" s="107" t="s">
        <v>181</v>
      </c>
      <c r="C33" s="107">
        <v>4</v>
      </c>
      <c r="D33" s="44" t="s">
        <v>163</v>
      </c>
      <c r="E33" s="61"/>
      <c r="F33" s="123">
        <v>1</v>
      </c>
      <c r="G33" s="123"/>
      <c r="H33" s="123">
        <v>1</v>
      </c>
      <c r="I33" s="123"/>
      <c r="J33" s="123">
        <v>1</v>
      </c>
      <c r="K33" s="123"/>
      <c r="L33" s="123"/>
      <c r="M33" s="87"/>
    </row>
    <row r="34" spans="2:13" ht="13.15" outlineLevel="2">
      <c r="B34" s="107" t="s">
        <v>182</v>
      </c>
      <c r="C34" s="107">
        <v>5</v>
      </c>
      <c r="D34" s="44" t="s">
        <v>165</v>
      </c>
      <c r="E34" s="61"/>
      <c r="F34" s="123">
        <v>1</v>
      </c>
      <c r="G34" s="123"/>
      <c r="H34" s="123">
        <v>1</v>
      </c>
      <c r="I34" s="123"/>
      <c r="J34" s="123"/>
      <c r="K34" s="123"/>
      <c r="L34" s="123"/>
      <c r="M34" s="87"/>
    </row>
    <row r="35" spans="2:13" ht="13.15" outlineLevel="2">
      <c r="B35" s="107" t="s">
        <v>183</v>
      </c>
      <c r="C35" s="107">
        <v>6</v>
      </c>
      <c r="D35" s="44" t="s">
        <v>167</v>
      </c>
      <c r="E35" s="61"/>
      <c r="F35" s="123">
        <v>1</v>
      </c>
      <c r="G35" s="123"/>
      <c r="H35" s="123">
        <v>1</v>
      </c>
      <c r="I35" s="123"/>
      <c r="J35" s="123"/>
      <c r="K35" s="123"/>
      <c r="L35" s="123"/>
      <c r="M35" s="87"/>
    </row>
    <row r="36" spans="2:13" s="97" customFormat="1" ht="13.15" outlineLevel="2">
      <c r="B36" s="107" t="s">
        <v>184</v>
      </c>
      <c r="C36" s="108">
        <v>7</v>
      </c>
      <c r="D36" s="109" t="s">
        <v>169</v>
      </c>
      <c r="E36" s="94"/>
      <c r="F36" s="123">
        <v>1</v>
      </c>
      <c r="G36" s="123"/>
      <c r="H36" s="123"/>
      <c r="I36" s="123"/>
      <c r="J36" s="123">
        <v>1</v>
      </c>
      <c r="K36" s="123"/>
      <c r="L36" s="123"/>
      <c r="M36" s="96"/>
    </row>
    <row r="37" spans="2:13" ht="13.15" outlineLevel="2">
      <c r="B37" s="107" t="s">
        <v>185</v>
      </c>
      <c r="C37" s="107">
        <v>8</v>
      </c>
      <c r="D37" s="44" t="s">
        <v>172</v>
      </c>
      <c r="E37" s="61"/>
      <c r="F37" s="123">
        <v>1</v>
      </c>
      <c r="G37" s="123"/>
      <c r="H37" s="123">
        <v>1</v>
      </c>
      <c r="I37" s="123"/>
      <c r="J37" s="123"/>
      <c r="K37" s="123"/>
      <c r="L37" s="123"/>
      <c r="M37" s="87"/>
    </row>
    <row r="38" spans="2:13" ht="13.15" outlineLevel="2">
      <c r="B38" s="107" t="s">
        <v>186</v>
      </c>
      <c r="C38" s="107">
        <v>9</v>
      </c>
      <c r="D38" s="109" t="s">
        <v>174</v>
      </c>
      <c r="E38" s="61"/>
      <c r="F38" s="123">
        <v>1</v>
      </c>
      <c r="G38" s="123"/>
      <c r="H38" s="123">
        <v>1</v>
      </c>
      <c r="I38" s="123"/>
      <c r="J38" s="123">
        <v>1</v>
      </c>
      <c r="K38" s="123"/>
      <c r="L38" s="123"/>
      <c r="M38" s="87"/>
    </row>
    <row r="39" spans="2:13" ht="13.15" outlineLevel="2">
      <c r="B39" s="107" t="s">
        <v>187</v>
      </c>
      <c r="C39" s="107">
        <v>10</v>
      </c>
      <c r="D39" s="44" t="s">
        <v>176</v>
      </c>
      <c r="E39" s="61"/>
      <c r="F39" s="123">
        <v>1</v>
      </c>
      <c r="G39" s="123"/>
      <c r="H39" s="123"/>
      <c r="I39" s="123"/>
      <c r="J39" s="123"/>
      <c r="K39" s="123"/>
      <c r="L39" s="123"/>
      <c r="M39" s="87"/>
    </row>
    <row r="40" spans="2:13" ht="3" customHeight="1" outlineLevel="1">
      <c r="B40" s="110"/>
      <c r="C40" s="110"/>
      <c r="D40" s="44"/>
      <c r="E40" s="61"/>
      <c r="F40" s="86"/>
      <c r="G40" s="87"/>
      <c r="H40" s="86"/>
      <c r="I40" s="87"/>
      <c r="J40" s="86"/>
      <c r="K40" s="87"/>
      <c r="L40" s="86"/>
      <c r="M40" s="87"/>
    </row>
    <row r="41" spans="2:13" ht="13.15" outlineLevel="1">
      <c r="B41" s="103">
        <v>6</v>
      </c>
      <c r="C41" s="103">
        <v>3</v>
      </c>
      <c r="D41" s="104" t="s">
        <v>188</v>
      </c>
      <c r="E41" s="84"/>
      <c r="F41" s="85"/>
      <c r="G41" s="85"/>
      <c r="H41" s="85"/>
      <c r="I41" s="85"/>
      <c r="J41" s="85"/>
      <c r="K41" s="85"/>
      <c r="L41" s="85"/>
      <c r="M41" s="85"/>
    </row>
    <row r="42" spans="2:13" s="97" customFormat="1" ht="13.15" outlineLevel="2">
      <c r="B42" s="108" t="s">
        <v>189</v>
      </c>
      <c r="C42" s="108">
        <v>1</v>
      </c>
      <c r="D42" s="109" t="s">
        <v>157</v>
      </c>
      <c r="E42" s="94"/>
      <c r="F42" s="123">
        <v>1</v>
      </c>
      <c r="G42" s="123"/>
      <c r="H42" s="123">
        <v>1</v>
      </c>
      <c r="I42" s="123"/>
      <c r="J42" s="123">
        <v>1</v>
      </c>
      <c r="K42" s="123"/>
      <c r="L42" s="123"/>
      <c r="M42" s="96"/>
    </row>
    <row r="43" spans="2:13" ht="13.15" outlineLevel="2">
      <c r="B43" s="108" t="s">
        <v>190</v>
      </c>
      <c r="C43" s="107">
        <v>2</v>
      </c>
      <c r="D43" s="44" t="s">
        <v>159</v>
      </c>
      <c r="E43" s="61"/>
      <c r="F43" s="123"/>
      <c r="G43" s="123"/>
      <c r="H43" s="123">
        <v>1</v>
      </c>
      <c r="I43" s="123"/>
      <c r="J43" s="123"/>
      <c r="K43" s="123"/>
      <c r="L43" s="123"/>
      <c r="M43" s="87"/>
    </row>
    <row r="44" spans="2:13" ht="13.15" outlineLevel="2">
      <c r="B44" s="108" t="s">
        <v>191</v>
      </c>
      <c r="C44" s="107">
        <v>3</v>
      </c>
      <c r="D44" s="44" t="s">
        <v>161</v>
      </c>
      <c r="E44" s="61"/>
      <c r="F44" s="123">
        <v>1</v>
      </c>
      <c r="G44" s="123"/>
      <c r="H44" s="123"/>
      <c r="I44" s="123"/>
      <c r="J44" s="123"/>
      <c r="K44" s="123"/>
      <c r="L44" s="123"/>
      <c r="M44" s="87"/>
    </row>
    <row r="45" spans="2:13" ht="13.15" outlineLevel="2">
      <c r="B45" s="108" t="s">
        <v>192</v>
      </c>
      <c r="C45" s="108">
        <v>4</v>
      </c>
      <c r="D45" s="109" t="s">
        <v>193</v>
      </c>
      <c r="E45" s="61"/>
      <c r="F45" s="123">
        <v>1</v>
      </c>
      <c r="G45" s="123"/>
      <c r="H45" s="123">
        <v>1</v>
      </c>
      <c r="I45" s="123"/>
      <c r="J45" s="123">
        <v>1</v>
      </c>
      <c r="K45" s="123"/>
      <c r="L45" s="123"/>
      <c r="M45" s="87"/>
    </row>
    <row r="46" spans="2:13" s="97" customFormat="1" ht="13.15" outlineLevel="2">
      <c r="B46" s="108" t="s">
        <v>194</v>
      </c>
      <c r="C46" s="108">
        <v>5</v>
      </c>
      <c r="D46" s="109" t="s">
        <v>195</v>
      </c>
      <c r="E46" s="94"/>
      <c r="F46" s="123">
        <v>1</v>
      </c>
      <c r="G46" s="123"/>
      <c r="H46" s="123">
        <v>1</v>
      </c>
      <c r="I46" s="123"/>
      <c r="J46" s="123"/>
      <c r="K46" s="123"/>
      <c r="L46" s="123"/>
      <c r="M46" s="96"/>
    </row>
    <row r="47" spans="2:13" ht="13.15" outlineLevel="2">
      <c r="B47" s="108" t="s">
        <v>196</v>
      </c>
      <c r="C47" s="108">
        <v>6</v>
      </c>
      <c r="D47" s="44" t="s">
        <v>169</v>
      </c>
      <c r="E47" s="61"/>
      <c r="F47" s="123">
        <v>1</v>
      </c>
      <c r="G47" s="123"/>
      <c r="H47" s="123"/>
      <c r="I47" s="123"/>
      <c r="J47" s="123">
        <v>1</v>
      </c>
      <c r="K47" s="123"/>
      <c r="L47" s="123">
        <v>1</v>
      </c>
      <c r="M47" s="87"/>
    </row>
    <row r="48" spans="2:13" ht="13.15" outlineLevel="2">
      <c r="B48" s="108" t="s">
        <v>197</v>
      </c>
      <c r="C48" s="108">
        <v>7</v>
      </c>
      <c r="D48" s="109" t="s">
        <v>172</v>
      </c>
      <c r="E48" s="61"/>
      <c r="F48" s="123">
        <v>1</v>
      </c>
      <c r="G48" s="123"/>
      <c r="H48" s="123">
        <v>1</v>
      </c>
      <c r="I48" s="123"/>
      <c r="J48" s="123">
        <v>1</v>
      </c>
      <c r="K48" s="123"/>
      <c r="L48" s="123"/>
      <c r="M48" s="87"/>
    </row>
    <row r="49" spans="2:13" ht="13.15" outlineLevel="2">
      <c r="B49" s="108" t="s">
        <v>198</v>
      </c>
      <c r="C49" s="108">
        <v>8</v>
      </c>
      <c r="D49" s="109" t="s">
        <v>174</v>
      </c>
      <c r="E49" s="61"/>
      <c r="F49" s="123">
        <v>1</v>
      </c>
      <c r="G49" s="123"/>
      <c r="H49" s="123">
        <v>1</v>
      </c>
      <c r="I49" s="123"/>
      <c r="J49" s="123">
        <v>1</v>
      </c>
      <c r="K49" s="123"/>
      <c r="L49" s="123"/>
      <c r="M49" s="87"/>
    </row>
    <row r="50" spans="2:13" ht="13.15" outlineLevel="2">
      <c r="B50" s="108" t="s">
        <v>199</v>
      </c>
      <c r="C50" s="108">
        <v>9</v>
      </c>
      <c r="D50" s="44" t="s">
        <v>176</v>
      </c>
      <c r="E50" s="61"/>
      <c r="F50" s="123">
        <v>1</v>
      </c>
      <c r="G50" s="123"/>
      <c r="H50" s="123"/>
      <c r="I50" s="123"/>
      <c r="J50" s="123"/>
      <c r="K50" s="123"/>
      <c r="L50" s="123">
        <v>1</v>
      </c>
      <c r="M50" s="87"/>
    </row>
    <row r="51" spans="2:13" ht="3" customHeight="1" outlineLevel="1">
      <c r="B51" s="110"/>
      <c r="C51" s="110"/>
      <c r="D51" s="44"/>
      <c r="E51" s="61"/>
      <c r="F51" s="86"/>
      <c r="G51" s="87"/>
      <c r="H51" s="86"/>
      <c r="I51" s="87"/>
      <c r="J51" s="86"/>
      <c r="K51" s="87"/>
      <c r="L51" s="86"/>
      <c r="M51" s="87"/>
    </row>
    <row r="52" spans="2:13" ht="13.15" outlineLevel="1">
      <c r="B52" s="103">
        <v>7</v>
      </c>
      <c r="C52" s="103">
        <v>4</v>
      </c>
      <c r="D52" s="104" t="s">
        <v>200</v>
      </c>
      <c r="E52" s="84"/>
      <c r="F52" s="85"/>
      <c r="G52" s="85"/>
      <c r="H52" s="85"/>
      <c r="I52" s="85"/>
      <c r="J52" s="85"/>
      <c r="K52" s="85"/>
      <c r="L52" s="85"/>
      <c r="M52" s="85"/>
    </row>
    <row r="53" spans="2:13" ht="13.15" outlineLevel="2">
      <c r="B53" s="107" t="s">
        <v>201</v>
      </c>
      <c r="C53" s="107">
        <v>1</v>
      </c>
      <c r="D53" s="44" t="s">
        <v>157</v>
      </c>
      <c r="E53" s="61"/>
      <c r="F53" s="123">
        <v>1</v>
      </c>
      <c r="G53" s="123"/>
      <c r="H53" s="123">
        <v>1</v>
      </c>
      <c r="I53" s="123"/>
      <c r="J53" s="123">
        <v>1</v>
      </c>
      <c r="K53" s="123"/>
      <c r="L53" s="123"/>
      <c r="M53" s="87"/>
    </row>
    <row r="54" spans="2:13" ht="13.15" outlineLevel="2">
      <c r="B54" s="107" t="s">
        <v>202</v>
      </c>
      <c r="C54" s="107">
        <v>2</v>
      </c>
      <c r="D54" s="44" t="s">
        <v>159</v>
      </c>
      <c r="E54" s="61"/>
      <c r="F54" s="123">
        <v>1</v>
      </c>
      <c r="G54" s="123"/>
      <c r="H54" s="123">
        <v>1</v>
      </c>
      <c r="I54" s="123"/>
      <c r="J54" s="123"/>
      <c r="K54" s="123"/>
      <c r="L54" s="123"/>
      <c r="M54" s="87"/>
    </row>
    <row r="55" spans="2:13" ht="13.15" outlineLevel="2">
      <c r="B55" s="107" t="s">
        <v>203</v>
      </c>
      <c r="C55" s="107">
        <v>3</v>
      </c>
      <c r="D55" s="44" t="s">
        <v>161</v>
      </c>
      <c r="E55" s="61"/>
      <c r="F55" s="123">
        <v>1</v>
      </c>
      <c r="G55" s="123"/>
      <c r="H55" s="123"/>
      <c r="I55" s="123"/>
      <c r="J55" s="123"/>
      <c r="K55" s="123"/>
      <c r="L55" s="123"/>
      <c r="M55" s="87"/>
    </row>
    <row r="56" spans="2:13" ht="13.15" outlineLevel="2">
      <c r="B56" s="107" t="s">
        <v>204</v>
      </c>
      <c r="C56" s="107">
        <v>4</v>
      </c>
      <c r="D56" s="44" t="s">
        <v>163</v>
      </c>
      <c r="E56" s="61"/>
      <c r="F56" s="123">
        <v>1</v>
      </c>
      <c r="G56" s="123"/>
      <c r="H56" s="123">
        <v>1</v>
      </c>
      <c r="I56" s="123"/>
      <c r="J56" s="123">
        <v>1</v>
      </c>
      <c r="K56" s="123"/>
      <c r="L56" s="123"/>
      <c r="M56" s="87"/>
    </row>
    <row r="57" spans="2:13" ht="13.15" outlineLevel="2">
      <c r="B57" s="107" t="s">
        <v>205</v>
      </c>
      <c r="C57" s="107">
        <v>5</v>
      </c>
      <c r="D57" s="109" t="s">
        <v>165</v>
      </c>
      <c r="E57" s="61"/>
      <c r="F57" s="123">
        <v>1</v>
      </c>
      <c r="G57" s="123"/>
      <c r="H57" s="123">
        <v>1</v>
      </c>
      <c r="I57" s="123"/>
      <c r="J57" s="123"/>
      <c r="K57" s="123"/>
      <c r="L57" s="123"/>
      <c r="M57" s="87"/>
    </row>
    <row r="58" spans="2:13" s="97" customFormat="1" ht="13.15" outlineLevel="2">
      <c r="B58" s="107" t="s">
        <v>206</v>
      </c>
      <c r="C58" s="108">
        <v>6</v>
      </c>
      <c r="D58" s="109" t="s">
        <v>167</v>
      </c>
      <c r="E58" s="94"/>
      <c r="F58" s="123">
        <v>1</v>
      </c>
      <c r="G58" s="123"/>
      <c r="H58" s="123">
        <v>1</v>
      </c>
      <c r="I58" s="123"/>
      <c r="J58" s="123"/>
      <c r="K58" s="123"/>
      <c r="L58" s="123"/>
      <c r="M58" s="96"/>
    </row>
    <row r="59" spans="2:13" ht="13.15" outlineLevel="2">
      <c r="B59" s="107" t="s">
        <v>207</v>
      </c>
      <c r="C59" s="107">
        <v>7</v>
      </c>
      <c r="D59" s="44" t="s">
        <v>169</v>
      </c>
      <c r="E59" s="61"/>
      <c r="F59" s="123">
        <v>1</v>
      </c>
      <c r="G59" s="123"/>
      <c r="H59" s="123"/>
      <c r="I59" s="123"/>
      <c r="J59" s="123">
        <v>1</v>
      </c>
      <c r="K59" s="123"/>
      <c r="L59" s="123"/>
      <c r="M59" s="87"/>
    </row>
    <row r="60" spans="2:13" ht="13.15" outlineLevel="2">
      <c r="B60" s="107" t="s">
        <v>208</v>
      </c>
      <c r="C60" s="107">
        <v>8</v>
      </c>
      <c r="D60" s="44" t="s">
        <v>172</v>
      </c>
      <c r="E60" s="61"/>
      <c r="F60" s="123">
        <v>1</v>
      </c>
      <c r="G60" s="123"/>
      <c r="H60" s="123">
        <v>1</v>
      </c>
      <c r="I60" s="123"/>
      <c r="J60" s="123"/>
      <c r="K60" s="123"/>
      <c r="L60" s="123"/>
      <c r="M60" s="87"/>
    </row>
    <row r="61" spans="2:13" ht="13.15" outlineLevel="2">
      <c r="B61" s="107" t="s">
        <v>209</v>
      </c>
      <c r="C61" s="107">
        <v>9</v>
      </c>
      <c r="D61" s="44" t="s">
        <v>174</v>
      </c>
      <c r="E61" s="61"/>
      <c r="F61" s="123">
        <v>1</v>
      </c>
      <c r="G61" s="123"/>
      <c r="H61" s="123">
        <v>1</v>
      </c>
      <c r="I61" s="123"/>
      <c r="J61" s="123">
        <v>1</v>
      </c>
      <c r="K61" s="123"/>
      <c r="L61" s="123"/>
      <c r="M61" s="87"/>
    </row>
    <row r="62" spans="2:13" ht="13.15" outlineLevel="2">
      <c r="B62" s="107" t="s">
        <v>210</v>
      </c>
      <c r="C62" s="107">
        <v>10</v>
      </c>
      <c r="D62" s="44" t="s">
        <v>176</v>
      </c>
      <c r="E62" s="61"/>
      <c r="F62" s="123">
        <v>1</v>
      </c>
      <c r="G62" s="123"/>
      <c r="H62" s="123"/>
      <c r="I62" s="123"/>
      <c r="J62" s="123"/>
      <c r="K62" s="123"/>
      <c r="L62" s="123"/>
      <c r="M62" s="87"/>
    </row>
    <row r="63" spans="2:13" ht="3" customHeight="1" outlineLevel="1">
      <c r="B63" s="110"/>
      <c r="C63" s="110"/>
      <c r="D63" s="44"/>
      <c r="E63" s="61"/>
      <c r="F63" s="86"/>
      <c r="G63" s="87"/>
      <c r="H63" s="86"/>
      <c r="I63" s="87"/>
      <c r="J63" s="86"/>
      <c r="K63" s="87"/>
      <c r="L63" s="86"/>
      <c r="M63" s="87"/>
    </row>
    <row r="64" spans="2:13" ht="13.15" outlineLevel="1">
      <c r="B64" s="103">
        <v>8</v>
      </c>
      <c r="C64" s="103">
        <v>5</v>
      </c>
      <c r="D64" s="104" t="s">
        <v>211</v>
      </c>
      <c r="E64" s="84"/>
      <c r="F64" s="85"/>
      <c r="G64" s="85"/>
      <c r="H64" s="85"/>
      <c r="I64" s="85"/>
      <c r="J64" s="85"/>
      <c r="K64" s="85"/>
      <c r="L64" s="85"/>
      <c r="M64" s="85"/>
    </row>
    <row r="65" spans="2:13" ht="13.15" outlineLevel="2">
      <c r="B65" s="107" t="s">
        <v>212</v>
      </c>
      <c r="C65" s="107">
        <v>1</v>
      </c>
      <c r="D65" s="44" t="s">
        <v>157</v>
      </c>
      <c r="E65" s="61"/>
      <c r="F65" s="123">
        <v>1</v>
      </c>
      <c r="G65" s="123"/>
      <c r="H65" s="123">
        <v>1</v>
      </c>
      <c r="I65" s="123"/>
      <c r="J65" s="123">
        <v>1</v>
      </c>
      <c r="K65" s="123"/>
      <c r="L65" s="123"/>
      <c r="M65" s="87"/>
    </row>
    <row r="66" spans="2:13" ht="13.15" outlineLevel="2">
      <c r="B66" s="107" t="s">
        <v>213</v>
      </c>
      <c r="C66" s="107">
        <v>2</v>
      </c>
      <c r="D66" s="44" t="s">
        <v>159</v>
      </c>
      <c r="E66" s="61"/>
      <c r="F66" s="123"/>
      <c r="G66" s="123"/>
      <c r="H66" s="123">
        <v>1</v>
      </c>
      <c r="I66" s="123"/>
      <c r="J66" s="123"/>
      <c r="K66" s="123"/>
      <c r="L66" s="123"/>
      <c r="M66" s="87"/>
    </row>
    <row r="67" spans="2:13" ht="13.15" outlineLevel="2">
      <c r="B67" s="107" t="s">
        <v>214</v>
      </c>
      <c r="C67" s="107">
        <v>3</v>
      </c>
      <c r="D67" s="44" t="s">
        <v>161</v>
      </c>
      <c r="E67" s="61"/>
      <c r="F67" s="123">
        <v>1</v>
      </c>
      <c r="G67" s="123"/>
      <c r="H67" s="123"/>
      <c r="I67" s="123"/>
      <c r="J67" s="123"/>
      <c r="K67" s="123"/>
      <c r="L67" s="123"/>
      <c r="M67" s="87"/>
    </row>
    <row r="68" spans="2:13" ht="13.15" outlineLevel="2">
      <c r="B68" s="107" t="s">
        <v>215</v>
      </c>
      <c r="C68" s="107">
        <v>4</v>
      </c>
      <c r="D68" s="44" t="s">
        <v>193</v>
      </c>
      <c r="E68" s="61"/>
      <c r="F68" s="123">
        <v>1</v>
      </c>
      <c r="G68" s="123"/>
      <c r="H68" s="123">
        <v>1</v>
      </c>
      <c r="I68" s="123"/>
      <c r="J68" s="123">
        <v>1</v>
      </c>
      <c r="K68" s="123"/>
      <c r="L68" s="123"/>
      <c r="M68" s="87"/>
    </row>
    <row r="69" spans="2:13" ht="13.15" outlineLevel="2">
      <c r="B69" s="107" t="s">
        <v>216</v>
      </c>
      <c r="C69" s="107">
        <v>5</v>
      </c>
      <c r="D69" s="44" t="s">
        <v>195</v>
      </c>
      <c r="E69" s="61"/>
      <c r="F69" s="123">
        <v>1</v>
      </c>
      <c r="G69" s="123"/>
      <c r="H69" s="123">
        <v>1</v>
      </c>
      <c r="I69" s="123"/>
      <c r="J69" s="123"/>
      <c r="K69" s="123"/>
      <c r="L69" s="123"/>
      <c r="M69" s="87"/>
    </row>
    <row r="70" spans="2:13" ht="13.15" outlineLevel="2">
      <c r="B70" s="107" t="s">
        <v>217</v>
      </c>
      <c r="C70" s="107">
        <v>6</v>
      </c>
      <c r="D70" s="44" t="s">
        <v>169</v>
      </c>
      <c r="E70" s="61"/>
      <c r="F70" s="123">
        <v>1</v>
      </c>
      <c r="G70" s="123"/>
      <c r="H70" s="123"/>
      <c r="I70" s="123"/>
      <c r="J70" s="123">
        <v>1</v>
      </c>
      <c r="K70" s="123"/>
      <c r="L70" s="123">
        <v>1</v>
      </c>
      <c r="M70" s="87"/>
    </row>
    <row r="71" spans="2:13" ht="13.15" outlineLevel="2">
      <c r="B71" s="107" t="s">
        <v>218</v>
      </c>
      <c r="C71" s="107">
        <v>7</v>
      </c>
      <c r="D71" s="44" t="s">
        <v>172</v>
      </c>
      <c r="E71" s="61"/>
      <c r="F71" s="123">
        <v>1</v>
      </c>
      <c r="G71" s="123"/>
      <c r="H71" s="123">
        <v>1</v>
      </c>
      <c r="I71" s="123"/>
      <c r="J71" s="123">
        <v>1</v>
      </c>
      <c r="K71" s="123"/>
      <c r="L71" s="123"/>
      <c r="M71" s="87"/>
    </row>
    <row r="72" spans="2:13" ht="13.15" outlineLevel="2">
      <c r="B72" s="107" t="s">
        <v>219</v>
      </c>
      <c r="C72" s="107">
        <v>8</v>
      </c>
      <c r="D72" s="44" t="s">
        <v>174</v>
      </c>
      <c r="E72" s="61"/>
      <c r="F72" s="123">
        <v>1</v>
      </c>
      <c r="G72" s="123"/>
      <c r="H72" s="123">
        <v>1</v>
      </c>
      <c r="I72" s="123"/>
      <c r="J72" s="123">
        <v>1</v>
      </c>
      <c r="K72" s="123"/>
      <c r="L72" s="123"/>
      <c r="M72" s="87"/>
    </row>
    <row r="73" spans="2:13" ht="13.15" outlineLevel="2">
      <c r="B73" s="107" t="s">
        <v>220</v>
      </c>
      <c r="C73" s="107">
        <v>9</v>
      </c>
      <c r="D73" s="44" t="s">
        <v>176</v>
      </c>
      <c r="E73" s="61"/>
      <c r="F73" s="123">
        <v>1</v>
      </c>
      <c r="G73" s="123"/>
      <c r="H73" s="123"/>
      <c r="I73" s="123"/>
      <c r="J73" s="123"/>
      <c r="K73" s="123"/>
      <c r="L73" s="123">
        <v>1</v>
      </c>
      <c r="M73" s="87"/>
    </row>
    <row r="74" spans="2:13" ht="3" customHeight="1" outlineLevel="1">
      <c r="B74" s="110"/>
      <c r="C74" s="110"/>
      <c r="D74" s="44"/>
      <c r="E74" s="61"/>
      <c r="F74" s="86"/>
      <c r="G74" s="87"/>
      <c r="H74" s="86"/>
      <c r="I74" s="87"/>
      <c r="J74" s="86"/>
      <c r="K74" s="87"/>
      <c r="L74" s="86"/>
      <c r="M74" s="87"/>
    </row>
    <row r="75" spans="2:13" ht="13.15" outlineLevel="1">
      <c r="B75" s="103">
        <v>9</v>
      </c>
      <c r="C75" s="103">
        <v>6</v>
      </c>
      <c r="D75" s="104" t="s">
        <v>221</v>
      </c>
      <c r="E75" s="84"/>
      <c r="F75" s="85"/>
      <c r="G75" s="85"/>
      <c r="H75" s="85"/>
      <c r="I75" s="85"/>
      <c r="J75" s="85"/>
      <c r="K75" s="85"/>
      <c r="L75" s="85"/>
      <c r="M75" s="85"/>
    </row>
    <row r="76" spans="2:13" ht="13.15" outlineLevel="2">
      <c r="B76" s="107" t="s">
        <v>222</v>
      </c>
      <c r="C76" s="107">
        <v>1</v>
      </c>
      <c r="D76" s="44" t="s">
        <v>157</v>
      </c>
      <c r="E76" s="61"/>
      <c r="F76" s="123">
        <v>1</v>
      </c>
      <c r="G76" s="123"/>
      <c r="H76" s="123">
        <v>1</v>
      </c>
      <c r="I76" s="123"/>
      <c r="J76" s="123">
        <v>1</v>
      </c>
      <c r="K76" s="123"/>
      <c r="L76" s="123"/>
      <c r="M76" s="87"/>
    </row>
    <row r="77" spans="2:13" ht="13.15" outlineLevel="2">
      <c r="B77" s="107" t="s">
        <v>223</v>
      </c>
      <c r="C77" s="107">
        <v>2</v>
      </c>
      <c r="D77" s="44" t="s">
        <v>159</v>
      </c>
      <c r="E77" s="61"/>
      <c r="F77" s="123">
        <v>1</v>
      </c>
      <c r="G77" s="123"/>
      <c r="H77" s="123">
        <v>1</v>
      </c>
      <c r="I77" s="123"/>
      <c r="J77" s="123"/>
      <c r="K77" s="123"/>
      <c r="L77" s="123"/>
      <c r="M77" s="87"/>
    </row>
    <row r="78" spans="2:13" ht="13.15" outlineLevel="2">
      <c r="B78" s="107" t="s">
        <v>224</v>
      </c>
      <c r="C78" s="107">
        <v>3</v>
      </c>
      <c r="D78" s="44" t="s">
        <v>161</v>
      </c>
      <c r="E78" s="61"/>
      <c r="F78" s="123">
        <v>1</v>
      </c>
      <c r="G78" s="123"/>
      <c r="H78" s="123"/>
      <c r="I78" s="123"/>
      <c r="J78" s="123"/>
      <c r="K78" s="123"/>
      <c r="L78" s="123"/>
      <c r="M78" s="87"/>
    </row>
    <row r="79" spans="2:13" ht="13.15" outlineLevel="2">
      <c r="B79" s="107" t="s">
        <v>225</v>
      </c>
      <c r="C79" s="107">
        <v>4</v>
      </c>
      <c r="D79" s="44" t="s">
        <v>163</v>
      </c>
      <c r="E79" s="61"/>
      <c r="F79" s="123">
        <v>1</v>
      </c>
      <c r="G79" s="123"/>
      <c r="H79" s="123">
        <v>1</v>
      </c>
      <c r="I79" s="123"/>
      <c r="J79" s="123">
        <v>1</v>
      </c>
      <c r="K79" s="123"/>
      <c r="L79" s="123"/>
      <c r="M79" s="87"/>
    </row>
    <row r="80" spans="2:13" s="97" customFormat="1" ht="13.15" outlineLevel="2">
      <c r="B80" s="107" t="s">
        <v>226</v>
      </c>
      <c r="C80" s="108">
        <v>5</v>
      </c>
      <c r="D80" s="109" t="s">
        <v>165</v>
      </c>
      <c r="E80" s="94"/>
      <c r="F80" s="123">
        <v>1</v>
      </c>
      <c r="G80" s="123"/>
      <c r="H80" s="123">
        <v>1</v>
      </c>
      <c r="I80" s="123"/>
      <c r="J80" s="123"/>
      <c r="K80" s="123"/>
      <c r="L80" s="123"/>
      <c r="M80" s="96"/>
    </row>
    <row r="81" spans="1:13" s="97" customFormat="1" ht="13.15" outlineLevel="2">
      <c r="A81" s="94"/>
      <c r="B81" s="107" t="s">
        <v>227</v>
      </c>
      <c r="C81" s="108">
        <v>6</v>
      </c>
      <c r="D81" s="109" t="s">
        <v>167</v>
      </c>
      <c r="E81" s="94"/>
      <c r="F81" s="123">
        <v>1</v>
      </c>
      <c r="G81" s="123"/>
      <c r="H81" s="123">
        <v>1</v>
      </c>
      <c r="I81" s="123"/>
      <c r="J81" s="123"/>
      <c r="K81" s="123"/>
      <c r="L81" s="123"/>
      <c r="M81" s="96"/>
    </row>
    <row r="82" spans="1:13" ht="13.15" outlineLevel="2">
      <c r="A82" s="61"/>
      <c r="B82" s="107" t="s">
        <v>228</v>
      </c>
      <c r="C82" s="107">
        <v>7</v>
      </c>
      <c r="D82" s="44" t="s">
        <v>169</v>
      </c>
      <c r="E82" s="61"/>
      <c r="F82" s="123">
        <v>1</v>
      </c>
      <c r="G82" s="123"/>
      <c r="H82" s="123"/>
      <c r="I82" s="123"/>
      <c r="J82" s="123">
        <v>1</v>
      </c>
      <c r="K82" s="123"/>
      <c r="L82" s="123"/>
      <c r="M82" s="87"/>
    </row>
    <row r="83" spans="1:13" ht="13.15" outlineLevel="2">
      <c r="A83" s="61"/>
      <c r="B83" s="107" t="s">
        <v>229</v>
      </c>
      <c r="C83" s="107">
        <v>8</v>
      </c>
      <c r="D83" s="44" t="s">
        <v>172</v>
      </c>
      <c r="E83" s="61"/>
      <c r="F83" s="123">
        <v>1</v>
      </c>
      <c r="G83" s="123"/>
      <c r="H83" s="123">
        <v>1</v>
      </c>
      <c r="I83" s="123"/>
      <c r="J83" s="123"/>
      <c r="K83" s="123"/>
      <c r="L83" s="123"/>
      <c r="M83" s="87"/>
    </row>
    <row r="84" spans="1:13" ht="13.15" outlineLevel="2">
      <c r="A84" s="61"/>
      <c r="B84" s="107" t="s">
        <v>230</v>
      </c>
      <c r="C84" s="107">
        <v>9</v>
      </c>
      <c r="D84" s="44" t="s">
        <v>174</v>
      </c>
      <c r="E84" s="61"/>
      <c r="F84" s="123">
        <v>1</v>
      </c>
      <c r="G84" s="123"/>
      <c r="H84" s="123">
        <v>1</v>
      </c>
      <c r="I84" s="123"/>
      <c r="J84" s="123">
        <v>1</v>
      </c>
      <c r="K84" s="123"/>
      <c r="L84" s="123"/>
      <c r="M84" s="87"/>
    </row>
    <row r="85" spans="1:13" ht="13.15" outlineLevel="2">
      <c r="A85" s="61"/>
      <c r="B85" s="107" t="s">
        <v>231</v>
      </c>
      <c r="C85" s="107">
        <v>10</v>
      </c>
      <c r="D85" s="44" t="s">
        <v>176</v>
      </c>
      <c r="E85" s="61"/>
      <c r="F85" s="123">
        <v>1</v>
      </c>
      <c r="G85" s="123"/>
      <c r="H85" s="123"/>
      <c r="I85" s="123"/>
      <c r="J85" s="123"/>
      <c r="K85" s="123"/>
      <c r="L85" s="123"/>
      <c r="M85" s="87"/>
    </row>
    <row r="86" spans="1:13" ht="3" customHeight="1" outlineLevel="1">
      <c r="A86" s="61"/>
      <c r="B86" s="110"/>
      <c r="C86" s="110"/>
      <c r="D86" s="44"/>
      <c r="E86" s="61"/>
      <c r="F86" s="86"/>
      <c r="G86" s="87"/>
      <c r="H86" s="86"/>
      <c r="I86" s="87"/>
      <c r="J86" s="86"/>
      <c r="K86" s="87"/>
      <c r="L86" s="86"/>
      <c r="M86" s="87"/>
    </row>
    <row r="87" spans="1:13" ht="13.15" outlineLevel="1">
      <c r="A87" s="61"/>
      <c r="B87" s="103">
        <v>10</v>
      </c>
      <c r="C87" s="103">
        <v>7</v>
      </c>
      <c r="D87" s="104" t="s">
        <v>232</v>
      </c>
      <c r="E87" s="84"/>
      <c r="F87" s="85"/>
      <c r="G87" s="85"/>
      <c r="H87" s="85"/>
      <c r="I87" s="85"/>
      <c r="J87" s="85"/>
      <c r="K87" s="85"/>
      <c r="L87" s="85"/>
      <c r="M87" s="85"/>
    </row>
    <row r="88" spans="1:13" s="97" customFormat="1" ht="13.15" outlineLevel="2">
      <c r="A88" s="94" t="str">
        <f>"T06S - "&amp;D88</f>
        <v>T06S - Foundation and Grade Slab</v>
      </c>
      <c r="B88" s="108" t="s">
        <v>233</v>
      </c>
      <c r="C88" s="108">
        <v>1</v>
      </c>
      <c r="D88" s="109" t="s">
        <v>157</v>
      </c>
      <c r="E88" s="94"/>
      <c r="F88" s="123">
        <v>1</v>
      </c>
      <c r="G88" s="123"/>
      <c r="H88" s="123">
        <v>1</v>
      </c>
      <c r="I88" s="123"/>
      <c r="J88" s="123">
        <v>1</v>
      </c>
      <c r="K88" s="123"/>
      <c r="L88" s="123"/>
      <c r="M88" s="96"/>
    </row>
    <row r="89" spans="1:13" ht="13.15" outlineLevel="2">
      <c r="A89" s="94" t="str">
        <f t="shared" ref="A89:A96" si="0">"T06S - "&amp;D89</f>
        <v>T06S - Parking Level-Sub grade</v>
      </c>
      <c r="B89" s="108" t="s">
        <v>234</v>
      </c>
      <c r="C89" s="107">
        <v>2</v>
      </c>
      <c r="D89" s="44" t="s">
        <v>159</v>
      </c>
      <c r="E89" s="61"/>
      <c r="F89" s="123"/>
      <c r="G89" s="123"/>
      <c r="H89" s="123">
        <v>1</v>
      </c>
      <c r="I89" s="123"/>
      <c r="J89" s="123"/>
      <c r="K89" s="123"/>
      <c r="L89" s="123"/>
      <c r="M89" s="87"/>
    </row>
    <row r="90" spans="1:13" ht="13.15" outlineLevel="2">
      <c r="A90" s="94" t="str">
        <f t="shared" si="0"/>
        <v>T06S - Building Envelope and Common Areas [Basement]</v>
      </c>
      <c r="B90" s="108" t="s">
        <v>235</v>
      </c>
      <c r="C90" s="107">
        <v>3</v>
      </c>
      <c r="D90" s="44" t="s">
        <v>161</v>
      </c>
      <c r="E90" s="61"/>
      <c r="F90" s="123">
        <v>1</v>
      </c>
      <c r="G90" s="123"/>
      <c r="H90" s="123"/>
      <c r="I90" s="123"/>
      <c r="J90" s="123"/>
      <c r="K90" s="123"/>
      <c r="L90" s="123"/>
      <c r="M90" s="87"/>
    </row>
    <row r="91" spans="1:13" s="97" customFormat="1" ht="13.15" outlineLevel="2">
      <c r="A91" s="94" t="str">
        <f t="shared" si="0"/>
        <v>T06S - Habitable Level 01 - 02</v>
      </c>
      <c r="B91" s="108" t="s">
        <v>236</v>
      </c>
      <c r="C91" s="108">
        <v>4</v>
      </c>
      <c r="D91" s="109" t="s">
        <v>193</v>
      </c>
      <c r="E91" s="94"/>
      <c r="F91" s="123">
        <v>1</v>
      </c>
      <c r="G91" s="123"/>
      <c r="H91" s="123">
        <v>1</v>
      </c>
      <c r="I91" s="123"/>
      <c r="J91" s="123">
        <v>1</v>
      </c>
      <c r="K91" s="123"/>
      <c r="L91" s="123"/>
      <c r="M91" s="96"/>
    </row>
    <row r="92" spans="1:13" ht="13.15" outlineLevel="2">
      <c r="A92" s="94" t="str">
        <f t="shared" si="0"/>
        <v>T06S - Habitable Level - 03 - 06</v>
      </c>
      <c r="B92" s="108" t="s">
        <v>237</v>
      </c>
      <c r="C92" s="107">
        <v>5</v>
      </c>
      <c r="D92" s="44" t="s">
        <v>195</v>
      </c>
      <c r="E92" s="61"/>
      <c r="F92" s="123">
        <v>1</v>
      </c>
      <c r="G92" s="123"/>
      <c r="H92" s="123">
        <v>1</v>
      </c>
      <c r="I92" s="123"/>
      <c r="J92" s="123"/>
      <c r="K92" s="123"/>
      <c r="L92" s="123"/>
      <c r="M92" s="87"/>
    </row>
    <row r="93" spans="1:13" ht="13.15" outlineLevel="2">
      <c r="A93" s="94" t="str">
        <f t="shared" si="0"/>
        <v>T06S - Building Envelope and Common Areas [Typical Tower Levels]</v>
      </c>
      <c r="B93" s="108" t="s">
        <v>238</v>
      </c>
      <c r="C93" s="107">
        <v>6</v>
      </c>
      <c r="D93" s="44" t="s">
        <v>169</v>
      </c>
      <c r="E93" s="61"/>
      <c r="F93" s="123">
        <v>1</v>
      </c>
      <c r="G93" s="123"/>
      <c r="H93" s="123"/>
      <c r="I93" s="123"/>
      <c r="J93" s="123">
        <v>1</v>
      </c>
      <c r="K93" s="123"/>
      <c r="L93" s="123">
        <v>1</v>
      </c>
      <c r="M93" s="87"/>
    </row>
    <row r="94" spans="1:13" s="97" customFormat="1" ht="13.15" outlineLevel="2">
      <c r="A94" s="94" t="str">
        <f t="shared" si="0"/>
        <v>T06S - Penthouse Levels</v>
      </c>
      <c r="B94" s="108" t="s">
        <v>239</v>
      </c>
      <c r="C94" s="107">
        <v>7</v>
      </c>
      <c r="D94" s="109" t="s">
        <v>172</v>
      </c>
      <c r="E94" s="94"/>
      <c r="F94" s="123">
        <v>1</v>
      </c>
      <c r="G94" s="123"/>
      <c r="H94" s="123">
        <v>1</v>
      </c>
      <c r="I94" s="123"/>
      <c r="J94" s="123">
        <v>1</v>
      </c>
      <c r="K94" s="123"/>
      <c r="L94" s="123"/>
      <c r="M94" s="96"/>
    </row>
    <row r="95" spans="1:13" s="97" customFormat="1" ht="13.15" outlineLevel="2">
      <c r="A95" s="94" t="str">
        <f t="shared" si="0"/>
        <v>T06S - Terrace Level</v>
      </c>
      <c r="B95" s="108" t="s">
        <v>240</v>
      </c>
      <c r="C95" s="107">
        <v>8</v>
      </c>
      <c r="D95" s="109" t="s">
        <v>174</v>
      </c>
      <c r="E95" s="94"/>
      <c r="F95" s="123">
        <v>1</v>
      </c>
      <c r="G95" s="123"/>
      <c r="H95" s="123">
        <v>1</v>
      </c>
      <c r="I95" s="123"/>
      <c r="J95" s="123">
        <v>1</v>
      </c>
      <c r="K95" s="123"/>
      <c r="L95" s="123"/>
      <c r="M95" s="96"/>
    </row>
    <row r="96" spans="1:13" ht="13.15" outlineLevel="2">
      <c r="A96" s="94" t="str">
        <f t="shared" si="0"/>
        <v>T06S - Building Envelope and Common Areas [Penthouse Levels And Terrace Level]</v>
      </c>
      <c r="B96" s="108" t="s">
        <v>241</v>
      </c>
      <c r="C96" s="107">
        <v>9</v>
      </c>
      <c r="D96" s="44" t="s">
        <v>176</v>
      </c>
      <c r="E96" s="61"/>
      <c r="F96" s="123">
        <v>1</v>
      </c>
      <c r="G96" s="123"/>
      <c r="H96" s="123"/>
      <c r="I96" s="123"/>
      <c r="J96" s="123"/>
      <c r="K96" s="123"/>
      <c r="L96" s="123">
        <v>1</v>
      </c>
      <c r="M96" s="87"/>
    </row>
    <row r="97" spans="2:13" ht="3" customHeight="1" outlineLevel="1">
      <c r="C97" s="105"/>
      <c r="D97" s="106"/>
    </row>
    <row r="98" spans="2:13" ht="13.15" outlineLevel="1">
      <c r="B98" s="103">
        <v>11</v>
      </c>
      <c r="C98" s="103">
        <v>8</v>
      </c>
      <c r="D98" s="104" t="s">
        <v>242</v>
      </c>
      <c r="E98" s="84"/>
      <c r="F98" s="85"/>
      <c r="G98" s="85"/>
      <c r="H98" s="85"/>
      <c r="I98" s="85"/>
      <c r="J98" s="85"/>
      <c r="K98" s="85"/>
      <c r="L98" s="85"/>
      <c r="M98" s="85"/>
    </row>
    <row r="99" spans="2:13" ht="13.15" outlineLevel="2">
      <c r="B99" s="107" t="s">
        <v>243</v>
      </c>
      <c r="C99" s="107">
        <v>1</v>
      </c>
      <c r="D99" s="44" t="s">
        <v>157</v>
      </c>
      <c r="E99" s="61"/>
      <c r="F99" s="123">
        <v>1</v>
      </c>
      <c r="G99" s="87"/>
      <c r="H99" s="123">
        <v>1</v>
      </c>
      <c r="I99" s="87"/>
      <c r="J99" s="123">
        <v>1</v>
      </c>
      <c r="K99" s="123"/>
      <c r="L99" s="123"/>
      <c r="M99" s="87"/>
    </row>
    <row r="100" spans="2:13" ht="13.15" outlineLevel="2">
      <c r="B100" s="107" t="s">
        <v>244</v>
      </c>
      <c r="C100" s="107">
        <v>2</v>
      </c>
      <c r="D100" s="44" t="s">
        <v>159</v>
      </c>
      <c r="E100" s="61"/>
      <c r="F100" s="123">
        <v>1</v>
      </c>
      <c r="G100" s="87"/>
      <c r="H100" s="123">
        <v>1</v>
      </c>
      <c r="I100" s="87"/>
      <c r="J100" s="123"/>
      <c r="K100" s="123"/>
      <c r="L100" s="123"/>
      <c r="M100" s="87"/>
    </row>
    <row r="101" spans="2:13" ht="13.15" outlineLevel="2">
      <c r="B101" s="107" t="s">
        <v>245</v>
      </c>
      <c r="C101" s="107">
        <v>3</v>
      </c>
      <c r="D101" s="44" t="s">
        <v>161</v>
      </c>
      <c r="E101" s="61"/>
      <c r="F101" s="123">
        <v>1</v>
      </c>
      <c r="G101" s="87"/>
      <c r="H101" s="86"/>
      <c r="I101" s="87"/>
      <c r="J101" s="123"/>
      <c r="K101" s="123"/>
      <c r="L101" s="123"/>
      <c r="M101" s="87"/>
    </row>
    <row r="102" spans="2:13" s="97" customFormat="1" ht="13.15" outlineLevel="2">
      <c r="B102" s="107" t="s">
        <v>246</v>
      </c>
      <c r="C102" s="108">
        <v>4</v>
      </c>
      <c r="D102" s="109" t="s">
        <v>163</v>
      </c>
      <c r="E102" s="94"/>
      <c r="F102" s="123">
        <v>1</v>
      </c>
      <c r="G102" s="87"/>
      <c r="H102" s="123">
        <v>1</v>
      </c>
      <c r="I102" s="87"/>
      <c r="J102" s="123">
        <v>1</v>
      </c>
      <c r="K102" s="123"/>
      <c r="L102" s="123"/>
      <c r="M102" s="96"/>
    </row>
    <row r="103" spans="2:13" s="97" customFormat="1" ht="13.15" outlineLevel="2">
      <c r="B103" s="107" t="s">
        <v>247</v>
      </c>
      <c r="C103" s="108">
        <v>5</v>
      </c>
      <c r="D103" s="109" t="s">
        <v>165</v>
      </c>
      <c r="E103" s="94"/>
      <c r="F103" s="123">
        <v>1</v>
      </c>
      <c r="G103" s="87"/>
      <c r="H103" s="123">
        <v>1</v>
      </c>
      <c r="I103" s="87"/>
      <c r="J103" s="123"/>
      <c r="K103" s="123"/>
      <c r="L103" s="123"/>
      <c r="M103" s="96"/>
    </row>
    <row r="104" spans="2:13" s="97" customFormat="1" ht="13.15" outlineLevel="2">
      <c r="B104" s="107" t="s">
        <v>248</v>
      </c>
      <c r="C104" s="108">
        <v>6</v>
      </c>
      <c r="D104" s="109" t="s">
        <v>167</v>
      </c>
      <c r="E104" s="94"/>
      <c r="F104" s="123">
        <v>1</v>
      </c>
      <c r="G104" s="87"/>
      <c r="H104" s="123">
        <v>1</v>
      </c>
      <c r="I104" s="87"/>
      <c r="J104" s="123"/>
      <c r="K104" s="123"/>
      <c r="L104" s="123"/>
      <c r="M104" s="96"/>
    </row>
    <row r="105" spans="2:13" s="97" customFormat="1" ht="13.15" outlineLevel="2">
      <c r="B105" s="107" t="s">
        <v>249</v>
      </c>
      <c r="C105" s="108">
        <v>7</v>
      </c>
      <c r="D105" s="109" t="s">
        <v>169</v>
      </c>
      <c r="E105" s="94"/>
      <c r="F105" s="123">
        <v>1</v>
      </c>
      <c r="G105" s="96"/>
      <c r="H105" s="95"/>
      <c r="I105" s="96"/>
      <c r="J105" s="123">
        <v>1</v>
      </c>
      <c r="K105" s="123"/>
      <c r="L105" s="123"/>
      <c r="M105" s="96"/>
    </row>
    <row r="106" spans="2:13" ht="13.15" outlineLevel="2">
      <c r="B106" s="107" t="s">
        <v>250</v>
      </c>
      <c r="C106" s="107">
        <v>8</v>
      </c>
      <c r="D106" s="44" t="s">
        <v>172</v>
      </c>
      <c r="E106" s="61"/>
      <c r="F106" s="123">
        <v>1</v>
      </c>
      <c r="G106" s="87"/>
      <c r="H106" s="123">
        <v>1</v>
      </c>
      <c r="I106" s="87"/>
      <c r="J106" s="123">
        <v>1</v>
      </c>
      <c r="K106" s="123"/>
      <c r="L106" s="123"/>
      <c r="M106" s="87"/>
    </row>
    <row r="107" spans="2:13" ht="13.15" outlineLevel="2">
      <c r="B107" s="107" t="s">
        <v>251</v>
      </c>
      <c r="C107" s="107">
        <v>9</v>
      </c>
      <c r="D107" s="44" t="s">
        <v>174</v>
      </c>
      <c r="E107" s="61"/>
      <c r="F107" s="123">
        <v>1</v>
      </c>
      <c r="G107" s="96"/>
      <c r="H107" s="123">
        <v>1</v>
      </c>
      <c r="I107" s="96"/>
      <c r="J107" s="123">
        <v>1</v>
      </c>
      <c r="K107" s="123"/>
      <c r="L107" s="123"/>
      <c r="M107" s="87"/>
    </row>
    <row r="108" spans="2:13" ht="13.15" outlineLevel="2">
      <c r="B108" s="107" t="s">
        <v>252</v>
      </c>
      <c r="C108" s="107">
        <v>10</v>
      </c>
      <c r="D108" s="44" t="s">
        <v>176</v>
      </c>
      <c r="E108" s="61"/>
      <c r="F108" s="123">
        <v>1</v>
      </c>
      <c r="G108" s="96"/>
      <c r="H108" s="95"/>
      <c r="I108" s="96"/>
      <c r="J108" s="123"/>
      <c r="K108" s="123"/>
      <c r="L108" s="123"/>
      <c r="M108" s="87"/>
    </row>
    <row r="109" spans="2:13" ht="3" customHeight="1" outlineLevel="1">
      <c r="B109" s="110"/>
      <c r="C109" s="110"/>
      <c r="D109" s="44"/>
      <c r="E109" s="61"/>
      <c r="F109" s="86"/>
      <c r="G109" s="87"/>
      <c r="H109" s="86"/>
      <c r="I109" s="87"/>
      <c r="J109" s="86"/>
      <c r="K109" s="87"/>
      <c r="L109" s="86"/>
      <c r="M109" s="87"/>
    </row>
    <row r="110" spans="2:13" ht="13.15" outlineLevel="1">
      <c r="B110" s="103">
        <v>2</v>
      </c>
      <c r="C110" s="103">
        <v>9</v>
      </c>
      <c r="D110" s="104" t="s">
        <v>253</v>
      </c>
      <c r="E110" s="84"/>
      <c r="F110" s="85"/>
      <c r="G110" s="85"/>
      <c r="H110" s="85"/>
      <c r="I110" s="85"/>
      <c r="J110" s="85"/>
      <c r="K110" s="85"/>
      <c r="L110" s="85"/>
      <c r="M110" s="85"/>
    </row>
    <row r="111" spans="2:13" ht="13.15" outlineLevel="2">
      <c r="B111" s="107" t="s">
        <v>254</v>
      </c>
      <c r="C111" s="107">
        <v>1</v>
      </c>
      <c r="D111" s="44" t="s">
        <v>255</v>
      </c>
      <c r="E111" s="61"/>
      <c r="F111" s="86"/>
      <c r="G111" s="87"/>
      <c r="H111" s="123">
        <v>1</v>
      </c>
      <c r="I111" s="87"/>
      <c r="J111" s="86"/>
      <c r="K111" s="87"/>
      <c r="L111" s="86"/>
      <c r="M111" s="87"/>
    </row>
    <row r="112" spans="2:13" ht="13.15" outlineLevel="2">
      <c r="B112" s="107" t="s">
        <v>256</v>
      </c>
      <c r="C112" s="107">
        <v>2</v>
      </c>
      <c r="D112" s="44" t="s">
        <v>257</v>
      </c>
      <c r="E112" s="61"/>
      <c r="F112" s="123">
        <v>1</v>
      </c>
      <c r="G112" s="87"/>
      <c r="H112" s="86"/>
      <c r="I112" s="87"/>
      <c r="J112" s="123">
        <v>1</v>
      </c>
      <c r="K112" s="87"/>
      <c r="L112" s="86"/>
      <c r="M112" s="87"/>
    </row>
    <row r="113" spans="2:13" s="97" customFormat="1" ht="13.15" outlineLevel="2">
      <c r="B113" s="107" t="s">
        <v>258</v>
      </c>
      <c r="C113" s="108">
        <v>3</v>
      </c>
      <c r="D113" s="109" t="s">
        <v>259</v>
      </c>
      <c r="E113" s="94"/>
      <c r="F113" s="123">
        <v>1</v>
      </c>
      <c r="G113" s="96"/>
      <c r="H113" s="95"/>
      <c r="I113" s="96"/>
      <c r="J113" s="123">
        <v>1</v>
      </c>
      <c r="K113" s="96"/>
      <c r="L113" s="95"/>
      <c r="M113" s="96"/>
    </row>
    <row r="114" spans="2:13" ht="13.15" outlineLevel="2">
      <c r="B114" s="107" t="s">
        <v>260</v>
      </c>
      <c r="C114" s="107">
        <v>4</v>
      </c>
      <c r="D114" s="44" t="s">
        <v>261</v>
      </c>
      <c r="E114" s="61"/>
      <c r="F114" s="123">
        <v>-1</v>
      </c>
      <c r="G114" s="87"/>
      <c r="H114" s="86"/>
      <c r="I114" s="87"/>
      <c r="J114" s="123">
        <v>1</v>
      </c>
      <c r="K114" s="87"/>
      <c r="L114" s="86"/>
      <c r="M114" s="87"/>
    </row>
    <row r="115" spans="2:13" ht="13.15" outlineLevel="2">
      <c r="B115" s="111"/>
      <c r="C115" s="111"/>
      <c r="D115" s="44"/>
      <c r="E115" s="61"/>
      <c r="F115" s="86"/>
      <c r="G115" s="87"/>
      <c r="H115" s="86"/>
      <c r="I115" s="87"/>
      <c r="J115" s="86"/>
      <c r="K115" s="87"/>
      <c r="L115" s="86"/>
      <c r="M115" s="87"/>
    </row>
    <row r="116" spans="2:13" ht="13.15" outlineLevel="2">
      <c r="B116" s="111">
        <v>2.1</v>
      </c>
      <c r="C116" s="111">
        <v>2.1</v>
      </c>
      <c r="D116" s="112" t="s">
        <v>262</v>
      </c>
      <c r="E116" s="61"/>
      <c r="F116" s="98"/>
      <c r="G116" s="98"/>
      <c r="H116" s="98"/>
      <c r="I116" s="98"/>
      <c r="J116" s="98"/>
      <c r="K116" s="98"/>
      <c r="L116" s="98"/>
      <c r="M116" s="98"/>
    </row>
    <row r="117" spans="2:13" ht="13.15" outlineLevel="3">
      <c r="B117" s="107" t="s">
        <v>263</v>
      </c>
      <c r="C117" s="107">
        <v>1</v>
      </c>
      <c r="D117" s="44" t="s">
        <v>257</v>
      </c>
      <c r="E117" s="61"/>
      <c r="F117" s="88"/>
      <c r="G117" s="87"/>
      <c r="H117" s="88">
        <v>1</v>
      </c>
      <c r="I117" s="87"/>
      <c r="J117" s="88"/>
      <c r="K117" s="87"/>
      <c r="L117" s="88"/>
      <c r="M117" s="87"/>
    </row>
    <row r="118" spans="2:13" ht="13.15" outlineLevel="3">
      <c r="B118" s="107" t="s">
        <v>264</v>
      </c>
      <c r="C118" s="107">
        <v>2</v>
      </c>
      <c r="D118" s="44" t="s">
        <v>259</v>
      </c>
      <c r="E118" s="61"/>
      <c r="F118" s="88"/>
      <c r="G118" s="87"/>
      <c r="H118" s="88">
        <v>1</v>
      </c>
      <c r="I118" s="87"/>
      <c r="J118" s="88"/>
      <c r="K118" s="87"/>
      <c r="L118" s="88"/>
      <c r="M118" s="87"/>
    </row>
    <row r="119" spans="2:13" ht="13.15" outlineLevel="2">
      <c r="B119" s="111"/>
      <c r="C119" s="111"/>
      <c r="D119" s="44"/>
      <c r="E119" s="61"/>
      <c r="F119" s="86"/>
      <c r="G119" s="87"/>
      <c r="H119" s="86"/>
      <c r="I119" s="87"/>
      <c r="J119" s="86"/>
      <c r="K119" s="87"/>
      <c r="L119" s="86"/>
      <c r="M119" s="87"/>
    </row>
    <row r="120" spans="2:13" ht="13.15" outlineLevel="2">
      <c r="B120" s="111">
        <v>2.2000000000000002</v>
      </c>
      <c r="C120" s="111">
        <v>2.2000000000000002</v>
      </c>
      <c r="D120" s="112" t="s">
        <v>265</v>
      </c>
      <c r="E120" s="61"/>
      <c r="F120" s="98"/>
      <c r="G120" s="98"/>
      <c r="H120" s="98"/>
      <c r="I120" s="98"/>
      <c r="J120" s="98"/>
      <c r="K120" s="98"/>
      <c r="L120" s="98"/>
      <c r="M120" s="98"/>
    </row>
    <row r="121" spans="2:13" ht="13.15" outlineLevel="3">
      <c r="B121" s="107" t="s">
        <v>263</v>
      </c>
      <c r="C121" s="107">
        <v>1</v>
      </c>
      <c r="D121" s="44" t="s">
        <v>257</v>
      </c>
      <c r="E121" s="61"/>
      <c r="F121" s="88"/>
      <c r="G121" s="87"/>
      <c r="H121" s="88">
        <v>1</v>
      </c>
      <c r="I121" s="87"/>
      <c r="J121" s="88"/>
      <c r="K121" s="87"/>
      <c r="L121" s="88"/>
      <c r="M121" s="87"/>
    </row>
    <row r="122" spans="2:13" ht="13.15" outlineLevel="3">
      <c r="B122" s="107" t="s">
        <v>264</v>
      </c>
      <c r="C122" s="107">
        <v>2</v>
      </c>
      <c r="D122" s="44" t="s">
        <v>259</v>
      </c>
      <c r="E122" s="61"/>
      <c r="F122" s="88"/>
      <c r="G122" s="87"/>
      <c r="H122" s="88">
        <v>1</v>
      </c>
      <c r="I122" s="87"/>
      <c r="J122" s="88"/>
      <c r="K122" s="87"/>
      <c r="L122" s="88"/>
      <c r="M122" s="87"/>
    </row>
    <row r="123" spans="2:13" ht="13.15" outlineLevel="2">
      <c r="B123" s="111"/>
      <c r="C123" s="111"/>
      <c r="D123" s="44"/>
      <c r="E123" s="61"/>
      <c r="F123" s="86"/>
      <c r="G123" s="87"/>
      <c r="H123" s="86"/>
      <c r="I123" s="87"/>
      <c r="J123" s="86"/>
      <c r="K123" s="87"/>
      <c r="L123" s="86"/>
      <c r="M123" s="87"/>
    </row>
    <row r="124" spans="2:13" ht="13.15" outlineLevel="2">
      <c r="B124" s="111">
        <v>2.2999999999999998</v>
      </c>
      <c r="C124" s="111">
        <v>2.2999999999999998</v>
      </c>
      <c r="D124" s="112" t="s">
        <v>266</v>
      </c>
      <c r="E124" s="61"/>
      <c r="F124" s="98"/>
      <c r="G124" s="98"/>
      <c r="H124" s="98"/>
      <c r="I124" s="98"/>
      <c r="J124" s="98"/>
      <c r="K124" s="98"/>
      <c r="L124" s="98"/>
      <c r="M124" s="98"/>
    </row>
    <row r="125" spans="2:13" ht="13.15" outlineLevel="3">
      <c r="B125" s="107" t="s">
        <v>263</v>
      </c>
      <c r="C125" s="107">
        <v>1</v>
      </c>
      <c r="D125" s="44" t="s">
        <v>257</v>
      </c>
      <c r="E125" s="61"/>
      <c r="F125" s="88"/>
      <c r="G125" s="87"/>
      <c r="H125" s="88">
        <v>1</v>
      </c>
      <c r="I125" s="87"/>
      <c r="J125" s="88"/>
      <c r="K125" s="87"/>
      <c r="L125" s="88"/>
      <c r="M125" s="87"/>
    </row>
    <row r="126" spans="2:13" ht="13.15" outlineLevel="3">
      <c r="B126" s="107" t="s">
        <v>264</v>
      </c>
      <c r="C126" s="107">
        <v>2</v>
      </c>
      <c r="D126" s="44" t="s">
        <v>259</v>
      </c>
      <c r="E126" s="61"/>
      <c r="F126" s="88"/>
      <c r="G126" s="87"/>
      <c r="H126" s="88">
        <v>1</v>
      </c>
      <c r="I126" s="87"/>
      <c r="J126" s="88"/>
      <c r="K126" s="87"/>
      <c r="L126" s="88"/>
      <c r="M126" s="87"/>
    </row>
    <row r="127" spans="2:13" ht="13.15" outlineLevel="2">
      <c r="B127" s="111"/>
      <c r="C127" s="111"/>
      <c r="D127" s="44"/>
      <c r="E127" s="61"/>
      <c r="F127" s="86"/>
      <c r="G127" s="87"/>
      <c r="H127" s="86"/>
      <c r="I127" s="87"/>
      <c r="J127" s="86"/>
      <c r="K127" s="87"/>
      <c r="L127" s="86"/>
      <c r="M127" s="87"/>
    </row>
    <row r="128" spans="2:13" ht="13.15" outlineLevel="2">
      <c r="B128" s="111">
        <v>2.4</v>
      </c>
      <c r="C128" s="111">
        <v>2.4</v>
      </c>
      <c r="D128" s="112" t="s">
        <v>267</v>
      </c>
      <c r="E128" s="61"/>
      <c r="F128" s="98"/>
      <c r="G128" s="98"/>
      <c r="H128" s="98"/>
      <c r="I128" s="98"/>
      <c r="J128" s="98"/>
      <c r="K128" s="98"/>
      <c r="L128" s="98"/>
      <c r="M128" s="98"/>
    </row>
    <row r="129" spans="2:13" ht="13.15" outlineLevel="3">
      <c r="B129" s="107" t="s">
        <v>268</v>
      </c>
      <c r="C129" s="107">
        <v>1</v>
      </c>
      <c r="D129" s="44" t="s">
        <v>257</v>
      </c>
      <c r="E129" s="61"/>
      <c r="F129" s="88"/>
      <c r="G129" s="87"/>
      <c r="H129" s="88">
        <v>1</v>
      </c>
      <c r="I129" s="87"/>
      <c r="J129" s="88"/>
      <c r="K129" s="87"/>
      <c r="L129" s="88"/>
      <c r="M129" s="87"/>
    </row>
    <row r="130" spans="2:13" ht="13.15" outlineLevel="3">
      <c r="B130" s="107" t="s">
        <v>269</v>
      </c>
      <c r="C130" s="107">
        <v>2</v>
      </c>
      <c r="D130" s="44" t="s">
        <v>259</v>
      </c>
      <c r="E130" s="61"/>
      <c r="F130" s="88"/>
      <c r="G130" s="87"/>
      <c r="H130" s="88">
        <v>1</v>
      </c>
      <c r="I130" s="87"/>
      <c r="J130" s="88"/>
      <c r="K130" s="87"/>
      <c r="L130" s="88"/>
      <c r="M130" s="87"/>
    </row>
    <row r="131" spans="2:13" ht="13.15" outlineLevel="2">
      <c r="B131" s="111"/>
      <c r="C131" s="111"/>
      <c r="D131" s="44"/>
      <c r="E131" s="61"/>
      <c r="F131" s="86"/>
      <c r="G131" s="87"/>
      <c r="H131" s="86"/>
      <c r="I131" s="87"/>
      <c r="J131" s="86"/>
      <c r="K131" s="87"/>
      <c r="L131" s="86"/>
      <c r="M131" s="87"/>
    </row>
    <row r="132" spans="2:13" ht="13.15" outlineLevel="2">
      <c r="B132" s="111">
        <v>2.5</v>
      </c>
      <c r="C132" s="111">
        <v>2.5</v>
      </c>
      <c r="D132" s="112" t="s">
        <v>270</v>
      </c>
      <c r="E132" s="61"/>
      <c r="F132" s="98"/>
      <c r="G132" s="98"/>
      <c r="H132" s="98"/>
      <c r="I132" s="98"/>
      <c r="J132" s="98"/>
      <c r="K132" s="98"/>
      <c r="L132" s="98"/>
      <c r="M132" s="98"/>
    </row>
    <row r="133" spans="2:13" ht="13.15" outlineLevel="3">
      <c r="B133" s="107" t="s">
        <v>263</v>
      </c>
      <c r="C133" s="107">
        <v>1</v>
      </c>
      <c r="D133" s="44" t="s">
        <v>257</v>
      </c>
      <c r="E133" s="61"/>
      <c r="F133" s="88"/>
      <c r="G133" s="87"/>
      <c r="H133" s="88">
        <v>1</v>
      </c>
      <c r="I133" s="87"/>
      <c r="J133" s="88"/>
      <c r="K133" s="87"/>
      <c r="L133" s="88"/>
      <c r="M133" s="87"/>
    </row>
    <row r="134" spans="2:13" ht="13.15" outlineLevel="3">
      <c r="B134" s="107" t="s">
        <v>264</v>
      </c>
      <c r="C134" s="107">
        <v>2</v>
      </c>
      <c r="D134" s="44" t="s">
        <v>259</v>
      </c>
      <c r="E134" s="61"/>
      <c r="F134" s="88"/>
      <c r="G134" s="87"/>
      <c r="H134" s="88">
        <v>1</v>
      </c>
      <c r="I134" s="87"/>
      <c r="J134" s="88"/>
      <c r="K134" s="87"/>
      <c r="L134" s="88"/>
      <c r="M134" s="87"/>
    </row>
    <row r="135" spans="2:13" ht="13.15" outlineLevel="2">
      <c r="B135" s="111"/>
      <c r="C135" s="111"/>
      <c r="D135" s="44"/>
      <c r="E135" s="61"/>
      <c r="F135" s="86"/>
      <c r="G135" s="87"/>
      <c r="H135" s="86"/>
      <c r="I135" s="87"/>
      <c r="J135" s="86"/>
      <c r="K135" s="87"/>
      <c r="L135" s="86"/>
      <c r="M135" s="87"/>
    </row>
    <row r="136" spans="2:13" ht="13.15" outlineLevel="2">
      <c r="B136" s="111">
        <v>2.6</v>
      </c>
      <c r="C136" s="111">
        <v>2.6</v>
      </c>
      <c r="D136" s="112" t="s">
        <v>271</v>
      </c>
      <c r="E136" s="61"/>
      <c r="F136" s="98"/>
      <c r="G136" s="98"/>
      <c r="H136" s="98"/>
      <c r="I136" s="98"/>
      <c r="J136" s="98"/>
      <c r="K136" s="98"/>
      <c r="L136" s="98"/>
      <c r="M136" s="98"/>
    </row>
    <row r="137" spans="2:13" ht="13.15" outlineLevel="3">
      <c r="B137" s="107" t="s">
        <v>263</v>
      </c>
      <c r="C137" s="107">
        <v>1</v>
      </c>
      <c r="D137" s="44" t="s">
        <v>257</v>
      </c>
      <c r="E137" s="61"/>
      <c r="F137" s="88"/>
      <c r="G137" s="87"/>
      <c r="H137" s="88">
        <v>1</v>
      </c>
      <c r="I137" s="87"/>
      <c r="J137" s="88"/>
      <c r="K137" s="87"/>
      <c r="L137" s="88"/>
      <c r="M137" s="87"/>
    </row>
    <row r="138" spans="2:13" ht="13.15" outlineLevel="3">
      <c r="B138" s="107" t="s">
        <v>264</v>
      </c>
      <c r="C138" s="107">
        <v>2</v>
      </c>
      <c r="D138" s="44" t="s">
        <v>259</v>
      </c>
      <c r="E138" s="61"/>
      <c r="F138" s="88"/>
      <c r="G138" s="87"/>
      <c r="H138" s="88">
        <v>1</v>
      </c>
      <c r="I138" s="87"/>
      <c r="J138" s="88"/>
      <c r="K138" s="87"/>
      <c r="L138" s="88"/>
      <c r="M138" s="87"/>
    </row>
    <row r="139" spans="2:13" ht="13.15" outlineLevel="2">
      <c r="B139" s="111"/>
      <c r="C139" s="111"/>
      <c r="D139" s="44"/>
      <c r="E139" s="61"/>
      <c r="F139" s="86"/>
      <c r="G139" s="87"/>
      <c r="H139" s="86"/>
      <c r="I139" s="87"/>
      <c r="J139" s="86"/>
      <c r="K139" s="87"/>
      <c r="L139" s="86"/>
      <c r="M139" s="87"/>
    </row>
    <row r="140" spans="2:13" ht="13.15" outlineLevel="2">
      <c r="B140" s="111">
        <v>2.7</v>
      </c>
      <c r="C140" s="111">
        <v>2.7</v>
      </c>
      <c r="D140" s="112" t="s">
        <v>272</v>
      </c>
      <c r="E140" s="61"/>
      <c r="F140" s="98"/>
      <c r="G140" s="98"/>
      <c r="H140" s="98"/>
      <c r="I140" s="98"/>
      <c r="J140" s="98"/>
      <c r="K140" s="98"/>
      <c r="L140" s="98"/>
      <c r="M140" s="98"/>
    </row>
    <row r="141" spans="2:13" ht="13.15" outlineLevel="3">
      <c r="B141" s="107" t="s">
        <v>263</v>
      </c>
      <c r="C141" s="107">
        <v>1</v>
      </c>
      <c r="D141" s="44" t="s">
        <v>257</v>
      </c>
      <c r="E141" s="61"/>
      <c r="F141" s="88"/>
      <c r="G141" s="87"/>
      <c r="H141" s="88">
        <v>1</v>
      </c>
      <c r="I141" s="87"/>
      <c r="J141" s="88"/>
      <c r="K141" s="87"/>
      <c r="L141" s="88"/>
      <c r="M141" s="87"/>
    </row>
    <row r="142" spans="2:13" ht="13.15" outlineLevel="3">
      <c r="B142" s="107" t="s">
        <v>264</v>
      </c>
      <c r="C142" s="107">
        <v>2</v>
      </c>
      <c r="D142" s="44" t="s">
        <v>259</v>
      </c>
      <c r="E142" s="61"/>
      <c r="F142" s="88"/>
      <c r="G142" s="87"/>
      <c r="H142" s="88">
        <v>1</v>
      </c>
      <c r="I142" s="87"/>
      <c r="J142" s="88"/>
      <c r="K142" s="87"/>
      <c r="L142" s="88"/>
      <c r="M142" s="87"/>
    </row>
    <row r="143" spans="2:13" ht="13.15" outlineLevel="2">
      <c r="B143" s="111"/>
      <c r="C143" s="111"/>
      <c r="D143" s="44"/>
      <c r="E143" s="61"/>
      <c r="F143" s="86"/>
      <c r="G143" s="87"/>
      <c r="H143" s="86"/>
      <c r="I143" s="87"/>
      <c r="J143" s="86"/>
      <c r="K143" s="87"/>
      <c r="L143" s="86"/>
      <c r="M143" s="87"/>
    </row>
    <row r="144" spans="2:13" ht="13.15" outlineLevel="2">
      <c r="B144" s="111">
        <v>2.8</v>
      </c>
      <c r="C144" s="111">
        <v>2.8</v>
      </c>
      <c r="D144" s="112" t="s">
        <v>273</v>
      </c>
      <c r="E144" s="61"/>
      <c r="F144" s="98"/>
      <c r="G144" s="98"/>
      <c r="H144" s="98"/>
      <c r="I144" s="98"/>
      <c r="J144" s="98"/>
      <c r="K144" s="98"/>
      <c r="L144" s="98"/>
      <c r="M144" s="98"/>
    </row>
    <row r="145" spans="2:13" ht="13.15" outlineLevel="3">
      <c r="B145" s="107" t="s">
        <v>263</v>
      </c>
      <c r="C145" s="107">
        <v>1</v>
      </c>
      <c r="D145" s="44" t="s">
        <v>257</v>
      </c>
      <c r="E145" s="61"/>
      <c r="F145" s="88"/>
      <c r="G145" s="87"/>
      <c r="H145" s="88">
        <v>1</v>
      </c>
      <c r="I145" s="87"/>
      <c r="J145" s="88"/>
      <c r="K145" s="87"/>
      <c r="L145" s="88"/>
      <c r="M145" s="87"/>
    </row>
    <row r="146" spans="2:13" ht="13.15" outlineLevel="3">
      <c r="B146" s="107" t="s">
        <v>264</v>
      </c>
      <c r="C146" s="107">
        <v>2</v>
      </c>
      <c r="D146" s="44" t="s">
        <v>259</v>
      </c>
      <c r="E146" s="61"/>
      <c r="F146" s="88"/>
      <c r="G146" s="87"/>
      <c r="H146" s="88">
        <v>1</v>
      </c>
      <c r="I146" s="87"/>
      <c r="J146" s="88"/>
      <c r="K146" s="87"/>
      <c r="L146" s="88"/>
      <c r="M146" s="87"/>
    </row>
    <row r="147" spans="2:13" ht="13.15" outlineLevel="2">
      <c r="B147" s="111"/>
      <c r="C147" s="111"/>
      <c r="D147" s="44"/>
      <c r="E147" s="61"/>
      <c r="F147" s="86"/>
      <c r="G147" s="87"/>
      <c r="H147" s="86"/>
      <c r="I147" s="87"/>
      <c r="J147" s="86"/>
      <c r="K147" s="87"/>
      <c r="L147" s="86"/>
      <c r="M147" s="87"/>
    </row>
    <row r="148" spans="2:13" ht="13.15" outlineLevel="2">
      <c r="B148" s="111">
        <v>2.9</v>
      </c>
      <c r="C148" s="111">
        <v>2.9</v>
      </c>
      <c r="D148" s="112" t="s">
        <v>274</v>
      </c>
      <c r="E148" s="61"/>
      <c r="F148" s="98"/>
      <c r="G148" s="98"/>
      <c r="H148" s="98"/>
      <c r="I148" s="98"/>
      <c r="J148" s="98"/>
      <c r="K148" s="98"/>
      <c r="L148" s="98"/>
      <c r="M148" s="98"/>
    </row>
    <row r="149" spans="2:13" ht="13.15" outlineLevel="3">
      <c r="B149" s="107" t="s">
        <v>275</v>
      </c>
      <c r="C149" s="107">
        <v>1</v>
      </c>
      <c r="D149" s="44" t="s">
        <v>257</v>
      </c>
      <c r="E149" s="61"/>
      <c r="F149" s="88"/>
      <c r="G149" s="87"/>
      <c r="H149" s="88">
        <v>1</v>
      </c>
      <c r="I149" s="87"/>
      <c r="J149" s="88"/>
      <c r="K149" s="87"/>
      <c r="L149" s="88"/>
      <c r="M149" s="87"/>
    </row>
    <row r="150" spans="2:13" ht="13.15" outlineLevel="3">
      <c r="B150" s="107" t="s">
        <v>276</v>
      </c>
      <c r="C150" s="107">
        <v>2</v>
      </c>
      <c r="D150" s="44" t="s">
        <v>259</v>
      </c>
      <c r="E150" s="61"/>
      <c r="F150" s="88"/>
      <c r="G150" s="87"/>
      <c r="H150" s="88">
        <v>1</v>
      </c>
      <c r="I150" s="87"/>
      <c r="J150" s="88"/>
      <c r="K150" s="87"/>
      <c r="L150" s="88"/>
      <c r="M150" s="87"/>
    </row>
    <row r="151" spans="2:13" ht="13.15" outlineLevel="2">
      <c r="B151" s="111"/>
      <c r="C151" s="111"/>
      <c r="D151" s="44"/>
      <c r="E151" s="61"/>
      <c r="F151" s="86"/>
      <c r="G151" s="87"/>
      <c r="H151" s="86"/>
      <c r="I151" s="87"/>
      <c r="J151" s="86"/>
      <c r="K151" s="87"/>
      <c r="L151" s="86"/>
      <c r="M151" s="87"/>
    </row>
    <row r="152" spans="2:13" ht="13.15" outlineLevel="2">
      <c r="B152" s="110">
        <v>2.1</v>
      </c>
      <c r="C152" s="110">
        <v>2.1</v>
      </c>
      <c r="D152" s="112" t="s">
        <v>277</v>
      </c>
      <c r="E152" s="61"/>
      <c r="F152" s="98"/>
      <c r="G152" s="98"/>
      <c r="H152" s="98"/>
      <c r="I152" s="98"/>
      <c r="J152" s="98"/>
      <c r="K152" s="98"/>
      <c r="L152" s="98"/>
      <c r="M152" s="98"/>
    </row>
    <row r="153" spans="2:13" ht="13.15" outlineLevel="3">
      <c r="B153" s="107" t="s">
        <v>263</v>
      </c>
      <c r="C153" s="107">
        <v>1</v>
      </c>
      <c r="D153" s="44" t="s">
        <v>257</v>
      </c>
      <c r="E153" s="61"/>
      <c r="F153" s="88"/>
      <c r="G153" s="87"/>
      <c r="H153" s="88">
        <v>1</v>
      </c>
      <c r="I153" s="87"/>
      <c r="J153" s="88"/>
      <c r="K153" s="87"/>
      <c r="L153" s="88"/>
      <c r="M153" s="87"/>
    </row>
    <row r="154" spans="2:13" ht="13.15" outlineLevel="3">
      <c r="B154" s="107" t="s">
        <v>264</v>
      </c>
      <c r="C154" s="107">
        <v>2</v>
      </c>
      <c r="D154" s="44" t="s">
        <v>259</v>
      </c>
      <c r="E154" s="61"/>
      <c r="F154" s="88"/>
      <c r="G154" s="87"/>
      <c r="H154" s="88">
        <v>1</v>
      </c>
      <c r="I154" s="87"/>
      <c r="J154" s="88"/>
      <c r="K154" s="87"/>
      <c r="L154" s="88"/>
      <c r="M154" s="87"/>
    </row>
    <row r="155" spans="2:13" ht="13.15" outlineLevel="2">
      <c r="B155" s="111"/>
      <c r="C155" s="111"/>
      <c r="D155" s="44"/>
      <c r="E155" s="61"/>
      <c r="F155" s="86"/>
      <c r="G155" s="87"/>
      <c r="H155" s="86"/>
      <c r="I155" s="87"/>
      <c r="J155" s="86"/>
      <c r="K155" s="87"/>
      <c r="L155" s="86"/>
      <c r="M155" s="87"/>
    </row>
    <row r="156" spans="2:13" ht="13.15" outlineLevel="2">
      <c r="B156" s="110">
        <v>2.1</v>
      </c>
      <c r="C156" s="110">
        <v>2.11</v>
      </c>
      <c r="D156" s="112" t="s">
        <v>278</v>
      </c>
      <c r="E156" s="61"/>
      <c r="F156" s="98"/>
      <c r="G156" s="98"/>
      <c r="H156" s="98"/>
      <c r="I156" s="98"/>
      <c r="J156" s="98"/>
      <c r="K156" s="98"/>
      <c r="L156" s="98"/>
      <c r="M156" s="98"/>
    </row>
    <row r="157" spans="2:13" ht="13.15" outlineLevel="3">
      <c r="B157" s="107" t="s">
        <v>263</v>
      </c>
      <c r="C157" s="107">
        <v>1</v>
      </c>
      <c r="D157" s="44" t="s">
        <v>257</v>
      </c>
      <c r="E157" s="61"/>
      <c r="F157" s="88"/>
      <c r="G157" s="87"/>
      <c r="H157" s="88">
        <v>1</v>
      </c>
      <c r="I157" s="87"/>
      <c r="J157" s="88"/>
      <c r="K157" s="87"/>
      <c r="L157" s="88"/>
      <c r="M157" s="87"/>
    </row>
    <row r="158" spans="2:13" ht="13.15" outlineLevel="3">
      <c r="B158" s="107" t="s">
        <v>264</v>
      </c>
      <c r="C158" s="107">
        <v>2</v>
      </c>
      <c r="D158" s="44" t="s">
        <v>259</v>
      </c>
      <c r="E158" s="61"/>
      <c r="F158" s="88"/>
      <c r="G158" s="87"/>
      <c r="H158" s="88">
        <v>1</v>
      </c>
      <c r="I158" s="87"/>
      <c r="J158" s="88"/>
      <c r="K158" s="87"/>
      <c r="L158" s="88"/>
      <c r="M158" s="87"/>
    </row>
    <row r="159" spans="2:13" ht="13.15" outlineLevel="2">
      <c r="B159" s="111"/>
      <c r="C159" s="111"/>
      <c r="D159" s="44"/>
      <c r="E159" s="61"/>
      <c r="F159" s="86"/>
      <c r="G159" s="87"/>
      <c r="H159" s="86"/>
      <c r="I159" s="87"/>
      <c r="J159" s="86"/>
      <c r="K159" s="87"/>
      <c r="L159" s="86"/>
      <c r="M159" s="87"/>
    </row>
    <row r="160" spans="2:13" ht="13.15" outlineLevel="2">
      <c r="B160" s="110">
        <v>2.1</v>
      </c>
      <c r="C160" s="110">
        <v>2.11</v>
      </c>
      <c r="D160" s="112" t="s">
        <v>279</v>
      </c>
      <c r="E160" s="61"/>
      <c r="F160" s="98"/>
      <c r="G160" s="98"/>
      <c r="H160" s="98"/>
      <c r="I160" s="98"/>
      <c r="J160" s="98"/>
      <c r="K160" s="98"/>
      <c r="L160" s="98"/>
      <c r="M160" s="98"/>
    </row>
    <row r="161" spans="2:13" ht="13.15" outlineLevel="3">
      <c r="B161" s="107" t="s">
        <v>263</v>
      </c>
      <c r="C161" s="107">
        <v>1</v>
      </c>
      <c r="D161" s="44" t="s">
        <v>257</v>
      </c>
      <c r="E161" s="61"/>
      <c r="F161" s="88"/>
      <c r="G161" s="87"/>
      <c r="H161" s="88">
        <v>1</v>
      </c>
      <c r="I161" s="87"/>
      <c r="J161" s="88"/>
      <c r="K161" s="87"/>
      <c r="L161" s="88"/>
      <c r="M161" s="87"/>
    </row>
    <row r="162" spans="2:13" ht="13.15" outlineLevel="3">
      <c r="B162" s="107" t="s">
        <v>264</v>
      </c>
      <c r="C162" s="107">
        <v>2</v>
      </c>
      <c r="D162" s="44" t="s">
        <v>259</v>
      </c>
      <c r="E162" s="61"/>
      <c r="F162" s="88"/>
      <c r="G162" s="87"/>
      <c r="H162" s="88">
        <v>1</v>
      </c>
      <c r="I162" s="87"/>
      <c r="J162" s="88"/>
      <c r="K162" s="87"/>
      <c r="L162" s="88"/>
      <c r="M162" s="87"/>
    </row>
    <row r="163" spans="2:13" ht="3" customHeight="1" outlineLevel="1">
      <c r="B163" s="107"/>
      <c r="C163" s="107"/>
      <c r="D163" s="44"/>
      <c r="E163" s="61"/>
      <c r="F163" s="88"/>
      <c r="G163" s="87"/>
      <c r="H163" s="88"/>
      <c r="I163" s="87"/>
      <c r="J163" s="88"/>
      <c r="K163" s="87"/>
      <c r="L163" s="88"/>
      <c r="M163" s="87"/>
    </row>
    <row r="164" spans="2:13" ht="13.15" outlineLevel="1">
      <c r="B164" s="103">
        <v>12</v>
      </c>
      <c r="C164" s="103">
        <v>10</v>
      </c>
      <c r="D164" s="104" t="s">
        <v>280</v>
      </c>
      <c r="E164" s="84"/>
      <c r="F164" s="85"/>
      <c r="G164" s="85"/>
      <c r="H164" s="85"/>
      <c r="I164" s="85"/>
      <c r="J164" s="85"/>
      <c r="K164" s="85"/>
      <c r="L164" s="85"/>
      <c r="M164" s="85"/>
    </row>
    <row r="165" spans="2:13" ht="13.15" outlineLevel="2">
      <c r="B165" s="107" t="s">
        <v>281</v>
      </c>
      <c r="C165" s="107">
        <v>1</v>
      </c>
      <c r="D165" s="44" t="s">
        <v>282</v>
      </c>
      <c r="E165" s="61"/>
      <c r="F165" s="124">
        <v>1</v>
      </c>
      <c r="G165" s="87"/>
      <c r="H165" s="86">
        <v>1</v>
      </c>
      <c r="I165" s="87"/>
      <c r="J165" s="86">
        <v>1</v>
      </c>
      <c r="K165" s="87"/>
      <c r="L165" s="86"/>
      <c r="M165" s="87"/>
    </row>
    <row r="166" spans="2:13" ht="13.15" outlineLevel="2">
      <c r="B166" s="107" t="s">
        <v>283</v>
      </c>
      <c r="C166" s="107">
        <v>2</v>
      </c>
      <c r="D166" s="44" t="s">
        <v>284</v>
      </c>
      <c r="E166" s="61"/>
      <c r="F166" s="124">
        <v>1</v>
      </c>
      <c r="G166" s="87"/>
      <c r="H166" s="86">
        <v>1</v>
      </c>
      <c r="I166" s="87"/>
      <c r="J166" s="86">
        <v>1</v>
      </c>
      <c r="K166" s="87"/>
      <c r="L166" s="86"/>
      <c r="M166" s="87"/>
    </row>
    <row r="167" spans="2:13" ht="13.15" outlineLevel="2">
      <c r="B167" s="107" t="s">
        <v>285</v>
      </c>
      <c r="C167" s="107">
        <v>3</v>
      </c>
      <c r="D167" s="44" t="s">
        <v>261</v>
      </c>
      <c r="E167" s="61"/>
      <c r="F167" s="124">
        <v>1</v>
      </c>
      <c r="G167" s="87"/>
      <c r="H167" s="86"/>
      <c r="I167" s="87"/>
      <c r="J167" s="86">
        <v>1</v>
      </c>
      <c r="K167" s="87"/>
      <c r="L167" s="86">
        <v>1</v>
      </c>
      <c r="M167" s="87"/>
    </row>
    <row r="168" spans="2:13" ht="3" customHeight="1" outlineLevel="1">
      <c r="B168" s="101"/>
      <c r="C168" s="101"/>
      <c r="D168" s="44"/>
      <c r="E168" s="61"/>
      <c r="F168" s="86"/>
      <c r="G168" s="87"/>
      <c r="H168" s="86"/>
      <c r="I168" s="87"/>
      <c r="J168" s="86"/>
      <c r="K168" s="87"/>
      <c r="L168" s="86"/>
      <c r="M168" s="87"/>
    </row>
    <row r="169" spans="2:13" ht="13.15" outlineLevel="1">
      <c r="B169" s="103">
        <v>13</v>
      </c>
      <c r="C169" s="103">
        <v>11</v>
      </c>
      <c r="D169" s="104" t="s">
        <v>286</v>
      </c>
      <c r="E169" s="84"/>
      <c r="F169" s="85"/>
      <c r="G169" s="85"/>
      <c r="H169" s="85"/>
      <c r="I169" s="85"/>
      <c r="J169" s="85"/>
      <c r="K169" s="85"/>
      <c r="L169" s="85"/>
      <c r="M169" s="85"/>
    </row>
    <row r="170" spans="2:13" ht="13.15" outlineLevel="2">
      <c r="B170" s="107" t="s">
        <v>287</v>
      </c>
      <c r="C170" s="107">
        <v>1</v>
      </c>
      <c r="D170" s="44" t="s">
        <v>282</v>
      </c>
      <c r="E170" s="61"/>
      <c r="F170" s="124">
        <v>1</v>
      </c>
      <c r="G170" s="87"/>
      <c r="H170" s="86">
        <v>1</v>
      </c>
      <c r="I170" s="87"/>
      <c r="J170" s="86">
        <v>1</v>
      </c>
      <c r="K170" s="87"/>
      <c r="L170" s="86"/>
      <c r="M170" s="87"/>
    </row>
    <row r="171" spans="2:13" ht="13.15" outlineLevel="2">
      <c r="B171" s="107" t="s">
        <v>288</v>
      </c>
      <c r="C171" s="107">
        <v>2</v>
      </c>
      <c r="D171" s="44" t="s">
        <v>284</v>
      </c>
      <c r="E171" s="61"/>
      <c r="F171" s="124">
        <v>-1</v>
      </c>
      <c r="G171" s="87"/>
      <c r="H171" s="86">
        <v>1</v>
      </c>
      <c r="I171" s="87"/>
      <c r="J171" s="86">
        <v>1</v>
      </c>
      <c r="K171" s="87"/>
      <c r="L171" s="86"/>
      <c r="M171" s="87"/>
    </row>
    <row r="172" spans="2:13" ht="13.15" outlineLevel="2">
      <c r="B172" s="107" t="s">
        <v>289</v>
      </c>
      <c r="C172" s="107">
        <v>3</v>
      </c>
      <c r="D172" s="44" t="s">
        <v>261</v>
      </c>
      <c r="E172" s="61"/>
      <c r="F172" s="124">
        <v>-1</v>
      </c>
      <c r="G172" s="87"/>
      <c r="H172" s="86"/>
      <c r="I172" s="87"/>
      <c r="J172" s="86">
        <v>1</v>
      </c>
      <c r="K172" s="87"/>
      <c r="L172" s="86">
        <v>1</v>
      </c>
      <c r="M172" s="87"/>
    </row>
    <row r="173" spans="2:13" ht="3" customHeight="1" outlineLevel="1">
      <c r="B173" s="101"/>
      <c r="C173" s="101"/>
      <c r="D173" s="44"/>
      <c r="E173" s="61"/>
      <c r="F173" s="86"/>
      <c r="G173" s="87"/>
      <c r="H173" s="86"/>
      <c r="I173" s="87"/>
      <c r="J173" s="86"/>
      <c r="K173" s="87"/>
      <c r="L173" s="86"/>
      <c r="M173" s="87"/>
    </row>
    <row r="174" spans="2:13" ht="13.15" outlineLevel="1">
      <c r="B174" s="103">
        <v>15</v>
      </c>
      <c r="C174" s="103">
        <v>14</v>
      </c>
      <c r="D174" s="104" t="s">
        <v>290</v>
      </c>
      <c r="E174" s="84"/>
      <c r="F174" s="85"/>
      <c r="G174" s="85"/>
      <c r="H174" s="85"/>
      <c r="I174" s="85"/>
      <c r="J174" s="85"/>
      <c r="K174" s="85"/>
      <c r="L174" s="85"/>
      <c r="M174" s="85"/>
    </row>
    <row r="175" spans="2:13" ht="13.15" outlineLevel="2">
      <c r="B175" s="107" t="s">
        <v>291</v>
      </c>
      <c r="C175" s="107">
        <v>1</v>
      </c>
      <c r="D175" s="109" t="s">
        <v>292</v>
      </c>
      <c r="E175" s="61"/>
      <c r="F175" s="123">
        <v>1</v>
      </c>
      <c r="G175" s="87"/>
      <c r="H175" s="86"/>
      <c r="I175" s="87"/>
      <c r="J175" s="123">
        <v>1</v>
      </c>
      <c r="K175" s="87"/>
      <c r="L175" s="86">
        <v>1</v>
      </c>
      <c r="M175" s="87"/>
    </row>
    <row r="176" spans="2:13" ht="13.15" outlineLevel="2">
      <c r="B176" s="107" t="s">
        <v>293</v>
      </c>
      <c r="C176" s="107">
        <v>2</v>
      </c>
      <c r="D176" s="109" t="s">
        <v>294</v>
      </c>
      <c r="E176" s="61"/>
      <c r="F176" s="123">
        <v>1</v>
      </c>
      <c r="G176" s="87"/>
      <c r="H176" s="86"/>
      <c r="I176" s="87"/>
      <c r="J176" s="123">
        <v>1</v>
      </c>
      <c r="K176" s="87"/>
      <c r="L176" s="86">
        <v>1</v>
      </c>
      <c r="M176" s="87"/>
    </row>
    <row r="177" spans="1:13" ht="13.15" outlineLevel="2">
      <c r="A177" s="61"/>
      <c r="B177" s="107" t="s">
        <v>295</v>
      </c>
      <c r="C177" s="107">
        <v>3</v>
      </c>
      <c r="D177" s="109" t="s">
        <v>296</v>
      </c>
      <c r="E177" s="61"/>
      <c r="F177" s="123">
        <v>1</v>
      </c>
      <c r="G177" s="87"/>
      <c r="H177" s="86"/>
      <c r="I177" s="87"/>
      <c r="J177" s="123">
        <v>1</v>
      </c>
      <c r="K177" s="87"/>
      <c r="L177" s="86">
        <v>1</v>
      </c>
      <c r="M177" s="87"/>
    </row>
    <row r="178" spans="1:13" ht="13.15" outlineLevel="2">
      <c r="A178" s="61"/>
      <c r="B178" s="107" t="s">
        <v>297</v>
      </c>
      <c r="C178" s="107">
        <v>4</v>
      </c>
      <c r="D178" s="44" t="s">
        <v>298</v>
      </c>
      <c r="E178" s="61"/>
      <c r="F178" s="123">
        <v>1</v>
      </c>
      <c r="G178" s="87"/>
      <c r="H178" s="86"/>
      <c r="I178" s="87"/>
      <c r="J178" s="123">
        <v>1</v>
      </c>
      <c r="K178" s="87"/>
      <c r="L178" s="86">
        <v>1</v>
      </c>
      <c r="M178" s="87"/>
    </row>
    <row r="179" spans="1:13" s="97" customFormat="1" ht="13.15" outlineLevel="2">
      <c r="A179" s="61"/>
      <c r="B179" s="108" t="s">
        <v>299</v>
      </c>
      <c r="C179" s="108">
        <v>5</v>
      </c>
      <c r="D179" s="109" t="s">
        <v>300</v>
      </c>
      <c r="E179" s="94"/>
      <c r="F179" s="124">
        <v>-1</v>
      </c>
      <c r="G179" s="96"/>
      <c r="H179" s="95"/>
      <c r="I179" s="96"/>
      <c r="J179" s="124">
        <v>1</v>
      </c>
      <c r="K179" s="96"/>
      <c r="L179" s="95">
        <v>1</v>
      </c>
      <c r="M179" s="96"/>
    </row>
    <row r="180" spans="1:13" ht="13.15" outlineLevel="2">
      <c r="A180" s="61"/>
      <c r="B180" s="107" t="s">
        <v>297</v>
      </c>
      <c r="C180" s="107">
        <v>6</v>
      </c>
      <c r="D180" s="44" t="s">
        <v>301</v>
      </c>
      <c r="E180" s="61"/>
      <c r="F180" s="123">
        <v>1</v>
      </c>
      <c r="G180" s="87"/>
      <c r="H180" s="86"/>
      <c r="I180" s="87"/>
      <c r="J180" s="123">
        <v>1</v>
      </c>
      <c r="K180" s="87"/>
      <c r="L180" s="86">
        <v>1</v>
      </c>
      <c r="M180" s="87"/>
    </row>
    <row r="181" spans="1:13" s="97" customFormat="1" ht="13.15" outlineLevel="2">
      <c r="A181" s="61"/>
      <c r="B181" s="108" t="s">
        <v>299</v>
      </c>
      <c r="C181" s="108">
        <v>7</v>
      </c>
      <c r="D181" s="109" t="s">
        <v>302</v>
      </c>
      <c r="E181" s="94"/>
      <c r="F181" s="123">
        <v>1</v>
      </c>
      <c r="G181" s="96"/>
      <c r="H181" s="95"/>
      <c r="I181" s="96"/>
      <c r="J181" s="123">
        <v>1</v>
      </c>
      <c r="K181" s="96"/>
      <c r="L181" s="95">
        <v>1</v>
      </c>
      <c r="M181" s="96"/>
    </row>
    <row r="182" spans="1:13" ht="13.15" outlineLevel="2">
      <c r="A182" s="61"/>
      <c r="B182" s="107" t="s">
        <v>291</v>
      </c>
      <c r="C182" s="107">
        <v>8</v>
      </c>
      <c r="D182" s="109" t="s">
        <v>303</v>
      </c>
      <c r="E182" s="61"/>
      <c r="F182" s="123">
        <v>1</v>
      </c>
      <c r="G182" s="87"/>
      <c r="H182" s="86"/>
      <c r="I182" s="87"/>
      <c r="J182" s="123">
        <v>1</v>
      </c>
      <c r="K182" s="87"/>
      <c r="L182" s="86">
        <v>1</v>
      </c>
      <c r="M182" s="87"/>
    </row>
    <row r="183" spans="1:13" ht="13.15" outlineLevel="2">
      <c r="A183" s="61"/>
      <c r="B183" s="107" t="s">
        <v>293</v>
      </c>
      <c r="C183" s="108">
        <v>9</v>
      </c>
      <c r="D183" s="109" t="s">
        <v>304</v>
      </c>
      <c r="E183" s="61"/>
      <c r="F183" s="123">
        <v>1</v>
      </c>
      <c r="G183" s="87"/>
      <c r="H183" s="86"/>
      <c r="I183" s="87"/>
      <c r="J183" s="123">
        <v>1</v>
      </c>
      <c r="K183" s="87"/>
      <c r="L183" s="86">
        <v>1</v>
      </c>
      <c r="M183" s="87"/>
    </row>
    <row r="184" spans="1:13" ht="13.15" outlineLevel="2">
      <c r="A184" s="61"/>
      <c r="B184" s="107" t="s">
        <v>295</v>
      </c>
      <c r="C184" s="107">
        <v>10</v>
      </c>
      <c r="D184" s="44" t="s">
        <v>305</v>
      </c>
      <c r="E184" s="61"/>
      <c r="F184" s="123">
        <v>1</v>
      </c>
      <c r="G184" s="87"/>
      <c r="H184" s="86"/>
      <c r="I184" s="87"/>
      <c r="J184" s="123">
        <v>1</v>
      </c>
      <c r="K184" s="87"/>
      <c r="L184" s="86">
        <v>1</v>
      </c>
      <c r="M184" s="87"/>
    </row>
    <row r="185" spans="1:13" ht="3" customHeight="1" outlineLevel="1">
      <c r="A185" s="61"/>
      <c r="B185" s="101"/>
      <c r="C185" s="101"/>
      <c r="D185" s="44"/>
      <c r="E185" s="61"/>
      <c r="F185" s="86"/>
      <c r="G185" s="87"/>
      <c r="H185" s="86"/>
      <c r="I185" s="87"/>
      <c r="J185" s="86"/>
      <c r="K185" s="87"/>
      <c r="L185" s="86"/>
      <c r="M185" s="87"/>
    </row>
    <row r="186" spans="1:13" ht="13.15" outlineLevel="1">
      <c r="A186" s="61"/>
      <c r="B186" s="103">
        <v>16</v>
      </c>
      <c r="C186" s="103">
        <v>15</v>
      </c>
      <c r="D186" s="104" t="s">
        <v>306</v>
      </c>
      <c r="E186" s="84"/>
      <c r="F186" s="85"/>
      <c r="G186" s="85"/>
      <c r="H186" s="85"/>
      <c r="I186" s="85"/>
      <c r="J186" s="85"/>
      <c r="K186" s="85"/>
      <c r="L186" s="85"/>
      <c r="M186" s="85"/>
    </row>
    <row r="187" spans="1:13" ht="13.15" outlineLevel="2">
      <c r="A187" s="61"/>
      <c r="B187" s="107" t="s">
        <v>307</v>
      </c>
      <c r="C187" s="107">
        <v>1</v>
      </c>
      <c r="D187" s="44" t="s">
        <v>308</v>
      </c>
      <c r="E187" s="61"/>
      <c r="F187" s="86">
        <v>1</v>
      </c>
      <c r="G187" s="87"/>
      <c r="H187" s="86"/>
      <c r="I187" s="87"/>
      <c r="J187" s="86">
        <v>1</v>
      </c>
      <c r="K187" s="87"/>
      <c r="L187" s="86">
        <v>1</v>
      </c>
      <c r="M187" s="87"/>
    </row>
    <row r="188" spans="1:13" ht="13.15" outlineLevel="2">
      <c r="A188" s="61"/>
      <c r="B188" s="107" t="s">
        <v>309</v>
      </c>
      <c r="C188" s="107">
        <v>2</v>
      </c>
      <c r="D188" s="44" t="s">
        <v>310</v>
      </c>
      <c r="E188" s="61"/>
      <c r="F188" s="86">
        <v>1</v>
      </c>
      <c r="G188" s="87"/>
      <c r="H188" s="86">
        <v>-1</v>
      </c>
      <c r="I188" s="87"/>
      <c r="J188" s="86"/>
      <c r="K188" s="87"/>
      <c r="L188" s="86"/>
      <c r="M188" s="87"/>
    </row>
    <row r="189" spans="1:13" ht="13.15" outlineLevel="2">
      <c r="A189" s="61"/>
      <c r="B189" s="107" t="s">
        <v>311</v>
      </c>
      <c r="C189" s="107">
        <v>3</v>
      </c>
      <c r="D189" s="44" t="s">
        <v>312</v>
      </c>
      <c r="E189" s="61"/>
      <c r="F189" s="86">
        <v>-1</v>
      </c>
      <c r="G189" s="87"/>
      <c r="H189" s="86">
        <v>-1</v>
      </c>
      <c r="I189" s="87"/>
      <c r="J189" s="86">
        <v>-1</v>
      </c>
      <c r="K189" s="87"/>
      <c r="L189" s="86"/>
      <c r="M189" s="87"/>
    </row>
    <row r="190" spans="1:13" ht="13.15" outlineLevel="2">
      <c r="A190" s="61"/>
      <c r="B190" s="107" t="s">
        <v>313</v>
      </c>
      <c r="C190" s="107">
        <v>4</v>
      </c>
      <c r="D190" s="44" t="s">
        <v>314</v>
      </c>
      <c r="E190" s="61"/>
      <c r="F190" s="86">
        <v>1</v>
      </c>
      <c r="G190" s="87"/>
      <c r="H190" s="86"/>
      <c r="I190" s="87"/>
      <c r="J190" s="86"/>
      <c r="K190" s="87"/>
      <c r="L190" s="86">
        <v>1</v>
      </c>
      <c r="M190" s="87"/>
    </row>
    <row r="191" spans="1:13" ht="3" customHeight="1" outlineLevel="1">
      <c r="A191" s="61"/>
      <c r="B191" s="101"/>
      <c r="C191" s="101"/>
      <c r="D191" s="44"/>
      <c r="E191" s="61"/>
      <c r="F191" s="86"/>
      <c r="G191" s="87"/>
      <c r="H191" s="86"/>
      <c r="I191" s="87"/>
      <c r="J191" s="86"/>
      <c r="K191" s="87"/>
      <c r="L191" s="86"/>
      <c r="M191" s="87"/>
    </row>
    <row r="192" spans="1:13" ht="13.15" outlineLevel="1">
      <c r="A192" s="61"/>
      <c r="B192" s="103">
        <v>17</v>
      </c>
      <c r="C192" s="103">
        <v>16</v>
      </c>
      <c r="D192" s="104" t="s">
        <v>315</v>
      </c>
      <c r="E192" s="84"/>
      <c r="F192" s="85"/>
      <c r="G192" s="85"/>
      <c r="H192" s="85"/>
      <c r="I192" s="85"/>
      <c r="J192" s="85"/>
      <c r="K192" s="85"/>
      <c r="L192" s="85"/>
      <c r="M192" s="85"/>
    </row>
    <row r="193" spans="1:13" ht="13.15" outlineLevel="2">
      <c r="A193" s="61" t="str">
        <f>"Amenities &amp; Facilities - "&amp;D193</f>
        <v>Amenities &amp; Facilities - Clubhouse—Structure and Envelope</v>
      </c>
      <c r="B193" s="107" t="s">
        <v>316</v>
      </c>
      <c r="C193" s="107">
        <v>1</v>
      </c>
      <c r="D193" s="109" t="s">
        <v>317</v>
      </c>
      <c r="E193" s="61"/>
      <c r="F193" s="86">
        <v>1</v>
      </c>
      <c r="G193" s="87"/>
      <c r="H193" s="86">
        <v>1</v>
      </c>
      <c r="I193" s="87"/>
      <c r="J193" s="86">
        <v>1</v>
      </c>
      <c r="K193" s="87"/>
      <c r="L193" s="86"/>
      <c r="M193" s="87"/>
    </row>
    <row r="194" spans="1:13" ht="13.15" outlineLevel="2">
      <c r="A194" s="61" t="str">
        <f t="shared" ref="A194:A197" si="1">"Amenities &amp; Facilities - "&amp;D194</f>
        <v>Amenities &amp; Facilities - Clubhouse—Interiors and Facilities</v>
      </c>
      <c r="B194" s="107" t="s">
        <v>318</v>
      </c>
      <c r="C194" s="107">
        <v>2</v>
      </c>
      <c r="D194" s="109" t="s">
        <v>319</v>
      </c>
      <c r="E194" s="61"/>
      <c r="F194" s="86">
        <v>1</v>
      </c>
      <c r="G194" s="87"/>
      <c r="H194" s="86"/>
      <c r="I194" s="87"/>
      <c r="J194" s="86">
        <v>1</v>
      </c>
      <c r="K194" s="87"/>
      <c r="L194" s="86">
        <v>1</v>
      </c>
      <c r="M194" s="87"/>
    </row>
    <row r="195" spans="1:13" s="97" customFormat="1" ht="13.15" outlineLevel="2">
      <c r="A195" s="61" t="str">
        <f t="shared" si="1"/>
        <v>Amenities &amp; Facilities - Clubhouse—Outdoor Spaces and Pool</v>
      </c>
      <c r="B195" s="107" t="s">
        <v>320</v>
      </c>
      <c r="C195" s="107">
        <v>3</v>
      </c>
      <c r="D195" s="109" t="s">
        <v>321</v>
      </c>
      <c r="E195" s="94"/>
      <c r="F195" s="95">
        <v>1</v>
      </c>
      <c r="G195" s="96"/>
      <c r="H195" s="95">
        <v>1</v>
      </c>
      <c r="I195" s="96"/>
      <c r="J195" s="95">
        <v>1</v>
      </c>
      <c r="K195" s="96"/>
      <c r="L195" s="95">
        <v>1</v>
      </c>
      <c r="M195" s="96"/>
    </row>
    <row r="196" spans="1:13" ht="13.15" outlineLevel="2">
      <c r="A196" s="61" t="str">
        <f t="shared" si="1"/>
        <v>Amenities &amp; Facilities - Community spaces [Board Walk, Children play area]</v>
      </c>
      <c r="B196" s="107" t="s">
        <v>322</v>
      </c>
      <c r="C196" s="107">
        <v>4</v>
      </c>
      <c r="D196" s="109" t="s">
        <v>323</v>
      </c>
      <c r="E196" s="61"/>
      <c r="F196" s="86">
        <v>1</v>
      </c>
      <c r="G196" s="87"/>
      <c r="H196" s="86">
        <v>1</v>
      </c>
      <c r="I196" s="87"/>
      <c r="J196" s="86"/>
      <c r="K196" s="87"/>
      <c r="L196" s="86">
        <v>-1</v>
      </c>
      <c r="M196" s="87"/>
    </row>
    <row r="197" spans="1:13" ht="13.15" outlineLevel="2">
      <c r="A197" s="61" t="str">
        <f t="shared" si="1"/>
        <v>Amenities &amp; Facilities - Sporting Facilities</v>
      </c>
      <c r="B197" s="107" t="s">
        <v>324</v>
      </c>
      <c r="C197" s="107">
        <v>5</v>
      </c>
      <c r="D197" s="109" t="s">
        <v>325</v>
      </c>
      <c r="E197" s="61"/>
      <c r="F197" s="86">
        <v>-1</v>
      </c>
      <c r="G197" s="87"/>
      <c r="H197" s="86">
        <v>-1</v>
      </c>
      <c r="I197" s="87"/>
      <c r="J197" s="86">
        <v>-1</v>
      </c>
      <c r="K197" s="87"/>
      <c r="L197" s="86"/>
      <c r="M197" s="87"/>
    </row>
    <row r="198" spans="1:13" ht="3" customHeight="1">
      <c r="A198" s="61"/>
      <c r="B198" s="101"/>
      <c r="C198" s="101"/>
      <c r="D198" s="102"/>
      <c r="E198" s="75"/>
      <c r="F198" s="133"/>
      <c r="G198" s="83"/>
      <c r="H198" s="133"/>
      <c r="I198" s="83"/>
      <c r="J198" s="133"/>
      <c r="K198" s="83"/>
      <c r="L198" s="133"/>
      <c r="M198" s="83"/>
    </row>
    <row r="199" spans="1:13" ht="17.45">
      <c r="A199" s="61"/>
      <c r="B199" s="44"/>
      <c r="C199" s="144" t="s">
        <v>326</v>
      </c>
      <c r="D199" s="144"/>
      <c r="E199" s="75"/>
      <c r="F199" s="81"/>
      <c r="G199" s="82"/>
      <c r="H199" s="81"/>
      <c r="I199" s="82"/>
      <c r="J199" s="81"/>
      <c r="K199" s="82"/>
      <c r="L199" s="81"/>
      <c r="M199" s="82"/>
    </row>
    <row r="200" spans="1:13" ht="3" customHeight="1" outlineLevel="1">
      <c r="A200" s="61"/>
      <c r="B200" s="101"/>
      <c r="C200" s="101"/>
      <c r="D200" s="113"/>
      <c r="E200" s="75"/>
      <c r="F200" s="133"/>
      <c r="G200" s="83"/>
      <c r="H200" s="133"/>
      <c r="I200" s="83"/>
      <c r="J200" s="133"/>
      <c r="K200" s="83"/>
      <c r="L200" s="133"/>
      <c r="M200" s="83"/>
    </row>
    <row r="201" spans="1:13" ht="13.15" outlineLevel="1">
      <c r="A201" s="61"/>
      <c r="B201" s="103">
        <v>1</v>
      </c>
      <c r="C201" s="103">
        <v>1</v>
      </c>
      <c r="D201" s="104" t="s">
        <v>327</v>
      </c>
      <c r="E201" s="84"/>
      <c r="F201" s="85"/>
      <c r="G201" s="85"/>
      <c r="H201" s="85"/>
      <c r="I201" s="85"/>
      <c r="J201" s="85"/>
      <c r="K201" s="85"/>
      <c r="L201" s="85"/>
      <c r="M201" s="85"/>
    </row>
    <row r="202" spans="1:13" ht="13.15" outlineLevel="2">
      <c r="A202" s="61"/>
      <c r="B202" s="107">
        <v>1</v>
      </c>
      <c r="C202" s="107">
        <v>1</v>
      </c>
      <c r="D202" s="45" t="s">
        <v>328</v>
      </c>
      <c r="E202" s="63"/>
      <c r="F202" s="86">
        <v>-1</v>
      </c>
      <c r="G202" s="99"/>
      <c r="H202" s="86">
        <v>-1</v>
      </c>
      <c r="I202" s="99"/>
      <c r="J202" s="86">
        <v>-1</v>
      </c>
      <c r="K202" s="99"/>
      <c r="L202" s="86">
        <v>-1</v>
      </c>
      <c r="M202" s="99"/>
    </row>
    <row r="203" spans="1:13" ht="3" customHeight="1">
      <c r="A203" s="61"/>
      <c r="B203" s="107"/>
      <c r="C203" s="107"/>
      <c r="D203" s="45"/>
      <c r="E203" s="63"/>
      <c r="F203" s="86"/>
      <c r="G203" s="99"/>
      <c r="H203" s="86"/>
      <c r="I203" s="99"/>
      <c r="J203" s="86"/>
      <c r="K203" s="99"/>
      <c r="L203" s="86"/>
      <c r="M203" s="99"/>
    </row>
    <row r="204" spans="1:13" ht="17.45" hidden="1">
      <c r="A204" s="61"/>
      <c r="B204" s="44"/>
      <c r="C204" s="144" t="s">
        <v>329</v>
      </c>
      <c r="D204" s="144"/>
      <c r="E204" s="75"/>
      <c r="F204" s="81"/>
      <c r="G204" s="82"/>
      <c r="H204" s="81"/>
      <c r="I204" s="82"/>
      <c r="J204" s="81"/>
      <c r="K204" s="82"/>
      <c r="L204" s="81"/>
      <c r="M204" s="82"/>
    </row>
    <row r="205" spans="1:13" ht="13.15"/>
    <row r="206" spans="1:13" ht="13.15"/>
    <row r="207" spans="1:13" ht="13.15"/>
    <row r="208" spans="1:13" ht="13.15"/>
    <row r="209" ht="13.15"/>
    <row r="210" ht="13.15"/>
    <row r="211" ht="13.15"/>
    <row r="212" ht="13.15"/>
    <row r="213" ht="13.15"/>
    <row r="214" ht="13.15"/>
    <row r="215" ht="13.15"/>
    <row r="216" ht="3" customHeight="1"/>
    <row r="226" spans="2:9" ht="11.85" customHeight="1">
      <c r="B226" s="66"/>
      <c r="C226" s="66"/>
      <c r="D226" s="66"/>
      <c r="F226" s="66"/>
      <c r="G226" s="66"/>
      <c r="H226" s="66"/>
      <c r="I226" s="66"/>
    </row>
    <row r="227" spans="2:9" ht="11.85" customHeight="1">
      <c r="B227" s="66"/>
      <c r="C227" s="66"/>
      <c r="D227" s="66"/>
      <c r="F227" s="66"/>
      <c r="G227" s="66"/>
      <c r="H227" s="66"/>
      <c r="I227" s="66"/>
    </row>
    <row r="229" spans="2:9" ht="11.85" customHeight="1">
      <c r="B229" s="66"/>
      <c r="C229" s="66"/>
      <c r="D229" s="66"/>
      <c r="F229" s="66"/>
      <c r="G229" s="66"/>
      <c r="H229" s="66"/>
      <c r="I229" s="66"/>
    </row>
  </sheetData>
  <mergeCells count="5">
    <mergeCell ref="C2:D2"/>
    <mergeCell ref="C8:D8"/>
    <mergeCell ref="C15:D15"/>
    <mergeCell ref="C199:D199"/>
    <mergeCell ref="C204:D204"/>
  </mergeCells>
  <conditionalFormatting sqref="F10">
    <cfRule type="iconSet" priority="87">
      <iconSet iconSet="3Symbols2" showValue="0">
        <cfvo type="percent" val="0"/>
        <cfvo type="num" val="0"/>
        <cfvo type="num" val="1"/>
      </iconSet>
    </cfRule>
  </conditionalFormatting>
  <conditionalFormatting sqref="F11">
    <cfRule type="iconSet" priority="86">
      <iconSet iconSet="3Symbols2" showValue="0">
        <cfvo type="percent" val="0"/>
        <cfvo type="num" val="0"/>
        <cfvo type="num" val="1"/>
      </iconSet>
    </cfRule>
  </conditionalFormatting>
  <conditionalFormatting sqref="F12">
    <cfRule type="iconSet" priority="85">
      <iconSet iconSet="3Symbols2" showValue="0">
        <cfvo type="percent" val="0"/>
        <cfvo type="num" val="0"/>
        <cfvo type="num" val="1"/>
      </iconSet>
    </cfRule>
  </conditionalFormatting>
  <conditionalFormatting sqref="F13">
    <cfRule type="iconSet" priority="84">
      <iconSet iconSet="3Symbols2" showValue="0">
        <cfvo type="percent" val="0"/>
        <cfvo type="num" val="0"/>
        <cfvo type="num" val="1"/>
      </iconSet>
    </cfRule>
  </conditionalFormatting>
  <conditionalFormatting sqref="F14">
    <cfRule type="iconSet" priority="83">
      <iconSet iconSet="3Symbols2" showValue="0">
        <cfvo type="percent" val="0"/>
        <cfvo type="num" val="0"/>
        <cfvo type="num" val="1"/>
      </iconSet>
    </cfRule>
  </conditionalFormatting>
  <conditionalFormatting sqref="F112:F114">
    <cfRule type="iconSet" priority="23">
      <iconSet iconSet="3Symbols2" showValue="0">
        <cfvo type="percent" val="0"/>
        <cfvo type="num" val="0"/>
        <cfvo type="num" val="1"/>
      </iconSet>
    </cfRule>
  </conditionalFormatting>
  <conditionalFormatting sqref="F165:F167">
    <cfRule type="iconSet" priority="22">
      <iconSet iconSet="3Symbols2" showValue="0">
        <cfvo type="percent" val="0"/>
        <cfvo type="num" val="0"/>
        <cfvo type="num" val="1"/>
      </iconSet>
    </cfRule>
  </conditionalFormatting>
  <conditionalFormatting sqref="F170">
    <cfRule type="iconSet" priority="21">
      <iconSet iconSet="3Symbols2" showValue="0">
        <cfvo type="percent" val="0"/>
        <cfvo type="num" val="0"/>
        <cfvo type="num" val="1"/>
      </iconSet>
    </cfRule>
  </conditionalFormatting>
  <conditionalFormatting sqref="F171:F172">
    <cfRule type="iconSet" priority="16">
      <iconSet iconSet="3Symbols2" showValue="0">
        <cfvo type="percent" val="0"/>
        <cfvo type="num" val="0"/>
        <cfvo type="num" val="1"/>
      </iconSet>
    </cfRule>
  </conditionalFormatting>
  <conditionalFormatting sqref="F175:F178 F180:F184">
    <cfRule type="iconSet" priority="20">
      <iconSet iconSet="3Symbols2" showValue="0">
        <cfvo type="percent" val="0"/>
        <cfvo type="num" val="0"/>
        <cfvo type="num" val="1"/>
      </iconSet>
    </cfRule>
  </conditionalFormatting>
  <conditionalFormatting sqref="F179">
    <cfRule type="iconSet" priority="18">
      <iconSet iconSet="3Symbols2" showValue="0">
        <cfvo type="percent" val="0"/>
        <cfvo type="num" val="0"/>
        <cfvo type="num" val="1"/>
      </iconSet>
    </cfRule>
  </conditionalFormatting>
  <conditionalFormatting sqref="F99:L108 F111:L114 F117:L118 F121:L122 F125:L126 F129:L130 F133:L134 F137:L138 F141:L142 F145:L146 F149:L150 F153:L154 F157:L158 F161:L162 F165:L167 F170:L172 F175:L184 F193:L197 F202:L202 F187:L190">
    <cfRule type="iconSet" priority="88">
      <iconSet iconSet="3Symbols2" showValue="0">
        <cfvo type="percent" val="0"/>
        <cfvo type="num" val="0"/>
        <cfvo type="num" val="1"/>
      </iconSet>
    </cfRule>
  </conditionalFormatting>
  <conditionalFormatting sqref="H10">
    <cfRule type="iconSet" priority="82">
      <iconSet iconSet="3Symbols2" showValue="0">
        <cfvo type="percent" val="0"/>
        <cfvo type="num" val="0"/>
        <cfvo type="num" val="1"/>
      </iconSet>
    </cfRule>
  </conditionalFormatting>
  <conditionalFormatting sqref="H11">
    <cfRule type="iconSet" priority="81">
      <iconSet iconSet="3Symbols2" showValue="0">
        <cfvo type="percent" val="0"/>
        <cfvo type="num" val="0"/>
        <cfvo type="num" val="1"/>
      </iconSet>
    </cfRule>
  </conditionalFormatting>
  <conditionalFormatting sqref="H12">
    <cfRule type="iconSet" priority="80">
      <iconSet iconSet="3Symbols2" showValue="0">
        <cfvo type="percent" val="0"/>
        <cfvo type="num" val="0"/>
        <cfvo type="num" val="1"/>
      </iconSet>
    </cfRule>
  </conditionalFormatting>
  <conditionalFormatting sqref="H13">
    <cfRule type="iconSet" priority="79">
      <iconSet iconSet="3Symbols2" showValue="0">
        <cfvo type="percent" val="0"/>
        <cfvo type="num" val="0"/>
        <cfvo type="num" val="1"/>
      </iconSet>
    </cfRule>
  </conditionalFormatting>
  <conditionalFormatting sqref="H14">
    <cfRule type="iconSet" priority="78">
      <iconSet iconSet="3Symbols2" showValue="0">
        <cfvo type="percent" val="0"/>
        <cfvo type="num" val="0"/>
        <cfvo type="num" val="1"/>
      </iconSet>
    </cfRule>
  </conditionalFormatting>
  <conditionalFormatting sqref="H18">
    <cfRule type="iconSet" priority="66">
      <iconSet iconSet="3Symbols2" showValue="0">
        <cfvo type="percent" val="0"/>
        <cfvo type="num" val="0"/>
        <cfvo type="num" val="1"/>
      </iconSet>
    </cfRule>
  </conditionalFormatting>
  <conditionalFormatting sqref="H19">
    <cfRule type="iconSet" priority="65">
      <iconSet iconSet="3Symbols2" showValue="0">
        <cfvo type="percent" val="0"/>
        <cfvo type="num" val="0"/>
        <cfvo type="num" val="1"/>
      </iconSet>
    </cfRule>
  </conditionalFormatting>
  <conditionalFormatting sqref="H21">
    <cfRule type="iconSet" priority="64">
      <iconSet iconSet="3Symbols2" showValue="0">
        <cfvo type="percent" val="0"/>
        <cfvo type="num" val="0"/>
        <cfvo type="num" val="1"/>
      </iconSet>
    </cfRule>
  </conditionalFormatting>
  <conditionalFormatting sqref="H22">
    <cfRule type="iconSet" priority="63">
      <iconSet iconSet="3Symbols2" showValue="0">
        <cfvo type="percent" val="0"/>
        <cfvo type="num" val="0"/>
        <cfvo type="num" val="1"/>
      </iconSet>
    </cfRule>
  </conditionalFormatting>
  <conditionalFormatting sqref="H23">
    <cfRule type="iconSet" priority="62">
      <iconSet iconSet="3Symbols2" showValue="0">
        <cfvo type="percent" val="0"/>
        <cfvo type="num" val="0"/>
        <cfvo type="num" val="1"/>
      </iconSet>
    </cfRule>
  </conditionalFormatting>
  <conditionalFormatting sqref="H25:H26">
    <cfRule type="iconSet" priority="61">
      <iconSet iconSet="3Symbols2" showValue="0">
        <cfvo type="percent" val="0"/>
        <cfvo type="num" val="0"/>
        <cfvo type="num" val="1"/>
      </iconSet>
    </cfRule>
  </conditionalFormatting>
  <conditionalFormatting sqref="H53">
    <cfRule type="iconSet" priority="53">
      <iconSet iconSet="3Symbols2" showValue="0">
        <cfvo type="percent" val="0"/>
        <cfvo type="num" val="0"/>
        <cfvo type="num" val="1"/>
      </iconSet>
    </cfRule>
  </conditionalFormatting>
  <conditionalFormatting sqref="H54">
    <cfRule type="iconSet" priority="52">
      <iconSet iconSet="3Symbols2" showValue="0">
        <cfvo type="percent" val="0"/>
        <cfvo type="num" val="0"/>
        <cfvo type="num" val="1"/>
      </iconSet>
    </cfRule>
  </conditionalFormatting>
  <conditionalFormatting sqref="H56">
    <cfRule type="iconSet" priority="51">
      <iconSet iconSet="3Symbols2" showValue="0">
        <cfvo type="percent" val="0"/>
        <cfvo type="num" val="0"/>
        <cfvo type="num" val="1"/>
      </iconSet>
    </cfRule>
  </conditionalFormatting>
  <conditionalFormatting sqref="H57">
    <cfRule type="iconSet" priority="50">
      <iconSet iconSet="3Symbols2" showValue="0">
        <cfvo type="percent" val="0"/>
        <cfvo type="num" val="0"/>
        <cfvo type="num" val="1"/>
      </iconSet>
    </cfRule>
  </conditionalFormatting>
  <conditionalFormatting sqref="H58">
    <cfRule type="iconSet" priority="49">
      <iconSet iconSet="3Symbols2" showValue="0">
        <cfvo type="percent" val="0"/>
        <cfvo type="num" val="0"/>
        <cfvo type="num" val="1"/>
      </iconSet>
    </cfRule>
  </conditionalFormatting>
  <conditionalFormatting sqref="H60:H61">
    <cfRule type="iconSet" priority="48">
      <iconSet iconSet="3Symbols2" showValue="0">
        <cfvo type="percent" val="0"/>
        <cfvo type="num" val="0"/>
        <cfvo type="num" val="1"/>
      </iconSet>
    </cfRule>
  </conditionalFormatting>
  <conditionalFormatting sqref="H65">
    <cfRule type="iconSet" priority="12">
      <iconSet iconSet="3Symbols2" showValue="0">
        <cfvo type="percent" val="0"/>
        <cfvo type="num" val="0"/>
        <cfvo type="num" val="1"/>
      </iconSet>
    </cfRule>
  </conditionalFormatting>
  <conditionalFormatting sqref="H66">
    <cfRule type="iconSet" priority="11">
      <iconSet iconSet="3Symbols2" showValue="0">
        <cfvo type="percent" val="0"/>
        <cfvo type="num" val="0"/>
        <cfvo type="num" val="1"/>
      </iconSet>
    </cfRule>
  </conditionalFormatting>
  <conditionalFormatting sqref="H68">
    <cfRule type="iconSet" priority="10">
      <iconSet iconSet="3Symbols2" showValue="0">
        <cfvo type="percent" val="0"/>
        <cfvo type="num" val="0"/>
        <cfvo type="num" val="1"/>
      </iconSet>
    </cfRule>
  </conditionalFormatting>
  <conditionalFormatting sqref="H69">
    <cfRule type="iconSet" priority="9">
      <iconSet iconSet="3Symbols2" showValue="0">
        <cfvo type="percent" val="0"/>
        <cfvo type="num" val="0"/>
        <cfvo type="num" val="1"/>
      </iconSet>
    </cfRule>
  </conditionalFormatting>
  <conditionalFormatting sqref="H70">
    <cfRule type="iconSet" priority="8">
      <iconSet iconSet="3Symbols2" showValue="0">
        <cfvo type="percent" val="0"/>
        <cfvo type="num" val="0"/>
        <cfvo type="num" val="1"/>
      </iconSet>
    </cfRule>
  </conditionalFormatting>
  <conditionalFormatting sqref="H72:H73">
    <cfRule type="iconSet" priority="7">
      <iconSet iconSet="3Symbols2" showValue="0">
        <cfvo type="percent" val="0"/>
        <cfvo type="num" val="0"/>
        <cfvo type="num" val="1"/>
      </iconSet>
    </cfRule>
  </conditionalFormatting>
  <conditionalFormatting sqref="H76">
    <cfRule type="iconSet" priority="42">
      <iconSet iconSet="3Symbols2" showValue="0">
        <cfvo type="percent" val="0"/>
        <cfvo type="num" val="0"/>
        <cfvo type="num" val="1"/>
      </iconSet>
    </cfRule>
  </conditionalFormatting>
  <conditionalFormatting sqref="H77">
    <cfRule type="iconSet" priority="41">
      <iconSet iconSet="3Symbols2" showValue="0">
        <cfvo type="percent" val="0"/>
        <cfvo type="num" val="0"/>
        <cfvo type="num" val="1"/>
      </iconSet>
    </cfRule>
  </conditionalFormatting>
  <conditionalFormatting sqref="H79">
    <cfRule type="iconSet" priority="40">
      <iconSet iconSet="3Symbols2" showValue="0">
        <cfvo type="percent" val="0"/>
        <cfvo type="num" val="0"/>
        <cfvo type="num" val="1"/>
      </iconSet>
    </cfRule>
  </conditionalFormatting>
  <conditionalFormatting sqref="H80">
    <cfRule type="iconSet" priority="39">
      <iconSet iconSet="3Symbols2" showValue="0">
        <cfvo type="percent" val="0"/>
        <cfvo type="num" val="0"/>
        <cfvo type="num" val="1"/>
      </iconSet>
    </cfRule>
  </conditionalFormatting>
  <conditionalFormatting sqref="H81">
    <cfRule type="iconSet" priority="38">
      <iconSet iconSet="3Symbols2" showValue="0">
        <cfvo type="percent" val="0"/>
        <cfvo type="num" val="0"/>
        <cfvo type="num" val="1"/>
      </iconSet>
    </cfRule>
  </conditionalFormatting>
  <conditionalFormatting sqref="H83:H84">
    <cfRule type="iconSet" priority="37">
      <iconSet iconSet="3Symbols2" showValue="0">
        <cfvo type="percent" val="0"/>
        <cfvo type="num" val="0"/>
        <cfvo type="num" val="1"/>
      </iconSet>
    </cfRule>
  </conditionalFormatting>
  <conditionalFormatting sqref="H99">
    <cfRule type="iconSet" priority="31">
      <iconSet iconSet="3Symbols2" showValue="0">
        <cfvo type="percent" val="0"/>
        <cfvo type="num" val="0"/>
        <cfvo type="num" val="1"/>
      </iconSet>
    </cfRule>
  </conditionalFormatting>
  <conditionalFormatting sqref="H100">
    <cfRule type="iconSet" priority="30">
      <iconSet iconSet="3Symbols2" showValue="0">
        <cfvo type="percent" val="0"/>
        <cfvo type="num" val="0"/>
        <cfvo type="num" val="1"/>
      </iconSet>
    </cfRule>
  </conditionalFormatting>
  <conditionalFormatting sqref="H102">
    <cfRule type="iconSet" priority="29">
      <iconSet iconSet="3Symbols2" showValue="0">
        <cfvo type="percent" val="0"/>
        <cfvo type="num" val="0"/>
        <cfvo type="num" val="1"/>
      </iconSet>
    </cfRule>
  </conditionalFormatting>
  <conditionalFormatting sqref="H103">
    <cfRule type="iconSet" priority="28">
      <iconSet iconSet="3Symbols2" showValue="0">
        <cfvo type="percent" val="0"/>
        <cfvo type="num" val="0"/>
        <cfvo type="num" val="1"/>
      </iconSet>
    </cfRule>
  </conditionalFormatting>
  <conditionalFormatting sqref="H104">
    <cfRule type="iconSet" priority="27">
      <iconSet iconSet="3Symbols2" showValue="0">
        <cfvo type="percent" val="0"/>
        <cfvo type="num" val="0"/>
        <cfvo type="num" val="1"/>
      </iconSet>
    </cfRule>
  </conditionalFormatting>
  <conditionalFormatting sqref="H106:H107">
    <cfRule type="iconSet" priority="26">
      <iconSet iconSet="3Symbols2" showValue="0">
        <cfvo type="percent" val="0"/>
        <cfvo type="num" val="0"/>
        <cfvo type="num" val="1"/>
      </iconSet>
    </cfRule>
  </conditionalFormatting>
  <conditionalFormatting sqref="H111">
    <cfRule type="iconSet" priority="24">
      <iconSet iconSet="3Symbols2" showValue="0">
        <cfvo type="percent" val="0"/>
        <cfvo type="num" val="0"/>
        <cfvo type="num" val="1"/>
      </iconSet>
    </cfRule>
  </conditionalFormatting>
  <conditionalFormatting sqref="J10">
    <cfRule type="iconSet" priority="77">
      <iconSet iconSet="3Symbols2" showValue="0">
        <cfvo type="percent" val="0"/>
        <cfvo type="num" val="0"/>
        <cfvo type="num" val="1"/>
      </iconSet>
    </cfRule>
  </conditionalFormatting>
  <conditionalFormatting sqref="J11">
    <cfRule type="iconSet" priority="76">
      <iconSet iconSet="3Symbols2" showValue="0">
        <cfvo type="percent" val="0"/>
        <cfvo type="num" val="0"/>
        <cfvo type="num" val="1"/>
      </iconSet>
    </cfRule>
  </conditionalFormatting>
  <conditionalFormatting sqref="J12">
    <cfRule type="iconSet" priority="75">
      <iconSet iconSet="3Symbols2" showValue="0">
        <cfvo type="percent" val="0"/>
        <cfvo type="num" val="0"/>
        <cfvo type="num" val="1"/>
      </iconSet>
    </cfRule>
  </conditionalFormatting>
  <conditionalFormatting sqref="J13">
    <cfRule type="iconSet" priority="74">
      <iconSet iconSet="3Symbols2" showValue="0">
        <cfvo type="percent" val="0"/>
        <cfvo type="num" val="0"/>
        <cfvo type="num" val="1"/>
      </iconSet>
    </cfRule>
  </conditionalFormatting>
  <conditionalFormatting sqref="J14">
    <cfRule type="iconSet" priority="73">
      <iconSet iconSet="3Symbols2" showValue="0">
        <cfvo type="percent" val="0"/>
        <cfvo type="num" val="0"/>
        <cfvo type="num" val="1"/>
      </iconSet>
    </cfRule>
  </conditionalFormatting>
  <conditionalFormatting sqref="J18">
    <cfRule type="iconSet" priority="57">
      <iconSet iconSet="3Symbols2" showValue="0">
        <cfvo type="percent" val="0"/>
        <cfvo type="num" val="0"/>
        <cfvo type="num" val="1"/>
      </iconSet>
    </cfRule>
  </conditionalFormatting>
  <conditionalFormatting sqref="J19:J20 J22:J23 J27">
    <cfRule type="expression" dxfId="5" priority="58">
      <formula>OR(CELL("col")=COLUMN(),CELL("rom")=ROW())</formula>
    </cfRule>
  </conditionalFormatting>
  <conditionalFormatting sqref="J21">
    <cfRule type="iconSet" priority="56">
      <iconSet iconSet="3Symbols2" showValue="0">
        <cfvo type="percent" val="0"/>
        <cfvo type="num" val="0"/>
        <cfvo type="num" val="1"/>
      </iconSet>
    </cfRule>
  </conditionalFormatting>
  <conditionalFormatting sqref="J24:J26">
    <cfRule type="iconSet" priority="55">
      <iconSet iconSet="3Symbols2" showValue="0">
        <cfvo type="percent" val="0"/>
        <cfvo type="num" val="0"/>
        <cfvo type="num" val="1"/>
      </iconSet>
    </cfRule>
  </conditionalFormatting>
  <conditionalFormatting sqref="J53">
    <cfRule type="iconSet" priority="46">
      <iconSet iconSet="3Symbols2" showValue="0">
        <cfvo type="percent" val="0"/>
        <cfvo type="num" val="0"/>
        <cfvo type="num" val="1"/>
      </iconSet>
    </cfRule>
  </conditionalFormatting>
  <conditionalFormatting sqref="J54:J55 J57:J58 J62">
    <cfRule type="expression" dxfId="4" priority="47">
      <formula>OR(CELL("col")=COLUMN(),CELL("rom")=ROW())</formula>
    </cfRule>
  </conditionalFormatting>
  <conditionalFormatting sqref="J56">
    <cfRule type="iconSet" priority="45">
      <iconSet iconSet="3Symbols2" showValue="0">
        <cfvo type="percent" val="0"/>
        <cfvo type="num" val="0"/>
        <cfvo type="num" val="1"/>
      </iconSet>
    </cfRule>
  </conditionalFormatting>
  <conditionalFormatting sqref="J59:J61">
    <cfRule type="iconSet" priority="44">
      <iconSet iconSet="3Symbols2" showValue="0">
        <cfvo type="percent" val="0"/>
        <cfvo type="num" val="0"/>
        <cfvo type="num" val="1"/>
      </iconSet>
    </cfRule>
  </conditionalFormatting>
  <conditionalFormatting sqref="J65">
    <cfRule type="iconSet" priority="5">
      <iconSet iconSet="3Symbols2" showValue="0">
        <cfvo type="percent" val="0"/>
        <cfvo type="num" val="0"/>
        <cfvo type="num" val="1"/>
      </iconSet>
    </cfRule>
  </conditionalFormatting>
  <conditionalFormatting sqref="J66:J67 J69:J70">
    <cfRule type="expression" dxfId="3" priority="6">
      <formula>OR(CELL("col")=COLUMN(),CELL("rom")=ROW())</formula>
    </cfRule>
  </conditionalFormatting>
  <conditionalFormatting sqref="J68">
    <cfRule type="iconSet" priority="4">
      <iconSet iconSet="3Symbols2" showValue="0">
        <cfvo type="percent" val="0"/>
        <cfvo type="num" val="0"/>
        <cfvo type="num" val="1"/>
      </iconSet>
    </cfRule>
  </conditionalFormatting>
  <conditionalFormatting sqref="J71:J73">
    <cfRule type="iconSet" priority="3">
      <iconSet iconSet="3Symbols2" showValue="0">
        <cfvo type="percent" val="0"/>
        <cfvo type="num" val="0"/>
        <cfvo type="num" val="1"/>
      </iconSet>
    </cfRule>
  </conditionalFormatting>
  <conditionalFormatting sqref="J76">
    <cfRule type="iconSet" priority="35">
      <iconSet iconSet="3Symbols2" showValue="0">
        <cfvo type="percent" val="0"/>
        <cfvo type="num" val="0"/>
        <cfvo type="num" val="1"/>
      </iconSet>
    </cfRule>
  </conditionalFormatting>
  <conditionalFormatting sqref="J77:J78 J80:J81 J85">
    <cfRule type="expression" dxfId="2" priority="36">
      <formula>OR(CELL("col")=COLUMN(),CELL("rom")=ROW())</formula>
    </cfRule>
  </conditionalFormatting>
  <conditionalFormatting sqref="J79">
    <cfRule type="iconSet" priority="34">
      <iconSet iconSet="3Symbols2" showValue="0">
        <cfvo type="percent" val="0"/>
        <cfvo type="num" val="0"/>
        <cfvo type="num" val="1"/>
      </iconSet>
    </cfRule>
  </conditionalFormatting>
  <conditionalFormatting sqref="J82:J84">
    <cfRule type="iconSet" priority="33">
      <iconSet iconSet="3Symbols2" showValue="0">
        <cfvo type="percent" val="0"/>
        <cfvo type="num" val="0"/>
        <cfvo type="num" val="1"/>
      </iconSet>
    </cfRule>
  </conditionalFormatting>
  <conditionalFormatting sqref="J112:J114">
    <cfRule type="iconSet" priority="25">
      <iconSet iconSet="3Symbols2" showValue="0">
        <cfvo type="percent" val="0"/>
        <cfvo type="num" val="0"/>
        <cfvo type="num" val="1"/>
      </iconSet>
    </cfRule>
  </conditionalFormatting>
  <conditionalFormatting sqref="J175:J178 J180:J184">
    <cfRule type="iconSet" priority="19">
      <iconSet iconSet="3Symbols2" showValue="0">
        <cfvo type="percent" val="0"/>
        <cfvo type="num" val="0"/>
        <cfvo type="num" val="1"/>
      </iconSet>
    </cfRule>
  </conditionalFormatting>
  <conditionalFormatting sqref="J179">
    <cfRule type="iconSet" priority="17">
      <iconSet iconSet="3Symbols2" showValue="0">
        <cfvo type="percent" val="0"/>
        <cfvo type="num" val="0"/>
        <cfvo type="num" val="1"/>
      </iconSet>
    </cfRule>
  </conditionalFormatting>
  <conditionalFormatting sqref="J99:L108">
    <cfRule type="iconSet" priority="1">
      <iconSet iconSet="3Symbols2" showValue="0">
        <cfvo type="percent" val="0"/>
        <cfvo type="num" val="0"/>
        <cfvo type="num" val="1"/>
      </iconSet>
    </cfRule>
  </conditionalFormatting>
  <conditionalFormatting sqref="L10">
    <cfRule type="iconSet" priority="72">
      <iconSet iconSet="3Symbols2" showValue="0">
        <cfvo type="percent" val="0"/>
        <cfvo type="num" val="0"/>
        <cfvo type="num" val="1"/>
      </iconSet>
    </cfRule>
  </conditionalFormatting>
  <conditionalFormatting sqref="L11">
    <cfRule type="iconSet" priority="71">
      <iconSet iconSet="3Symbols2" showValue="0">
        <cfvo type="percent" val="0"/>
        <cfvo type="num" val="0"/>
        <cfvo type="num" val="1"/>
      </iconSet>
    </cfRule>
  </conditionalFormatting>
  <conditionalFormatting sqref="L12">
    <cfRule type="iconSet" priority="70">
      <iconSet iconSet="3Symbols2" showValue="0">
        <cfvo type="percent" val="0"/>
        <cfvo type="num" val="0"/>
        <cfvo type="num" val="1"/>
      </iconSet>
    </cfRule>
  </conditionalFormatting>
  <conditionalFormatting sqref="L13">
    <cfRule type="iconSet" priority="69">
      <iconSet iconSet="3Symbols2" showValue="0">
        <cfvo type="percent" val="0"/>
        <cfvo type="num" val="0"/>
        <cfvo type="num" val="1"/>
      </iconSet>
    </cfRule>
  </conditionalFormatting>
  <conditionalFormatting sqref="L14">
    <cfRule type="iconSet" priority="68">
      <iconSet iconSet="3Symbols2" showValue="0">
        <cfvo type="percent" val="0"/>
        <cfvo type="num" val="0"/>
        <cfvo type="num" val="1"/>
      </iconSet>
    </cfRule>
  </conditionalFormatting>
  <conditionalFormatting sqref="O2">
    <cfRule type="iconSet" priority="60">
      <iconSet iconSet="3Symbols2" showValue="0">
        <cfvo type="percent" val="0"/>
        <cfvo type="num" val="0"/>
        <cfvo type="num" val="1"/>
      </iconSet>
    </cfRule>
  </conditionalFormatting>
  <conditionalFormatting sqref="O3">
    <cfRule type="iconSet" priority="59">
      <iconSet iconSet="3Symbols2" showValue="0">
        <cfvo type="percent" val="0"/>
        <cfvo type="num" val="0"/>
        <cfvo type="num" val="1"/>
      </iconSet>
    </cfRule>
  </conditionalFormatting>
  <printOptions horizontalCentered="1"/>
  <pageMargins left="0.23622047244094491" right="0.23622047244094491" top="0.27559055118110237" bottom="0.19685039370078741" header="0" footer="0"/>
  <pageSetup paperSize="8" scale="57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2" id="{DD1BACDC-78EE-4FEE-B22E-1F7D99D2596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F99:F108</xm:sqref>
        </x14:conditionalFormatting>
        <x14:conditionalFormatting xmlns:xm="http://schemas.microsoft.com/office/excel/2006/main">
          <x14:cfRule type="iconSet" priority="67" id="{F0BE7BCC-3C78-4A28-BF9D-42B6E90E338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F18:L27</xm:sqref>
        </x14:conditionalFormatting>
        <x14:conditionalFormatting xmlns:xm="http://schemas.microsoft.com/office/excel/2006/main">
          <x14:cfRule type="iconSet" priority="15" id="{2A063454-0DAB-4E9D-A69D-088A91A9E74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F30:L39</xm:sqref>
        </x14:conditionalFormatting>
        <x14:conditionalFormatting xmlns:xm="http://schemas.microsoft.com/office/excel/2006/main">
          <x14:cfRule type="iconSet" priority="14" id="{779401CA-95A3-4D90-8907-FF577249783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F42:L50</xm:sqref>
        </x14:conditionalFormatting>
        <x14:conditionalFormatting xmlns:xm="http://schemas.microsoft.com/office/excel/2006/main">
          <x14:cfRule type="iconSet" priority="54" id="{705A62EB-4D19-4249-9FD7-8959C7CCA4F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F53:L62</xm:sqref>
        </x14:conditionalFormatting>
        <x14:conditionalFormatting xmlns:xm="http://schemas.microsoft.com/office/excel/2006/main">
          <x14:cfRule type="iconSet" priority="13" id="{9C7F883B-3842-4C12-8E3F-F95C81D1CA9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F65:L73</xm:sqref>
        </x14:conditionalFormatting>
        <x14:conditionalFormatting xmlns:xm="http://schemas.microsoft.com/office/excel/2006/main">
          <x14:cfRule type="iconSet" priority="43" id="{BAE9742E-28B8-4810-BC37-8E00A260EC5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F76:L85</xm:sqref>
        </x14:conditionalFormatting>
        <x14:conditionalFormatting xmlns:xm="http://schemas.microsoft.com/office/excel/2006/main">
          <x14:cfRule type="iconSet" priority="2" id="{2D9A9E9F-566C-4469-828F-54FD391891B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F88:L96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C7722-AAB1-4434-B353-2B4566B4F914}">
  <sheetPr>
    <outlinePr summaryBelow="0" summaryRight="0"/>
    <pageSetUpPr fitToPage="1"/>
  </sheetPr>
  <dimension ref="A1:Z85"/>
  <sheetViews>
    <sheetView zoomScaleNormal="100" zoomScaleSheetLayoutView="35" workbookViewId="0">
      <pane xSplit="5" ySplit="7" topLeftCell="F8" activePane="bottomRight" state="frozen"/>
      <selection pane="bottomRight" activeCell="F4" sqref="F4:L4"/>
      <selection pane="bottomLeft" activeCell="A7" sqref="A7"/>
      <selection pane="topRight" activeCell="F1" sqref="F1"/>
    </sheetView>
  </sheetViews>
  <sheetFormatPr defaultColWidth="11.42578125" defaultRowHeight="11.85" customHeight="1" outlineLevelRow="2"/>
  <cols>
    <col min="1" max="1" width="0.5703125" style="125" customWidth="1"/>
    <col min="2" max="2" width="7.7109375" style="129" bestFit="1" customWidth="1"/>
    <col min="3" max="3" width="5.42578125" style="130" bestFit="1" customWidth="1"/>
    <col min="4" max="4" width="69.42578125" style="131" bestFit="1" customWidth="1"/>
    <col min="5" max="5" width="0.42578125" style="125" customWidth="1"/>
    <col min="6" max="6" width="7.5703125" style="128" customWidth="1"/>
    <col min="7" max="7" width="0.42578125" style="132" customWidth="1"/>
    <col min="8" max="8" width="7.5703125" style="128" customWidth="1"/>
    <col min="9" max="9" width="0.42578125" style="132" customWidth="1"/>
    <col min="10" max="10" width="7.5703125" style="128" customWidth="1"/>
    <col min="11" max="11" width="0.42578125" style="132" customWidth="1"/>
    <col min="12" max="12" width="7.5703125" style="128" customWidth="1"/>
    <col min="13" max="13" width="0.42578125" style="132" customWidth="1"/>
    <col min="14" max="16384" width="11.42578125" style="125"/>
  </cols>
  <sheetData>
    <row r="1" spans="1:16" ht="3" customHeight="1">
      <c r="A1" s="61"/>
      <c r="B1" s="101"/>
      <c r="C1" s="62"/>
      <c r="D1" s="63"/>
      <c r="E1" s="61"/>
      <c r="F1" s="64"/>
      <c r="G1" s="65"/>
      <c r="H1" s="64"/>
      <c r="I1" s="65"/>
      <c r="J1" s="64"/>
      <c r="K1" s="65"/>
      <c r="L1" s="64"/>
      <c r="M1" s="65"/>
      <c r="N1" s="66"/>
      <c r="O1" s="66"/>
      <c r="P1" s="66"/>
    </row>
    <row r="2" spans="1:16" s="126" customFormat="1" ht="18.399999999999999" customHeight="1">
      <c r="A2" s="67"/>
      <c r="B2" s="114"/>
      <c r="C2" s="142" t="s">
        <v>330</v>
      </c>
      <c r="D2" s="142"/>
      <c r="E2" s="68"/>
      <c r="F2" s="119" t="s">
        <v>141</v>
      </c>
      <c r="G2" s="69"/>
      <c r="H2" s="119" t="s">
        <v>142</v>
      </c>
      <c r="I2" s="69"/>
      <c r="J2" s="119" t="s">
        <v>68</v>
      </c>
      <c r="K2" s="69"/>
      <c r="L2" s="119" t="s">
        <v>143</v>
      </c>
      <c r="M2" s="69"/>
      <c r="N2" s="70"/>
      <c r="O2" s="124">
        <v>1</v>
      </c>
      <c r="P2" s="114" t="s">
        <v>45</v>
      </c>
    </row>
    <row r="3" spans="1:16" s="73" customFormat="1" ht="15.6">
      <c r="A3" s="71"/>
      <c r="B3" s="115"/>
      <c r="C3" s="72"/>
      <c r="D3" s="100" t="s">
        <v>144</v>
      </c>
      <c r="E3" s="71"/>
      <c r="F3" s="71">
        <f>COUNTA(F$8:F$65)</f>
        <v>36</v>
      </c>
      <c r="G3" s="71"/>
      <c r="H3" s="71">
        <f>COUNTA(H$8:H$65)</f>
        <v>17</v>
      </c>
      <c r="I3" s="71"/>
      <c r="J3" s="71">
        <f>COUNTA(J$8:J$65)</f>
        <v>25</v>
      </c>
      <c r="K3" s="71"/>
      <c r="L3" s="71">
        <f>COUNTA(L$8:L$65)</f>
        <v>19</v>
      </c>
      <c r="M3" s="71"/>
      <c r="O3" s="124">
        <v>-1</v>
      </c>
      <c r="P3" s="114" t="s">
        <v>145</v>
      </c>
    </row>
    <row r="4" spans="1:16" s="73" customFormat="1" ht="15.6">
      <c r="A4" s="71"/>
      <c r="B4" s="115"/>
      <c r="C4" s="72"/>
      <c r="D4" s="100" t="s">
        <v>146</v>
      </c>
      <c r="E4" s="71"/>
      <c r="F4" s="71">
        <f>COUNTIF(F$8:F$65,1)</f>
        <v>12</v>
      </c>
      <c r="G4" s="71"/>
      <c r="H4" s="71">
        <f>COUNTIF(H$8:H$65,1)</f>
        <v>10</v>
      </c>
      <c r="I4" s="71"/>
      <c r="J4" s="71">
        <f>COUNTIF(J$8:J$65,1)</f>
        <v>11</v>
      </c>
      <c r="K4" s="71"/>
      <c r="L4" s="71">
        <f>COUNTIF(L$8:L$65,1)</f>
        <v>6</v>
      </c>
      <c r="M4" s="71"/>
      <c r="O4" s="114"/>
      <c r="P4" s="114" t="s">
        <v>147</v>
      </c>
    </row>
    <row r="5" spans="1:16" ht="3" customHeight="1">
      <c r="A5" s="61"/>
      <c r="B5" s="101"/>
      <c r="C5" s="62"/>
      <c r="D5" s="74"/>
      <c r="E5" s="75"/>
      <c r="F5" s="64"/>
      <c r="G5" s="76"/>
      <c r="H5" s="64"/>
      <c r="I5" s="76"/>
      <c r="J5" s="64"/>
      <c r="K5" s="76"/>
      <c r="L5" s="64"/>
      <c r="M5" s="76"/>
      <c r="N5" s="66"/>
      <c r="O5" s="66"/>
      <c r="P5" s="66"/>
    </row>
    <row r="6" spans="1:16" ht="3" customHeight="1">
      <c r="A6" s="61"/>
      <c r="B6" s="116"/>
      <c r="C6" s="77"/>
      <c r="D6" s="78"/>
      <c r="E6" s="79"/>
      <c r="F6" s="80"/>
      <c r="G6" s="80"/>
      <c r="H6" s="80"/>
      <c r="I6" s="80"/>
      <c r="J6" s="80"/>
      <c r="K6" s="80"/>
      <c r="L6" s="80"/>
      <c r="M6" s="80"/>
      <c r="N6" s="66"/>
      <c r="O6" s="66"/>
      <c r="P6" s="66"/>
    </row>
    <row r="7" spans="1:16" ht="3.6" customHeight="1">
      <c r="A7" s="61"/>
      <c r="B7" s="101"/>
      <c r="C7" s="62"/>
      <c r="D7" s="74"/>
      <c r="E7" s="75"/>
      <c r="F7" s="133"/>
      <c r="G7" s="76"/>
      <c r="H7" s="133"/>
      <c r="I7" s="76"/>
      <c r="J7" s="133"/>
      <c r="K7" s="76"/>
      <c r="L7" s="133"/>
      <c r="M7" s="76"/>
      <c r="N7" s="66"/>
      <c r="O7" s="66"/>
      <c r="P7" s="66"/>
    </row>
    <row r="8" spans="1:16" ht="17.649999999999999" customHeight="1">
      <c r="A8" s="61"/>
      <c r="B8" s="44"/>
      <c r="C8" s="143" t="s">
        <v>148</v>
      </c>
      <c r="D8" s="143"/>
      <c r="E8" s="75"/>
      <c r="F8" s="81"/>
      <c r="G8" s="82"/>
      <c r="H8" s="81"/>
      <c r="I8" s="82"/>
      <c r="J8" s="81"/>
      <c r="K8" s="82"/>
      <c r="L8" s="81"/>
      <c r="M8" s="82"/>
      <c r="N8" s="66"/>
      <c r="O8" s="66"/>
      <c r="P8" s="66"/>
    </row>
    <row r="9" spans="1:16" ht="3" customHeight="1" outlineLevel="1">
      <c r="A9" s="61"/>
      <c r="B9" s="101"/>
      <c r="C9" s="101"/>
      <c r="D9" s="102"/>
      <c r="E9" s="75"/>
      <c r="F9" s="133"/>
      <c r="G9" s="83"/>
      <c r="H9" s="133"/>
      <c r="I9" s="83"/>
      <c r="J9" s="133"/>
      <c r="K9" s="83"/>
      <c r="L9" s="133"/>
      <c r="M9" s="83"/>
      <c r="N9" s="66"/>
      <c r="O9" s="66"/>
      <c r="P9" s="66"/>
    </row>
    <row r="10" spans="1:16" ht="13.15" outlineLevel="1">
      <c r="A10" s="61"/>
      <c r="B10" s="117">
        <v>1</v>
      </c>
      <c r="C10" s="103">
        <v>1</v>
      </c>
      <c r="D10" s="104" t="s">
        <v>149</v>
      </c>
      <c r="E10" s="84"/>
      <c r="F10" s="123">
        <v>1</v>
      </c>
      <c r="G10" s="98"/>
      <c r="H10" s="123"/>
      <c r="I10" s="98"/>
      <c r="J10" s="123"/>
      <c r="K10" s="98"/>
      <c r="L10" s="123"/>
      <c r="M10" s="85"/>
      <c r="N10" s="66"/>
      <c r="O10" s="66"/>
      <c r="P10" s="66"/>
    </row>
    <row r="11" spans="1:16" ht="13.15" outlineLevel="1">
      <c r="A11" s="61"/>
      <c r="B11" s="117">
        <v>2</v>
      </c>
      <c r="C11" s="103">
        <v>2</v>
      </c>
      <c r="D11" s="104" t="s">
        <v>150</v>
      </c>
      <c r="E11" s="84"/>
      <c r="F11" s="123">
        <v>1</v>
      </c>
      <c r="G11" s="98"/>
      <c r="H11" s="123">
        <v>1</v>
      </c>
      <c r="I11" s="98"/>
      <c r="J11" s="123">
        <v>1</v>
      </c>
      <c r="K11" s="98"/>
      <c r="L11" s="123">
        <v>1</v>
      </c>
      <c r="M11" s="85"/>
      <c r="N11" s="66"/>
      <c r="O11" s="66"/>
      <c r="P11" s="66"/>
    </row>
    <row r="12" spans="1:16" ht="13.9" outlineLevel="1">
      <c r="A12" s="66"/>
      <c r="B12" s="117">
        <v>3</v>
      </c>
      <c r="C12" s="103">
        <v>3</v>
      </c>
      <c r="D12" s="104" t="s">
        <v>151</v>
      </c>
      <c r="E12" s="84"/>
      <c r="F12" s="123">
        <v>1</v>
      </c>
      <c r="G12" s="118"/>
      <c r="H12" s="123">
        <v>1</v>
      </c>
      <c r="I12" s="118"/>
      <c r="J12" s="123">
        <v>1</v>
      </c>
      <c r="K12" s="118"/>
      <c r="L12" s="123">
        <v>1</v>
      </c>
      <c r="M12" s="89"/>
      <c r="N12" s="66"/>
      <c r="O12" s="66"/>
      <c r="P12" s="66"/>
    </row>
    <row r="13" spans="1:16" ht="13.9" outlineLevel="1">
      <c r="A13" s="66"/>
      <c r="B13" s="117">
        <v>4</v>
      </c>
      <c r="C13" s="103">
        <v>4</v>
      </c>
      <c r="D13" s="104" t="s">
        <v>152</v>
      </c>
      <c r="E13" s="84"/>
      <c r="F13" s="123">
        <v>1</v>
      </c>
      <c r="G13" s="118"/>
      <c r="H13" s="123"/>
      <c r="I13" s="118"/>
      <c r="J13" s="123">
        <v>1</v>
      </c>
      <c r="K13" s="118"/>
      <c r="L13" s="123">
        <v>1</v>
      </c>
      <c r="M13" s="89"/>
      <c r="N13" s="66"/>
      <c r="O13" s="66"/>
      <c r="P13" s="66"/>
    </row>
    <row r="14" spans="1:16" ht="13.9" outlineLevel="1">
      <c r="A14" s="66"/>
      <c r="B14" s="117">
        <v>5</v>
      </c>
      <c r="C14" s="103">
        <v>5</v>
      </c>
      <c r="D14" s="104" t="s">
        <v>331</v>
      </c>
      <c r="E14" s="84"/>
      <c r="F14" s="123">
        <v>1</v>
      </c>
      <c r="G14" s="118"/>
      <c r="H14" s="123">
        <v>1</v>
      </c>
      <c r="I14" s="118"/>
      <c r="J14" s="123">
        <v>1</v>
      </c>
      <c r="K14" s="118"/>
      <c r="L14" s="123">
        <v>1</v>
      </c>
      <c r="M14" s="89"/>
      <c r="N14" s="66"/>
      <c r="O14" s="66"/>
      <c r="P14" s="66"/>
    </row>
    <row r="15" spans="1:16" ht="13.9" outlineLevel="1">
      <c r="A15" s="66"/>
      <c r="B15" s="117">
        <v>6</v>
      </c>
      <c r="C15" s="103">
        <v>6</v>
      </c>
      <c r="D15" s="104" t="s">
        <v>153</v>
      </c>
      <c r="E15" s="84"/>
      <c r="F15" s="123">
        <v>1</v>
      </c>
      <c r="G15" s="118"/>
      <c r="H15" s="123"/>
      <c r="I15" s="118"/>
      <c r="J15" s="123"/>
      <c r="K15" s="118"/>
      <c r="L15" s="123">
        <v>1</v>
      </c>
      <c r="M15" s="89"/>
      <c r="N15" s="66"/>
      <c r="O15" s="66"/>
      <c r="P15" s="66"/>
    </row>
    <row r="16" spans="1:16" ht="17.649999999999999" customHeight="1">
      <c r="A16" s="66"/>
      <c r="B16" s="44"/>
      <c r="C16" s="143" t="s">
        <v>154</v>
      </c>
      <c r="D16" s="143"/>
      <c r="E16" s="75"/>
      <c r="F16" s="81"/>
      <c r="G16" s="82"/>
      <c r="H16" s="81"/>
      <c r="I16" s="82"/>
      <c r="J16" s="81"/>
      <c r="K16" s="82"/>
      <c r="L16" s="81"/>
      <c r="M16" s="82"/>
      <c r="N16" s="66"/>
      <c r="O16" s="66"/>
      <c r="P16" s="66"/>
    </row>
    <row r="17" spans="2:26" ht="3" customHeight="1" outlineLevel="1">
      <c r="B17" s="105"/>
      <c r="C17" s="105"/>
      <c r="D17" s="106"/>
      <c r="E17" s="66"/>
      <c r="F17" s="92"/>
      <c r="G17" s="93"/>
      <c r="H17" s="92"/>
      <c r="I17" s="93"/>
      <c r="J17" s="92"/>
      <c r="K17" s="93"/>
      <c r="L17" s="92"/>
      <c r="M17" s="93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spans="2:26" ht="13.15" outlineLevel="1">
      <c r="B18" s="103" t="s">
        <v>332</v>
      </c>
      <c r="C18" s="103">
        <v>1</v>
      </c>
      <c r="D18" s="134" t="s">
        <v>333</v>
      </c>
      <c r="E18" s="84"/>
      <c r="F18" s="85"/>
      <c r="G18" s="85"/>
      <c r="H18" s="85"/>
      <c r="I18" s="85"/>
      <c r="J18" s="85"/>
      <c r="K18" s="85"/>
      <c r="L18" s="85"/>
      <c r="M18" s="85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spans="2:26" ht="13.15" outlineLevel="2">
      <c r="B19" s="107" t="s">
        <v>334</v>
      </c>
      <c r="C19" s="107">
        <v>1</v>
      </c>
      <c r="D19" s="135" t="s">
        <v>157</v>
      </c>
      <c r="E19" s="61"/>
      <c r="F19" s="123">
        <v>1</v>
      </c>
      <c r="G19" s="123"/>
      <c r="H19" s="123">
        <v>1</v>
      </c>
      <c r="I19" s="123"/>
      <c r="J19" s="123">
        <v>1</v>
      </c>
      <c r="K19" s="123"/>
      <c r="L19" s="123"/>
      <c r="M19" s="87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spans="2:26" ht="13.15" outlineLevel="2">
      <c r="B20" s="107" t="s">
        <v>335</v>
      </c>
      <c r="C20" s="107">
        <v>2</v>
      </c>
      <c r="D20" s="136" t="s">
        <v>159</v>
      </c>
      <c r="E20" s="61"/>
      <c r="F20" s="123">
        <v>1</v>
      </c>
      <c r="G20" s="123"/>
      <c r="H20" s="123">
        <v>1</v>
      </c>
      <c r="I20" s="123"/>
      <c r="J20" s="123"/>
      <c r="K20" s="123"/>
      <c r="L20" s="123"/>
      <c r="M20" s="87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spans="2:26" ht="13.15" outlineLevel="2">
      <c r="B21" s="107" t="s">
        <v>336</v>
      </c>
      <c r="C21" s="107">
        <v>3</v>
      </c>
      <c r="D21" s="135" t="s">
        <v>161</v>
      </c>
      <c r="E21" s="61"/>
      <c r="F21" s="123">
        <v>1</v>
      </c>
      <c r="G21" s="123"/>
      <c r="H21" s="123"/>
      <c r="I21" s="123"/>
      <c r="J21" s="123"/>
      <c r="K21" s="123"/>
      <c r="L21" s="123"/>
      <c r="M21" s="87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spans="2:26" ht="13.15" outlineLevel="2">
      <c r="B22" s="107" t="s">
        <v>337</v>
      </c>
      <c r="C22" s="107">
        <v>4</v>
      </c>
      <c r="D22" s="135" t="s">
        <v>163</v>
      </c>
      <c r="E22" s="61"/>
      <c r="F22" s="124">
        <v>-1</v>
      </c>
      <c r="G22" s="123"/>
      <c r="H22" s="123">
        <v>1</v>
      </c>
      <c r="I22" s="123"/>
      <c r="J22" s="123">
        <v>1</v>
      </c>
      <c r="K22" s="123"/>
      <c r="L22" s="123"/>
      <c r="M22" s="87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spans="2:26" ht="13.15" outlineLevel="2">
      <c r="B23" s="107" t="s">
        <v>338</v>
      </c>
      <c r="C23" s="107">
        <v>5</v>
      </c>
      <c r="D23" s="135" t="s">
        <v>165</v>
      </c>
      <c r="E23" s="61"/>
      <c r="F23" s="123">
        <v>1</v>
      </c>
      <c r="G23" s="123"/>
      <c r="H23" s="123">
        <v>1</v>
      </c>
      <c r="I23" s="123"/>
      <c r="J23" s="123"/>
      <c r="K23" s="123"/>
      <c r="L23" s="123"/>
      <c r="M23" s="87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spans="2:26" ht="13.15" outlineLevel="2">
      <c r="B24" s="107" t="s">
        <v>339</v>
      </c>
      <c r="C24" s="107">
        <v>6</v>
      </c>
      <c r="D24" s="135" t="s">
        <v>167</v>
      </c>
      <c r="E24" s="61"/>
      <c r="F24" s="123">
        <v>1</v>
      </c>
      <c r="G24" s="123"/>
      <c r="H24" s="123">
        <v>1</v>
      </c>
      <c r="I24" s="123"/>
      <c r="J24" s="123"/>
      <c r="K24" s="123"/>
      <c r="L24" s="123"/>
      <c r="M24" s="87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spans="2:26" s="127" customFormat="1" ht="13.15" outlineLevel="2">
      <c r="B25" s="107" t="s">
        <v>340</v>
      </c>
      <c r="C25" s="108">
        <v>7</v>
      </c>
      <c r="D25" s="135" t="s">
        <v>169</v>
      </c>
      <c r="E25" s="94"/>
      <c r="F25" s="124">
        <v>-1</v>
      </c>
      <c r="G25" s="123"/>
      <c r="H25" s="123"/>
      <c r="I25" s="123"/>
      <c r="J25" s="123"/>
      <c r="K25" s="123"/>
      <c r="L25" s="123"/>
      <c r="M25" s="96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 t="s">
        <v>170</v>
      </c>
    </row>
    <row r="26" spans="2:26" ht="13.15" outlineLevel="2">
      <c r="B26" s="107" t="s">
        <v>341</v>
      </c>
      <c r="C26" s="107">
        <v>8</v>
      </c>
      <c r="D26" s="135" t="s">
        <v>172</v>
      </c>
      <c r="E26" s="61"/>
      <c r="F26" s="124">
        <v>-1</v>
      </c>
      <c r="G26" s="123"/>
      <c r="H26" s="123">
        <v>-1</v>
      </c>
      <c r="I26" s="123"/>
      <c r="J26" s="123">
        <v>-1</v>
      </c>
      <c r="K26" s="123"/>
      <c r="L26" s="123"/>
      <c r="M26" s="87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spans="2:26" s="127" customFormat="1" ht="13.15" outlineLevel="2">
      <c r="B27" s="107" t="s">
        <v>342</v>
      </c>
      <c r="C27" s="108">
        <v>9</v>
      </c>
      <c r="D27" s="135" t="s">
        <v>174</v>
      </c>
      <c r="E27" s="94"/>
      <c r="F27" s="124">
        <v>-1</v>
      </c>
      <c r="G27" s="123"/>
      <c r="H27" s="123">
        <v>-1</v>
      </c>
      <c r="I27" s="123"/>
      <c r="J27" s="123">
        <v>-1</v>
      </c>
      <c r="K27" s="123"/>
      <c r="L27" s="123"/>
      <c r="M27" s="96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 spans="2:26" s="127" customFormat="1" ht="13.15" outlineLevel="2">
      <c r="B28" s="107" t="s">
        <v>343</v>
      </c>
      <c r="C28" s="108">
        <v>10</v>
      </c>
      <c r="D28" s="135" t="s">
        <v>176</v>
      </c>
      <c r="E28" s="94"/>
      <c r="F28" s="124">
        <v>-1</v>
      </c>
      <c r="G28" s="123"/>
      <c r="H28" s="123"/>
      <c r="I28" s="123"/>
      <c r="J28" s="123"/>
      <c r="K28" s="123"/>
      <c r="L28" s="123"/>
      <c r="M28" s="96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 spans="2:26" ht="3" customHeight="1" outlineLevel="1">
      <c r="B29" s="110"/>
      <c r="C29" s="110"/>
      <c r="D29" s="137"/>
      <c r="E29" s="61"/>
      <c r="F29" s="98"/>
      <c r="G29" s="98"/>
      <c r="H29" s="98"/>
      <c r="I29" s="98"/>
      <c r="J29" s="98"/>
      <c r="K29" s="98"/>
      <c r="L29" s="98"/>
      <c r="M29" s="98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spans="2:26" ht="13.15" outlineLevel="1">
      <c r="B30" s="103" t="s">
        <v>344</v>
      </c>
      <c r="C30" s="103">
        <v>2</v>
      </c>
      <c r="D30" s="134" t="s">
        <v>345</v>
      </c>
      <c r="E30" s="84"/>
      <c r="F30" s="85"/>
      <c r="G30" s="85"/>
      <c r="H30" s="85"/>
      <c r="I30" s="85"/>
      <c r="J30" s="85"/>
      <c r="K30" s="85"/>
      <c r="L30" s="85"/>
      <c r="M30" s="85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spans="2:26" ht="13.15" outlineLevel="2">
      <c r="B31" s="107" t="s">
        <v>346</v>
      </c>
      <c r="C31" s="107">
        <v>1</v>
      </c>
      <c r="D31" s="136" t="s">
        <v>255</v>
      </c>
      <c r="E31" s="61"/>
      <c r="F31" s="123"/>
      <c r="G31" s="123"/>
      <c r="H31" s="123">
        <v>1</v>
      </c>
      <c r="I31" s="123"/>
      <c r="J31" s="123"/>
      <c r="K31" s="123"/>
      <c r="L31" s="123"/>
      <c r="M31" s="87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spans="2:26" ht="13.15" outlineLevel="2">
      <c r="B32" s="107" t="s">
        <v>347</v>
      </c>
      <c r="C32" s="107">
        <v>2</v>
      </c>
      <c r="D32" s="135" t="s">
        <v>257</v>
      </c>
      <c r="E32" s="61"/>
      <c r="F32" s="123">
        <v>-1</v>
      </c>
      <c r="G32" s="123"/>
      <c r="H32" s="123">
        <v>-1</v>
      </c>
      <c r="I32" s="123"/>
      <c r="J32" s="123">
        <v>1</v>
      </c>
      <c r="K32" s="123"/>
      <c r="L32" s="123"/>
      <c r="M32" s="87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spans="2:13" s="127" customFormat="1" ht="13.15" outlineLevel="2">
      <c r="B33" s="107" t="s">
        <v>348</v>
      </c>
      <c r="C33" s="108">
        <v>3</v>
      </c>
      <c r="D33" s="135" t="s">
        <v>349</v>
      </c>
      <c r="E33" s="94"/>
      <c r="F33" s="123">
        <v>-1</v>
      </c>
      <c r="G33" s="123"/>
      <c r="H33" s="123">
        <v>1</v>
      </c>
      <c r="I33" s="123"/>
      <c r="J33" s="123">
        <v>1</v>
      </c>
      <c r="K33" s="123"/>
      <c r="L33" s="123"/>
      <c r="M33" s="96"/>
    </row>
    <row r="34" spans="2:13" ht="13.15" outlineLevel="2">
      <c r="B34" s="107" t="s">
        <v>350</v>
      </c>
      <c r="C34" s="107">
        <v>4</v>
      </c>
      <c r="D34" s="135" t="s">
        <v>259</v>
      </c>
      <c r="E34" s="61"/>
      <c r="F34" s="123">
        <v>-1</v>
      </c>
      <c r="G34" s="123"/>
      <c r="H34" s="123">
        <v>-1</v>
      </c>
      <c r="I34" s="123"/>
      <c r="J34" s="123">
        <v>1</v>
      </c>
      <c r="K34" s="123"/>
      <c r="L34" s="123"/>
      <c r="M34" s="87"/>
    </row>
    <row r="35" spans="2:13" ht="13.15" outlineLevel="2">
      <c r="B35" s="107" t="s">
        <v>351</v>
      </c>
      <c r="C35" s="107">
        <v>5</v>
      </c>
      <c r="D35" s="136" t="s">
        <v>261</v>
      </c>
      <c r="E35" s="61"/>
      <c r="F35" s="123">
        <v>-1</v>
      </c>
      <c r="G35" s="123"/>
      <c r="H35" s="123"/>
      <c r="I35" s="123"/>
      <c r="J35" s="123">
        <v>1</v>
      </c>
      <c r="K35" s="123"/>
      <c r="L35" s="123"/>
      <c r="M35" s="87"/>
    </row>
    <row r="36" spans="2:13" ht="13.15" outlineLevel="2">
      <c r="B36" s="107"/>
      <c r="C36" s="107"/>
      <c r="D36" s="137"/>
      <c r="E36" s="61"/>
      <c r="F36" s="123"/>
      <c r="G36" s="123"/>
      <c r="H36" s="123"/>
      <c r="I36" s="123"/>
      <c r="J36" s="123"/>
      <c r="K36" s="123"/>
      <c r="L36" s="123"/>
      <c r="M36" s="87"/>
    </row>
    <row r="37" spans="2:13" s="127" customFormat="1" ht="13.15" outlineLevel="2">
      <c r="B37" s="134" t="s">
        <v>352</v>
      </c>
      <c r="C37" s="134">
        <v>3</v>
      </c>
      <c r="D37" s="134" t="s">
        <v>290</v>
      </c>
      <c r="E37" s="85"/>
      <c r="F37" s="85"/>
      <c r="G37" s="85"/>
      <c r="H37" s="85"/>
      <c r="I37" s="85"/>
      <c r="J37" s="85"/>
      <c r="K37" s="85"/>
      <c r="L37" s="85"/>
      <c r="M37" s="96"/>
    </row>
    <row r="38" spans="2:13" ht="13.15" outlineLevel="2">
      <c r="B38" s="107" t="s">
        <v>353</v>
      </c>
      <c r="C38" s="107">
        <v>1</v>
      </c>
      <c r="D38" s="136" t="s">
        <v>354</v>
      </c>
      <c r="E38" s="61"/>
      <c r="F38" s="123">
        <v>1</v>
      </c>
      <c r="G38" s="123"/>
      <c r="H38" s="123"/>
      <c r="I38" s="123"/>
      <c r="J38" s="123">
        <v>1</v>
      </c>
      <c r="K38" s="123"/>
      <c r="L38" s="123">
        <v>1</v>
      </c>
      <c r="M38" s="87"/>
    </row>
    <row r="39" spans="2:13" ht="13.15" outlineLevel="2">
      <c r="B39" s="107" t="s">
        <v>355</v>
      </c>
      <c r="C39" s="107">
        <v>2</v>
      </c>
      <c r="D39" s="136" t="s">
        <v>356</v>
      </c>
      <c r="E39" s="61"/>
      <c r="F39" s="123">
        <v>-1</v>
      </c>
      <c r="G39" s="123"/>
      <c r="H39" s="123"/>
      <c r="I39" s="123"/>
      <c r="J39" s="123">
        <v>-1</v>
      </c>
      <c r="K39" s="123"/>
      <c r="L39" s="123">
        <v>-1</v>
      </c>
      <c r="M39" s="87"/>
    </row>
    <row r="40" spans="2:13" ht="13.15" outlineLevel="2">
      <c r="B40" s="107" t="s">
        <v>357</v>
      </c>
      <c r="C40" s="107">
        <v>3</v>
      </c>
      <c r="D40" s="136" t="s">
        <v>358</v>
      </c>
      <c r="E40" s="61"/>
      <c r="F40" s="123">
        <v>-1</v>
      </c>
      <c r="G40" s="123"/>
      <c r="H40" s="123"/>
      <c r="I40" s="123"/>
      <c r="J40" s="123">
        <v>-1</v>
      </c>
      <c r="K40" s="123"/>
      <c r="L40" s="123">
        <v>-1</v>
      </c>
      <c r="M40" s="87"/>
    </row>
    <row r="41" spans="2:13" ht="15" customHeight="1" outlineLevel="1">
      <c r="B41" s="107" t="s">
        <v>359</v>
      </c>
      <c r="C41" s="107">
        <v>4</v>
      </c>
      <c r="D41" s="136" t="s">
        <v>360</v>
      </c>
      <c r="E41" s="61"/>
      <c r="F41" s="123">
        <v>-1</v>
      </c>
      <c r="G41" s="87"/>
      <c r="H41" s="123"/>
      <c r="I41" s="87"/>
      <c r="J41" s="123">
        <v>-1</v>
      </c>
      <c r="K41" s="87"/>
      <c r="L41" s="123">
        <v>-1</v>
      </c>
      <c r="M41" s="87"/>
    </row>
    <row r="42" spans="2:13" ht="13.15" outlineLevel="1">
      <c r="B42" s="107" t="s">
        <v>361</v>
      </c>
      <c r="C42" s="107">
        <v>5</v>
      </c>
      <c r="D42" s="136" t="s">
        <v>362</v>
      </c>
      <c r="E42" s="84"/>
      <c r="F42" s="123">
        <v>-1</v>
      </c>
      <c r="G42" s="86"/>
      <c r="H42" s="123"/>
      <c r="I42" s="86"/>
      <c r="J42" s="123">
        <v>-1</v>
      </c>
      <c r="K42" s="86"/>
      <c r="L42" s="123">
        <v>-1</v>
      </c>
      <c r="M42" s="85"/>
    </row>
    <row r="43" spans="2:13" s="127" customFormat="1" ht="13.15" outlineLevel="2">
      <c r="B43" s="108" t="s">
        <v>363</v>
      </c>
      <c r="C43" s="107">
        <v>6</v>
      </c>
      <c r="D43" s="136" t="s">
        <v>364</v>
      </c>
      <c r="E43" s="94"/>
      <c r="F43" s="123">
        <v>-1</v>
      </c>
      <c r="G43" s="123"/>
      <c r="H43" s="123"/>
      <c r="I43" s="123"/>
      <c r="J43" s="123">
        <v>-1</v>
      </c>
      <c r="K43" s="123"/>
      <c r="L43" s="123">
        <v>-1</v>
      </c>
      <c r="M43" s="96"/>
    </row>
    <row r="44" spans="2:13" ht="13.15" outlineLevel="2">
      <c r="B44" s="108" t="s">
        <v>365</v>
      </c>
      <c r="C44" s="107">
        <v>7</v>
      </c>
      <c r="D44" s="136" t="s">
        <v>366</v>
      </c>
      <c r="E44" s="61"/>
      <c r="F44" s="123">
        <v>-1</v>
      </c>
      <c r="G44" s="123"/>
      <c r="H44" s="123"/>
      <c r="I44" s="123"/>
      <c r="J44" s="123">
        <v>-1</v>
      </c>
      <c r="K44" s="123"/>
      <c r="L44" s="123">
        <v>-1</v>
      </c>
      <c r="M44" s="87"/>
    </row>
    <row r="45" spans="2:13" ht="13.15" outlineLevel="2">
      <c r="B45" s="108" t="s">
        <v>367</v>
      </c>
      <c r="C45" s="107">
        <v>8</v>
      </c>
      <c r="D45" s="136" t="s">
        <v>368</v>
      </c>
      <c r="E45" s="61"/>
      <c r="F45" s="123">
        <v>-1</v>
      </c>
      <c r="G45" s="123"/>
      <c r="H45" s="123"/>
      <c r="I45" s="123"/>
      <c r="J45" s="123">
        <v>-1</v>
      </c>
      <c r="K45" s="123"/>
      <c r="L45" s="123">
        <v>-1</v>
      </c>
      <c r="M45" s="87"/>
    </row>
    <row r="46" spans="2:13" ht="13.15" outlineLevel="2">
      <c r="B46" s="108"/>
      <c r="C46" s="108"/>
      <c r="D46" s="138"/>
      <c r="E46" s="61"/>
      <c r="F46" s="123"/>
      <c r="G46" s="123"/>
      <c r="H46" s="123"/>
      <c r="I46" s="123"/>
      <c r="J46" s="123"/>
      <c r="K46" s="123"/>
      <c r="L46" s="123"/>
      <c r="M46" s="87"/>
    </row>
    <row r="47" spans="2:13" s="127" customFormat="1" ht="13.15" outlineLevel="2">
      <c r="B47" s="134" t="s">
        <v>369</v>
      </c>
      <c r="C47" s="134">
        <v>4</v>
      </c>
      <c r="D47" s="134" t="s">
        <v>306</v>
      </c>
      <c r="E47" s="94"/>
      <c r="F47" s="85"/>
      <c r="G47" s="85"/>
      <c r="H47" s="85"/>
      <c r="I47" s="85"/>
      <c r="J47" s="85"/>
      <c r="K47" s="85"/>
      <c r="L47" s="85"/>
      <c r="M47" s="96"/>
    </row>
    <row r="48" spans="2:13" ht="13.15" outlineLevel="2">
      <c r="B48" s="108" t="s">
        <v>370</v>
      </c>
      <c r="C48" s="108">
        <v>1</v>
      </c>
      <c r="D48" s="135" t="s">
        <v>308</v>
      </c>
      <c r="E48" s="61"/>
      <c r="F48" s="123">
        <v>-1</v>
      </c>
      <c r="G48" s="123"/>
      <c r="H48" s="123"/>
      <c r="I48" s="123"/>
      <c r="J48" s="123">
        <v>-1</v>
      </c>
      <c r="K48" s="123"/>
      <c r="L48" s="123">
        <v>-1</v>
      </c>
      <c r="M48" s="87"/>
    </row>
    <row r="49" spans="1:13" ht="13.15" outlineLevel="2">
      <c r="A49" s="66"/>
      <c r="B49" s="108" t="s">
        <v>371</v>
      </c>
      <c r="C49" s="108">
        <v>2</v>
      </c>
      <c r="D49" s="135" t="s">
        <v>310</v>
      </c>
      <c r="E49" s="61"/>
      <c r="F49" s="123">
        <v>-1</v>
      </c>
      <c r="G49" s="123"/>
      <c r="H49" s="123">
        <v>-1</v>
      </c>
      <c r="I49" s="123"/>
      <c r="J49" s="123"/>
      <c r="K49" s="123"/>
      <c r="L49" s="123"/>
      <c r="M49" s="87"/>
    </row>
    <row r="50" spans="1:13" ht="13.15" outlineLevel="2">
      <c r="A50" s="66"/>
      <c r="B50" s="108" t="s">
        <v>372</v>
      </c>
      <c r="C50" s="108">
        <v>3</v>
      </c>
      <c r="D50" s="135" t="s">
        <v>312</v>
      </c>
      <c r="E50" s="61"/>
      <c r="F50" s="123">
        <v>-1</v>
      </c>
      <c r="G50" s="123"/>
      <c r="H50" s="123">
        <v>-1</v>
      </c>
      <c r="I50" s="123"/>
      <c r="J50" s="123">
        <v>-1</v>
      </c>
      <c r="K50" s="123"/>
      <c r="L50" s="123"/>
      <c r="M50" s="87"/>
    </row>
    <row r="51" spans="1:13" ht="13.15" outlineLevel="2">
      <c r="A51" s="66"/>
      <c r="B51" s="108" t="s">
        <v>373</v>
      </c>
      <c r="C51" s="108">
        <v>4</v>
      </c>
      <c r="D51" s="135" t="s">
        <v>314</v>
      </c>
      <c r="E51" s="61"/>
      <c r="F51" s="123">
        <v>-1</v>
      </c>
      <c r="G51" s="123"/>
      <c r="H51" s="123"/>
      <c r="I51" s="123"/>
      <c r="J51" s="123"/>
      <c r="K51" s="123"/>
      <c r="L51" s="123">
        <v>-1</v>
      </c>
      <c r="M51" s="87"/>
    </row>
    <row r="52" spans="1:13" ht="3" customHeight="1" outlineLevel="1">
      <c r="A52" s="66"/>
      <c r="B52" s="110"/>
      <c r="C52" s="110"/>
      <c r="D52" s="137"/>
      <c r="E52" s="61"/>
      <c r="F52" s="86"/>
      <c r="G52" s="87"/>
      <c r="H52" s="86"/>
      <c r="I52" s="87"/>
      <c r="J52" s="86"/>
      <c r="K52" s="87"/>
      <c r="L52" s="86"/>
      <c r="M52" s="87"/>
    </row>
    <row r="53" spans="1:13" ht="13.15" outlineLevel="1">
      <c r="A53" s="66"/>
      <c r="B53" s="103" t="s">
        <v>374</v>
      </c>
      <c r="C53" s="103">
        <v>5</v>
      </c>
      <c r="D53" s="134" t="s">
        <v>315</v>
      </c>
      <c r="E53" s="84"/>
      <c r="F53" s="85"/>
      <c r="G53" s="85"/>
      <c r="H53" s="85"/>
      <c r="I53" s="85"/>
      <c r="J53" s="85"/>
      <c r="K53" s="85"/>
      <c r="L53" s="85"/>
      <c r="M53" s="85"/>
    </row>
    <row r="54" spans="1:13" ht="13.15" outlineLevel="2">
      <c r="A54" s="66"/>
      <c r="B54" s="107" t="s">
        <v>375</v>
      </c>
      <c r="C54" s="107">
        <v>1</v>
      </c>
      <c r="D54" s="135" t="s">
        <v>317</v>
      </c>
      <c r="E54" s="61"/>
      <c r="F54" s="123"/>
      <c r="G54" s="123"/>
      <c r="H54" s="123"/>
      <c r="I54" s="123"/>
      <c r="J54" s="123"/>
      <c r="K54" s="123"/>
      <c r="L54" s="123"/>
      <c r="M54" s="87"/>
    </row>
    <row r="55" spans="1:13" ht="13.15" outlineLevel="2">
      <c r="A55" s="66"/>
      <c r="B55" s="107" t="s">
        <v>376</v>
      </c>
      <c r="C55" s="107">
        <v>2</v>
      </c>
      <c r="D55" s="135" t="s">
        <v>319</v>
      </c>
      <c r="E55" s="61"/>
      <c r="F55" s="123">
        <v>-1</v>
      </c>
      <c r="G55" s="123"/>
      <c r="H55" s="123"/>
      <c r="I55" s="123"/>
      <c r="J55" s="123">
        <v>-1</v>
      </c>
      <c r="K55" s="123"/>
      <c r="L55" s="123">
        <v>-1</v>
      </c>
      <c r="M55" s="87"/>
    </row>
    <row r="56" spans="1:13" ht="13.15" outlineLevel="2">
      <c r="A56" s="66"/>
      <c r="B56" s="107" t="s">
        <v>377</v>
      </c>
      <c r="C56" s="107">
        <v>3</v>
      </c>
      <c r="D56" s="135" t="s">
        <v>321</v>
      </c>
      <c r="E56" s="61"/>
      <c r="F56" s="123">
        <v>-1</v>
      </c>
      <c r="G56" s="123"/>
      <c r="H56" s="123"/>
      <c r="I56" s="123"/>
      <c r="J56" s="123">
        <v>-1</v>
      </c>
      <c r="K56" s="123"/>
      <c r="L56" s="123">
        <v>-1</v>
      </c>
      <c r="M56" s="87"/>
    </row>
    <row r="57" spans="1:13" ht="13.15" outlineLevel="2">
      <c r="A57" s="66"/>
      <c r="B57" s="107" t="s">
        <v>378</v>
      </c>
      <c r="C57" s="107">
        <v>4</v>
      </c>
      <c r="D57" s="135" t="s">
        <v>323</v>
      </c>
      <c r="E57" s="61"/>
      <c r="F57" s="123">
        <v>-1</v>
      </c>
      <c r="G57" s="123"/>
      <c r="H57" s="123"/>
      <c r="I57" s="123"/>
      <c r="J57" s="123"/>
      <c r="K57" s="123"/>
      <c r="L57" s="123">
        <v>-1</v>
      </c>
      <c r="M57" s="87"/>
    </row>
    <row r="58" spans="1:13" ht="13.15" outlineLevel="2">
      <c r="A58" s="66"/>
      <c r="B58" s="107" t="s">
        <v>379</v>
      </c>
      <c r="C58" s="107">
        <v>5</v>
      </c>
      <c r="D58" s="135" t="s">
        <v>325</v>
      </c>
      <c r="E58" s="61"/>
      <c r="F58" s="123"/>
      <c r="G58" s="123"/>
      <c r="H58" s="123"/>
      <c r="I58" s="123"/>
      <c r="J58" s="123"/>
      <c r="K58" s="123"/>
      <c r="L58" s="123"/>
      <c r="M58" s="87"/>
    </row>
    <row r="59" spans="1:13" ht="3" customHeight="1">
      <c r="A59" s="61"/>
      <c r="B59" s="101"/>
      <c r="C59" s="101"/>
      <c r="D59" s="102"/>
      <c r="E59" s="75"/>
      <c r="F59" s="133"/>
      <c r="G59" s="83"/>
      <c r="H59" s="133"/>
      <c r="I59" s="83"/>
      <c r="J59" s="133"/>
      <c r="K59" s="83"/>
      <c r="L59" s="133"/>
      <c r="M59" s="83"/>
    </row>
    <row r="60" spans="1:13" ht="17.649999999999999" customHeight="1">
      <c r="A60" s="61"/>
      <c r="B60" s="44"/>
      <c r="C60" s="144" t="s">
        <v>326</v>
      </c>
      <c r="D60" s="144"/>
      <c r="E60" s="75"/>
      <c r="F60" s="81"/>
      <c r="G60" s="82"/>
      <c r="H60" s="81"/>
      <c r="I60" s="82"/>
      <c r="J60" s="81"/>
      <c r="K60" s="82"/>
      <c r="L60" s="81"/>
      <c r="M60" s="82"/>
    </row>
    <row r="61" spans="1:13" ht="3" customHeight="1" outlineLevel="1">
      <c r="A61" s="61"/>
      <c r="B61" s="101"/>
      <c r="C61" s="101"/>
      <c r="D61" s="113"/>
      <c r="E61" s="75"/>
      <c r="F61" s="133"/>
      <c r="G61" s="83"/>
      <c r="H61" s="133"/>
      <c r="I61" s="83"/>
      <c r="J61" s="133"/>
      <c r="K61" s="83"/>
      <c r="L61" s="133"/>
      <c r="M61" s="83"/>
    </row>
    <row r="62" spans="1:13" ht="13.15" outlineLevel="1">
      <c r="A62" s="61"/>
      <c r="B62" s="103">
        <v>1</v>
      </c>
      <c r="C62" s="103">
        <v>1</v>
      </c>
      <c r="D62" s="104" t="s">
        <v>327</v>
      </c>
      <c r="E62" s="84"/>
      <c r="F62" s="85"/>
      <c r="G62" s="85"/>
      <c r="H62" s="85"/>
      <c r="I62" s="85"/>
      <c r="J62" s="85"/>
      <c r="K62" s="85"/>
      <c r="L62" s="85"/>
      <c r="M62" s="85"/>
    </row>
    <row r="63" spans="1:13" ht="13.15" outlineLevel="2">
      <c r="A63" s="61"/>
      <c r="B63" s="107">
        <v>1</v>
      </c>
      <c r="C63" s="107">
        <v>1</v>
      </c>
      <c r="D63" s="45" t="s">
        <v>328</v>
      </c>
      <c r="E63" s="63"/>
      <c r="F63" s="86">
        <v>-1</v>
      </c>
      <c r="G63" s="99"/>
      <c r="H63" s="86">
        <v>-1</v>
      </c>
      <c r="I63" s="99"/>
      <c r="J63" s="86">
        <v>-1</v>
      </c>
      <c r="K63" s="99"/>
      <c r="L63" s="86">
        <v>-1</v>
      </c>
      <c r="M63" s="99"/>
    </row>
    <row r="64" spans="1:13" ht="3" customHeight="1">
      <c r="A64" s="61"/>
      <c r="B64" s="107"/>
      <c r="C64" s="107"/>
      <c r="D64" s="45"/>
      <c r="E64" s="63"/>
      <c r="F64" s="86"/>
      <c r="G64" s="99"/>
      <c r="H64" s="86"/>
      <c r="I64" s="99"/>
      <c r="J64" s="86"/>
      <c r="K64" s="99"/>
      <c r="L64" s="86"/>
      <c r="M64" s="99"/>
    </row>
    <row r="65" spans="1:13" ht="17.45" hidden="1">
      <c r="A65" s="61"/>
      <c r="B65" s="44"/>
      <c r="C65" s="144" t="s">
        <v>329</v>
      </c>
      <c r="D65" s="144"/>
      <c r="E65" s="75"/>
      <c r="F65" s="81"/>
      <c r="G65" s="82"/>
      <c r="H65" s="81"/>
      <c r="I65" s="82"/>
      <c r="J65" s="81"/>
      <c r="K65" s="82"/>
      <c r="L65" s="81"/>
      <c r="M65" s="82"/>
    </row>
    <row r="82" spans="1:26" ht="11.85" customHeight="1">
      <c r="A82" s="66"/>
      <c r="B82" s="66"/>
      <c r="C82" s="66"/>
      <c r="D82" s="66"/>
      <c r="E82" s="66"/>
      <c r="F82" s="66"/>
      <c r="G82" s="66"/>
      <c r="H82" s="66"/>
      <c r="I82" s="66"/>
      <c r="J82" s="92"/>
      <c r="K82" s="93"/>
      <c r="L82" s="92"/>
      <c r="M82" s="93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spans="1:26" ht="11.85" customHeight="1">
      <c r="A83" s="66"/>
      <c r="B83" s="66"/>
      <c r="C83" s="66"/>
      <c r="D83" s="66"/>
      <c r="E83" s="66"/>
      <c r="F83" s="66"/>
      <c r="G83" s="66"/>
      <c r="H83" s="66"/>
      <c r="I83" s="66"/>
      <c r="J83" s="92"/>
      <c r="K83" s="93"/>
      <c r="L83" s="92"/>
      <c r="M83" s="93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5" spans="1:26" ht="11.85" customHeight="1">
      <c r="A85" s="66"/>
      <c r="B85" s="66"/>
      <c r="C85" s="66"/>
      <c r="D85" s="66"/>
      <c r="E85" s="66"/>
      <c r="F85" s="66"/>
      <c r="G85" s="66"/>
      <c r="H85" s="66"/>
      <c r="I85" s="66"/>
      <c r="J85" s="92"/>
      <c r="K85" s="93"/>
      <c r="L85" s="92"/>
      <c r="M85" s="93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</sheetData>
  <mergeCells count="5">
    <mergeCell ref="C2:D2"/>
    <mergeCell ref="C8:D8"/>
    <mergeCell ref="C16:D16"/>
    <mergeCell ref="C60:D60"/>
    <mergeCell ref="C65:D65"/>
  </mergeCells>
  <conditionalFormatting sqref="F10">
    <cfRule type="iconSet" priority="45">
      <iconSet iconSet="3Symbols2" showValue="0">
        <cfvo type="percent" val="0"/>
        <cfvo type="num" val="0"/>
        <cfvo type="num" val="1"/>
      </iconSet>
    </cfRule>
  </conditionalFormatting>
  <conditionalFormatting sqref="F11">
    <cfRule type="iconSet" priority="44">
      <iconSet iconSet="3Symbols2" showValue="0">
        <cfvo type="percent" val="0"/>
        <cfvo type="num" val="0"/>
        <cfvo type="num" val="1"/>
      </iconSet>
    </cfRule>
  </conditionalFormatting>
  <conditionalFormatting sqref="F12">
    <cfRule type="iconSet" priority="43">
      <iconSet iconSet="3Symbols2" showValue="0">
        <cfvo type="percent" val="0"/>
        <cfvo type="num" val="0"/>
        <cfvo type="num" val="1"/>
      </iconSet>
    </cfRule>
  </conditionalFormatting>
  <conditionalFormatting sqref="F13:F14">
    <cfRule type="iconSet" priority="42">
      <iconSet iconSet="3Symbols2" showValue="0">
        <cfvo type="percent" val="0"/>
        <cfvo type="num" val="0"/>
        <cfvo type="num" val="1"/>
      </iconSet>
    </cfRule>
  </conditionalFormatting>
  <conditionalFormatting sqref="F15">
    <cfRule type="iconSet" priority="41">
      <iconSet iconSet="3Symbols2" showValue="0">
        <cfvo type="percent" val="0"/>
        <cfvo type="num" val="0"/>
        <cfvo type="num" val="1"/>
      </iconSet>
    </cfRule>
  </conditionalFormatting>
  <conditionalFormatting sqref="F19:F21">
    <cfRule type="iconSet" priority="2">
      <iconSet iconSet="3Symbols2" showValue="0">
        <cfvo type="percent" val="0"/>
        <cfvo type="num" val="0"/>
        <cfvo type="num" val="1"/>
      </iconSet>
    </cfRule>
  </conditionalFormatting>
  <conditionalFormatting sqref="F22 F25:F28">
    <cfRule type="iconSet" priority="3">
      <iconSet iconSet="3Symbols2" showValue="0">
        <cfvo type="percent" val="0"/>
        <cfvo type="num" val="0"/>
        <cfvo type="num" val="1"/>
      </iconSet>
    </cfRule>
  </conditionalFormatting>
  <conditionalFormatting sqref="F23:F24">
    <cfRule type="iconSet" priority="1">
      <iconSet iconSet="3Symbols2" showValue="0">
        <cfvo type="percent" val="0"/>
        <cfvo type="num" val="0"/>
        <cfvo type="num" val="1"/>
      </iconSet>
    </cfRule>
  </conditionalFormatting>
  <conditionalFormatting sqref="H10">
    <cfRule type="iconSet" priority="40">
      <iconSet iconSet="3Symbols2" showValue="0">
        <cfvo type="percent" val="0"/>
        <cfvo type="num" val="0"/>
        <cfvo type="num" val="1"/>
      </iconSet>
    </cfRule>
  </conditionalFormatting>
  <conditionalFormatting sqref="H11">
    <cfRule type="iconSet" priority="39">
      <iconSet iconSet="3Symbols2" showValue="0">
        <cfvo type="percent" val="0"/>
        <cfvo type="num" val="0"/>
        <cfvo type="num" val="1"/>
      </iconSet>
    </cfRule>
  </conditionalFormatting>
  <conditionalFormatting sqref="H12">
    <cfRule type="iconSet" priority="38">
      <iconSet iconSet="3Symbols2" showValue="0">
        <cfvo type="percent" val="0"/>
        <cfvo type="num" val="0"/>
        <cfvo type="num" val="1"/>
      </iconSet>
    </cfRule>
  </conditionalFormatting>
  <conditionalFormatting sqref="H13:H14">
    <cfRule type="iconSet" priority="37">
      <iconSet iconSet="3Symbols2" showValue="0">
        <cfvo type="percent" val="0"/>
        <cfvo type="num" val="0"/>
        <cfvo type="num" val="1"/>
      </iconSet>
    </cfRule>
  </conditionalFormatting>
  <conditionalFormatting sqref="H15">
    <cfRule type="iconSet" priority="36">
      <iconSet iconSet="3Symbols2" showValue="0">
        <cfvo type="percent" val="0"/>
        <cfvo type="num" val="0"/>
        <cfvo type="num" val="1"/>
      </iconSet>
    </cfRule>
  </conditionalFormatting>
  <conditionalFormatting sqref="H19">
    <cfRule type="iconSet" priority="24">
      <iconSet iconSet="3Symbols2" showValue="0">
        <cfvo type="percent" val="0"/>
        <cfvo type="num" val="0"/>
        <cfvo type="num" val="1"/>
      </iconSet>
    </cfRule>
  </conditionalFormatting>
  <conditionalFormatting sqref="H20">
    <cfRule type="iconSet" priority="23">
      <iconSet iconSet="3Symbols2" showValue="0">
        <cfvo type="percent" val="0"/>
        <cfvo type="num" val="0"/>
        <cfvo type="num" val="1"/>
      </iconSet>
    </cfRule>
  </conditionalFormatting>
  <conditionalFormatting sqref="H22">
    <cfRule type="iconSet" priority="22">
      <iconSet iconSet="3Symbols2" showValue="0">
        <cfvo type="percent" val="0"/>
        <cfvo type="num" val="0"/>
        <cfvo type="num" val="1"/>
      </iconSet>
    </cfRule>
  </conditionalFormatting>
  <conditionalFormatting sqref="H23">
    <cfRule type="iconSet" priority="21">
      <iconSet iconSet="3Symbols2" showValue="0">
        <cfvo type="percent" val="0"/>
        <cfvo type="num" val="0"/>
        <cfvo type="num" val="1"/>
      </iconSet>
    </cfRule>
  </conditionalFormatting>
  <conditionalFormatting sqref="H24">
    <cfRule type="iconSet" priority="20">
      <iconSet iconSet="3Symbols2" showValue="0">
        <cfvo type="percent" val="0"/>
        <cfvo type="num" val="0"/>
        <cfvo type="num" val="1"/>
      </iconSet>
    </cfRule>
  </conditionalFormatting>
  <conditionalFormatting sqref="H26:H27">
    <cfRule type="iconSet" priority="19">
      <iconSet iconSet="3Symbols2" showValue="0">
        <cfvo type="percent" val="0"/>
        <cfvo type="num" val="0"/>
        <cfvo type="num" val="1"/>
      </iconSet>
    </cfRule>
  </conditionalFormatting>
  <conditionalFormatting sqref="H54">
    <cfRule type="iconSet" priority="12">
      <iconSet iconSet="3Symbols2" showValue="0">
        <cfvo type="percent" val="0"/>
        <cfvo type="num" val="0"/>
        <cfvo type="num" val="1"/>
      </iconSet>
    </cfRule>
  </conditionalFormatting>
  <conditionalFormatting sqref="H55">
    <cfRule type="iconSet" priority="11">
      <iconSet iconSet="3Symbols2" showValue="0">
        <cfvo type="percent" val="0"/>
        <cfvo type="num" val="0"/>
        <cfvo type="num" val="1"/>
      </iconSet>
    </cfRule>
  </conditionalFormatting>
  <conditionalFormatting sqref="H57">
    <cfRule type="iconSet" priority="10">
      <iconSet iconSet="3Symbols2" showValue="0">
        <cfvo type="percent" val="0"/>
        <cfvo type="num" val="0"/>
        <cfvo type="num" val="1"/>
      </iconSet>
    </cfRule>
  </conditionalFormatting>
  <conditionalFormatting sqref="H58">
    <cfRule type="iconSet" priority="9">
      <iconSet iconSet="3Symbols2" showValue="0">
        <cfvo type="percent" val="0"/>
        <cfvo type="num" val="0"/>
        <cfvo type="num" val="1"/>
      </iconSet>
    </cfRule>
  </conditionalFormatting>
  <conditionalFormatting sqref="J10">
    <cfRule type="iconSet" priority="35">
      <iconSet iconSet="3Symbols2" showValue="0">
        <cfvo type="percent" val="0"/>
        <cfvo type="num" val="0"/>
        <cfvo type="num" val="1"/>
      </iconSet>
    </cfRule>
  </conditionalFormatting>
  <conditionalFormatting sqref="J11">
    <cfRule type="iconSet" priority="34">
      <iconSet iconSet="3Symbols2" showValue="0">
        <cfvo type="percent" val="0"/>
        <cfvo type="num" val="0"/>
        <cfvo type="num" val="1"/>
      </iconSet>
    </cfRule>
  </conditionalFormatting>
  <conditionalFormatting sqref="J12">
    <cfRule type="iconSet" priority="33">
      <iconSet iconSet="3Symbols2" showValue="0">
        <cfvo type="percent" val="0"/>
        <cfvo type="num" val="0"/>
        <cfvo type="num" val="1"/>
      </iconSet>
    </cfRule>
  </conditionalFormatting>
  <conditionalFormatting sqref="J13:J14">
    <cfRule type="iconSet" priority="32">
      <iconSet iconSet="3Symbols2" showValue="0">
        <cfvo type="percent" val="0"/>
        <cfvo type="num" val="0"/>
        <cfvo type="num" val="1"/>
      </iconSet>
    </cfRule>
  </conditionalFormatting>
  <conditionalFormatting sqref="J15">
    <cfRule type="iconSet" priority="31">
      <iconSet iconSet="3Symbols2" showValue="0">
        <cfvo type="percent" val="0"/>
        <cfvo type="num" val="0"/>
        <cfvo type="num" val="1"/>
      </iconSet>
    </cfRule>
  </conditionalFormatting>
  <conditionalFormatting sqref="J19">
    <cfRule type="iconSet" priority="15">
      <iconSet iconSet="3Symbols2" showValue="0">
        <cfvo type="percent" val="0"/>
        <cfvo type="num" val="0"/>
        <cfvo type="num" val="1"/>
      </iconSet>
    </cfRule>
  </conditionalFormatting>
  <conditionalFormatting sqref="J20:J21 J23:J24 J28">
    <cfRule type="expression" dxfId="1" priority="16">
      <formula>OR(CELL("col")=COLUMN(),CELL("rom")=ROW())</formula>
    </cfRule>
  </conditionalFormatting>
  <conditionalFormatting sqref="J22">
    <cfRule type="iconSet" priority="14">
      <iconSet iconSet="3Symbols2" showValue="0">
        <cfvo type="percent" val="0"/>
        <cfvo type="num" val="0"/>
        <cfvo type="num" val="1"/>
      </iconSet>
    </cfRule>
  </conditionalFormatting>
  <conditionalFormatting sqref="J25:J27">
    <cfRule type="iconSet" priority="13">
      <iconSet iconSet="3Symbols2" showValue="0">
        <cfvo type="percent" val="0"/>
        <cfvo type="num" val="0"/>
        <cfvo type="num" val="1"/>
      </iconSet>
    </cfRule>
  </conditionalFormatting>
  <conditionalFormatting sqref="J54">
    <cfRule type="iconSet" priority="7">
      <iconSet iconSet="3Symbols2" showValue="0">
        <cfvo type="percent" val="0"/>
        <cfvo type="num" val="0"/>
        <cfvo type="num" val="1"/>
      </iconSet>
    </cfRule>
  </conditionalFormatting>
  <conditionalFormatting sqref="J55:J56 J58">
    <cfRule type="expression" dxfId="0" priority="8">
      <formula>OR(CELL("col")=COLUMN(),CELL("rom")=ROW())</formula>
    </cfRule>
  </conditionalFormatting>
  <conditionalFormatting sqref="J57">
    <cfRule type="iconSet" priority="6">
      <iconSet iconSet="3Symbols2" showValue="0">
        <cfvo type="percent" val="0"/>
        <cfvo type="num" val="0"/>
        <cfvo type="num" val="1"/>
      </iconSet>
    </cfRule>
  </conditionalFormatting>
  <conditionalFormatting sqref="L10">
    <cfRule type="iconSet" priority="30">
      <iconSet iconSet="3Symbols2" showValue="0">
        <cfvo type="percent" val="0"/>
        <cfvo type="num" val="0"/>
        <cfvo type="num" val="1"/>
      </iconSet>
    </cfRule>
  </conditionalFormatting>
  <conditionalFormatting sqref="L11">
    <cfRule type="iconSet" priority="29">
      <iconSet iconSet="3Symbols2" showValue="0">
        <cfvo type="percent" val="0"/>
        <cfvo type="num" val="0"/>
        <cfvo type="num" val="1"/>
      </iconSet>
    </cfRule>
  </conditionalFormatting>
  <conditionalFormatting sqref="L12">
    <cfRule type="iconSet" priority="28">
      <iconSet iconSet="3Symbols2" showValue="0">
        <cfvo type="percent" val="0"/>
        <cfvo type="num" val="0"/>
        <cfvo type="num" val="1"/>
      </iconSet>
    </cfRule>
  </conditionalFormatting>
  <conditionalFormatting sqref="L13:L14">
    <cfRule type="iconSet" priority="27">
      <iconSet iconSet="3Symbols2" showValue="0">
        <cfvo type="percent" val="0"/>
        <cfvo type="num" val="0"/>
        <cfvo type="num" val="1"/>
      </iconSet>
    </cfRule>
  </conditionalFormatting>
  <conditionalFormatting sqref="L15">
    <cfRule type="iconSet" priority="26">
      <iconSet iconSet="3Symbols2" showValue="0">
        <cfvo type="percent" val="0"/>
        <cfvo type="num" val="0"/>
        <cfvo type="num" val="1"/>
      </iconSet>
    </cfRule>
  </conditionalFormatting>
  <conditionalFormatting sqref="O2">
    <cfRule type="iconSet" priority="18">
      <iconSet iconSet="3Symbols2" showValue="0">
        <cfvo type="percent" val="0"/>
        <cfvo type="num" val="0"/>
        <cfvo type="num" val="1"/>
      </iconSet>
    </cfRule>
  </conditionalFormatting>
  <conditionalFormatting sqref="O3">
    <cfRule type="iconSet" priority="17">
      <iconSet iconSet="3Symbols2" showValue="0">
        <cfvo type="percent" val="0"/>
        <cfvo type="num" val="0"/>
        <cfvo type="num" val="1"/>
      </iconSet>
    </cfRule>
  </conditionalFormatting>
  <printOptions horizontalCentered="1"/>
  <pageMargins left="0.23622047244094491" right="0.23622047244094491" top="0.27559055118110237" bottom="0.19685039370078741" header="0" footer="0"/>
  <pageSetup paperSize="8" scale="57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BC5C0D13-79DE-4C78-8386-5B125AC58DE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F31:L36 F38:L42</xm:sqref>
        </x14:conditionalFormatting>
        <x14:conditionalFormatting xmlns:xm="http://schemas.microsoft.com/office/excel/2006/main">
          <x14:cfRule type="iconSet" priority="4" id="{8D192AB3-51C3-4D98-9568-4A808222B04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F43:L46 F48:L51</xm:sqref>
        </x14:conditionalFormatting>
        <x14:conditionalFormatting xmlns:xm="http://schemas.microsoft.com/office/excel/2006/main">
          <x14:cfRule type="iconSet" priority="46" id="{A0BBA01B-5D81-4663-84EB-C69360AF5AD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F54:L58 F63:L63</xm:sqref>
        </x14:conditionalFormatting>
        <x14:conditionalFormatting xmlns:xm="http://schemas.microsoft.com/office/excel/2006/main">
          <x14:cfRule type="iconSet" priority="25" id="{26C37766-72D5-4303-96FB-B5D398168E3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G19:L28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d3a1aa-20e3-4db1-b4c2-8de2c15fe3d1">
      <Terms xmlns="http://schemas.microsoft.com/office/infopath/2007/PartnerControls"/>
    </lcf76f155ced4ddcb4097134ff3c332f>
    <TaxCatchAll xmlns="1c3b6138-399c-48b0-9249-b80d30773e06" xsi:nil="true"/>
    <SharedWithUsers xmlns="1c3b6138-399c-48b0-9249-b80d30773e06">
      <UserInfo>
        <DisplayName>Gagan Jit Singh</DisplayName>
        <AccountId>226</AccountId>
        <AccountType/>
      </UserInfo>
      <UserInfo>
        <DisplayName>Naveen Yenmandra</DisplayName>
        <AccountId>415</AccountId>
        <AccountType/>
      </UserInfo>
      <UserInfo>
        <DisplayName>Om Prakash</DisplayName>
        <AccountId>672</AccountId>
        <AccountType/>
      </UserInfo>
      <UserInfo>
        <DisplayName>Saji Alexander P</DisplayName>
        <AccountId>192</AccountId>
        <AccountType/>
      </UserInfo>
      <UserInfo>
        <DisplayName>Cijey Biju</DisplayName>
        <AccountId>682</AccountId>
        <AccountType/>
      </UserInfo>
      <UserInfo>
        <DisplayName>Prakash Channappagoudar</DisplayName>
        <AccountId>668</AccountId>
        <AccountType/>
      </UserInfo>
      <UserInfo>
        <DisplayName>Salomi Rani</DisplayName>
        <AccountId>812</AccountId>
        <AccountType/>
      </UserInfo>
      <UserInfo>
        <DisplayName>Subramanya Javagal</DisplayName>
        <AccountId>813</AccountId>
        <AccountType/>
      </UserInfo>
      <UserInfo>
        <DisplayName>Lajja Shah</DisplayName>
        <AccountId>955</AccountId>
        <AccountType/>
      </UserInfo>
      <UserInfo>
        <DisplayName>Priyanka Sahoo</DisplayName>
        <AccountId>936</AccountId>
        <AccountType/>
      </UserInfo>
    </SharedWithUsers>
    <Createdby xmlns="95d3a1aa-20e3-4db1-b4c2-8de2c15fe3d1">
      <UserInfo>
        <DisplayName/>
        <AccountId xsi:nil="true"/>
        <AccountType/>
      </UserInfo>
    </Createdby>
    <Date xmlns="95d3a1aa-20e3-4db1-b4c2-8de2c15fe3d1">2025-12-02T10:39:04+00:00</Date>
    <date0 xmlns="95d3a1aa-20e3-4db1-b4c2-8de2c15fe3d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BA13419CE3204EABC4CE2FDE1F4C28" ma:contentTypeVersion="28" ma:contentTypeDescription="Create a new document." ma:contentTypeScope="" ma:versionID="302412f9a6ca903b0ff3a3467d175f1f">
  <xsd:schema xmlns:xsd="http://www.w3.org/2001/XMLSchema" xmlns:xs="http://www.w3.org/2001/XMLSchema" xmlns:p="http://schemas.microsoft.com/office/2006/metadata/properties" xmlns:ns2="1c3b6138-399c-48b0-9249-b80d30773e06" xmlns:ns3="95d3a1aa-20e3-4db1-b4c2-8de2c15fe3d1" targetNamespace="http://schemas.microsoft.com/office/2006/metadata/properties" ma:root="true" ma:fieldsID="34d9bcd81e8fa7a8cd84bdaab48c0213" ns2:_="" ns3:_="">
    <xsd:import namespace="1c3b6138-399c-48b0-9249-b80d30773e06"/>
    <xsd:import namespace="95d3a1aa-20e3-4db1-b4c2-8de2c15fe3d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2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  <xsd:element ref="ns3:Createdby" minOccurs="0"/>
                <xsd:element ref="ns3:Date" minOccurs="0"/>
                <xsd:element ref="ns3:MediaServiceBillingMetadata" minOccurs="0"/>
                <xsd:element ref="ns3:date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3b6138-399c-48b0-9249-b80d30773e0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5ca2bca-3b04-4f84-afc4-e9479d6563b0}" ma:internalName="TaxCatchAll" ma:showField="CatchAllData" ma:web="1c3b6138-399c-48b0-9249-b80d30773e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d3a1aa-20e3-4db1-b4c2-8de2c15fe3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847c990-d389-4210-8462-c9e2e52362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eatedby" ma:index="26" nillable="true" ma:displayName="Created by" ma:description="The person who has created" ma:format="Dropdown" ma:list="UserInfo" ma:SharePointGroup="0" ma:internalName="Creat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ate" ma:index="27" nillable="true" ma:displayName="Date" ma:default="[today]" ma:format="DateOnly" ma:internalName="Date">
      <xsd:simpleType>
        <xsd:restriction base="dms:DateTim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0" ma:index="29" nillable="true" ma:displayName="date" ma:format="DateOnly" ma:internalName="date0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A9BDF9-F82C-46C3-858A-9396328B6365}"/>
</file>

<file path=customXml/itemProps2.xml><?xml version="1.0" encoding="utf-8"?>
<ds:datastoreItem xmlns:ds="http://schemas.openxmlformats.org/officeDocument/2006/customXml" ds:itemID="{2D840187-9EF4-4E44-B2B9-F79E5D103205}"/>
</file>

<file path=customXml/itemProps3.xml><?xml version="1.0" encoding="utf-8"?>
<ds:datastoreItem xmlns:ds="http://schemas.openxmlformats.org/officeDocument/2006/customXml" ds:itemID="{37F01CEE-A6F8-409E-9FAD-BDD3DDDDB7C1}"/>
</file>

<file path=docMetadata/LabelInfo.xml><?xml version="1.0" encoding="utf-8"?>
<clbl:labelList xmlns:clbl="http://schemas.microsoft.com/office/2020/mipLabelMetadata">
  <clbl:label id="{83f557ba-ddb4-497b-8590-9541f498e808}" enabled="0" method="" siteId="{83f557ba-ddb4-497b-8590-9541f498e80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Vinod Appanna Soudi</dc:creator>
  <cp:keywords/>
  <dc:description/>
  <cp:lastModifiedBy>Lajja Ashay Shah</cp:lastModifiedBy>
  <cp:revision/>
  <dcterms:created xsi:type="dcterms:W3CDTF">2024-04-25T11:54:44Z</dcterms:created>
  <dcterms:modified xsi:type="dcterms:W3CDTF">2026-09-23T03:51:26Z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0x01010098BA13419CE3204EABC4CE2FDE1F4C28</vt:lpwstr>
  </property>
  <property fmtid="{D5CDD505-2E9C-101B-9397-08002B2CF9AE}" pid="3" name="MediaServiceImageTags">
    <vt:lpwstr/>
  </property>
</Properties>
</file>